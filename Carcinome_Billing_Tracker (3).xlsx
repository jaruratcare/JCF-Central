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Patient Bills" sheetId="2" r:id="rId5"/>
    <sheet state="visible" name="Nursing Charges" sheetId="3" r:id="rId6"/>
    <sheet state="visible" name="Nursing Rate Card" sheetId="4" r:id="rId7"/>
    <sheet state="visible" name="Consumables Master" sheetId="5" r:id="rId8"/>
    <sheet state="visible" name="Consumable Usage" sheetId="6" r:id="rId9"/>
    <sheet state="visible" name="Nurse Payments" sheetId="7" r:id="rId10"/>
    <sheet state="visible" name="Overall Summary" sheetId="8" r:id="rId11"/>
  </sheets>
  <definedNames/>
  <calcPr/>
  <extLst>
    <ext uri="GoogleSheetsCustomDataVersion2">
      <go:sheetsCustomData xmlns:go="http://customooxmlschemas.google.com/" r:id="rId12" roundtripDataChecksum="XIUOVwyxeHs33u+BCQATbo/CPVFL4JKWadq/0yi8v6w="/>
    </ext>
  </extLst>
</workbook>
</file>

<file path=xl/sharedStrings.xml><?xml version="1.0" encoding="utf-8"?>
<sst xmlns="http://schemas.openxmlformats.org/spreadsheetml/2006/main" count="419" uniqueCount="215">
  <si>
    <t>Carcinome Billing Tracker</t>
  </si>
  <si>
    <t>Nursing Rate Card</t>
  </si>
  <si>
    <t>Nursing Charges Log</t>
  </si>
  <si>
    <t>How this workbook works</t>
  </si>
  <si>
    <t>Reference rates - edit to match your real pricing. Used for your own lookup; Nursing Charges sheet does not auto-pull from here.</t>
  </si>
  <si>
    <t>One row per nursing charge, tagged to Patient ID + Round. Pick Charge Type: Fixed Package (flat rate) or Hourly (shifts x rate).</t>
  </si>
  <si>
    <t>Sheet</t>
  </si>
  <si>
    <t>Service</t>
  </si>
  <si>
    <t>Purpose</t>
  </si>
  <si>
    <t>Patient Bills</t>
  </si>
  <si>
    <t>Same layout as before - ID Number, Patient Name, Patient Number, Notes, then one block per infusion round. Each round has: Fixed Charges (flat fee, manual), Consumable (auto-pulled MRP), Nursing (auto-pulled billed amount), Carcinome (auto-calculated profit for that round), Total Charges (Fixed+Consumable+Nursing), Total Received, Balance, and Payment Status. Round 1 is billed and closed before Round 2, etc.</t>
  </si>
  <si>
    <t>Nursing Charges</t>
  </si>
  <si>
    <t>Log nursing per Patient ID + Round. Supports a Fixed Package rate or an Hourly rate (shifts x rate) for the "Amount Billed to Patient" column. Separately enter "Amount Paid to Nurse" - the actual amount the nurse is paid, which is usually less than what the patient is billed. The difference is your nursing margin. Feeds Patient Bills and Nurse Payments.</t>
  </si>
  <si>
    <t>Rate (₹)</t>
  </si>
  <si>
    <t>Patient Bills - Round by Round</t>
  </si>
  <si>
    <t>Your standard nursing rates for reference (24-hr package, 12-hr package, per-visit, per-hour). Edit the numbers to your real rates - these are placeholder assumptions.</t>
  </si>
  <si>
    <t>Consumables Master</t>
  </si>
  <si>
    <t>Notes</t>
  </si>
  <si>
    <t>Your price list: MRP (billed to patient) vs Landing Price (your cost) per item, with margin calculated.</t>
  </si>
  <si>
    <t>Consumable Usage</t>
  </si>
  <si>
    <t>Log consumables per Patient ID + Round - just ONE row per round. Enter the total MRP you're charging the patient and the total Landing (supplier) cost for that round; no need to itemize each medicine. Margin calculates automatically. Feeds Patient Bills.</t>
  </si>
  <si>
    <t>24-hr Nursing (Fixed Package)</t>
  </si>
  <si>
    <t>ID Number</t>
  </si>
  <si>
    <t>Nurse Payments</t>
  </si>
  <si>
    <t>What each nurse is owed for a billing period, what's been paid, and what's pending.</t>
  </si>
  <si>
    <t>Overall Summary</t>
  </si>
  <si>
    <t>Dashboard totals across everything.</t>
  </si>
  <si>
    <t>Patient Name</t>
  </si>
  <si>
    <t>Round</t>
  </si>
  <si>
    <t>Color legend</t>
  </si>
  <si>
    <t>Flat per day, assumption - update to your rate</t>
  </si>
  <si>
    <t>Blue text on pale yellow</t>
  </si>
  <si>
    <t>Nurse Name</t>
  </si>
  <si>
    <t>Cells you type into.</t>
  </si>
  <si>
    <t>Green text</t>
  </si>
  <si>
    <t>Pulled automatically from another sheet - don't overwrite.</t>
  </si>
  <si>
    <t>Charge Type</t>
  </si>
  <si>
    <t>12-hr Nursing (Fixed Package)</t>
  </si>
  <si>
    <t>Black text</t>
  </si>
  <si>
    <t>Calculated by formula - don't overwrite.</t>
  </si>
  <si>
    <t>Shifts/Hrs</t>
  </si>
  <si>
    <t>Key linking fields</t>
  </si>
  <si>
    <t>Flat per shift, assumption - update to your rate</t>
  </si>
  <si>
    <t>'ID Number' (Patient ID, e.g. CC2026001) connects every sheet. 'Round' number (1, 2, 3...) connects a charge to the right round on Patient Bills. Keep the ID Number spelling and Round number consistent across sheets or the totals will show 0.</t>
  </si>
  <si>
    <t>Rate/Hr (₹)</t>
  </si>
  <si>
    <t>Fixed Charges</t>
  </si>
  <si>
    <t>There's a dedicated "Fixed Charges" column inside each round block on Patient Bills - use it for any flat/package fee for that round (procedure fee, etc.) on top of nursing + consumables. This amount is treated as pure profit (Carcinome). Leave blank if not applicable.</t>
  </si>
  <si>
    <t>Per-Visit Nursing</t>
  </si>
  <si>
    <t>Carcinome (₹) column</t>
  </si>
  <si>
    <t>Fixed Amount (₹)</t>
  </si>
  <si>
    <t>Your actual profit for that round: Fixed Charges (100% profit) + (Nursing billed - Nursing paid to nurse) + (Consumable MRP - Consumable landing cost). Automatically calculated - don't overwrite. Rolls up into "Total Carcinome Profit" on Overall Summary.</t>
  </si>
  <si>
    <t>Need more than 16 rounds for a patient?</t>
  </si>
  <si>
    <t>Copy the last round block's 10 columns and paste them after Round 16, following the same header pattern.</t>
  </si>
  <si>
    <t>Amount Billed to Patient (₹)</t>
  </si>
  <si>
    <t>Single visit, assumption - update to your rate</t>
  </si>
  <si>
    <t>Per-Hour Nursing</t>
  </si>
  <si>
    <t>Amount Paid to Nurse (₹)</t>
  </si>
  <si>
    <t>Billing Period</t>
  </si>
  <si>
    <t>Hourly, assumption - update to your rate</t>
  </si>
  <si>
    <t>CC2026001</t>
  </si>
  <si>
    <t>Kavitha Nurse</t>
  </si>
  <si>
    <t>Hourly</t>
  </si>
  <si>
    <t>Jul-2026</t>
  </si>
  <si>
    <t>CC2026003</t>
  </si>
  <si>
    <t>Round 1 is billed &amp; closed before Round 2 opens, etc. Total Charges = Nursing + Consumables (auto) + Fixed Charges (you enter).</t>
  </si>
  <si>
    <t>Suresh Nurse</t>
  </si>
  <si>
    <t>Fixed Package</t>
  </si>
  <si>
    <t>Jun-2026</t>
  </si>
  <si>
    <t>CC2026007</t>
  </si>
  <si>
    <t>Patient Number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</si>
  <si>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</si>
  <si>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</si>
  <si>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</si>
  <si>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</si>
  <si>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</si>
  <si>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</si>
  <si>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</si>
  <si>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</si>
  <si>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</si>
  <si>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</si>
  <si>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</si>
  <si>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</si>
  <si>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</si>
  <si>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</si>
  <si>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</si>
  <si>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Round 16</t>
  </si>
  <si>
    <t>Round 17</t>
  </si>
  <si>
    <t>Infusion Date</t>
  </si>
  <si>
    <t>Fixed Charges (₹)</t>
  </si>
  <si>
    <t>Consumable (₹)</t>
  </si>
  <si>
    <t>Nursing (₹)</t>
  </si>
  <si>
    <t>Carcinome (₹)</t>
  </si>
  <si>
    <t>Total Charges (₹)</t>
  </si>
  <si>
    <t>Balance (₹)</t>
  </si>
  <si>
    <t>Payment Status</t>
  </si>
  <si>
    <t>Total Received (₹)</t>
  </si>
  <si>
    <t>Pappu</t>
  </si>
  <si>
    <t>VIJAY</t>
  </si>
  <si>
    <t>99340 38365</t>
  </si>
  <si>
    <t xml:space="preserve">so the treatment is over  all bills paid </t>
  </si>
  <si>
    <t>2026-07-21</t>
  </si>
  <si>
    <t>Chemo Infusion</t>
  </si>
  <si>
    <t>2026-07-29</t>
  </si>
  <si>
    <t>Consumables Master (Price List)</t>
  </si>
  <si>
    <t>Fill Item Code, Item Name, Category, MRP, Landing Price. Margin columns calculate.</t>
  </si>
  <si>
    <t>Item Code</t>
  </si>
  <si>
    <t>Item Name</t>
  </si>
  <si>
    <t>Category</t>
  </si>
  <si>
    <t>MRP (₹)</t>
  </si>
  <si>
    <t>Landing Price (₹)</t>
  </si>
  <si>
    <t>Margin (₹)</t>
  </si>
  <si>
    <t>Margin %</t>
  </si>
  <si>
    <t>CON-001</t>
  </si>
  <si>
    <t>IV Cannula 18G</t>
  </si>
  <si>
    <t>Consumable</t>
  </si>
  <si>
    <t>CON-002</t>
  </si>
  <si>
    <t>Chemo Infusion Set</t>
  </si>
  <si>
    <t>CON-003</t>
  </si>
  <si>
    <t>Central Line Dressing Kit</t>
  </si>
  <si>
    <t>CC2026002</t>
  </si>
  <si>
    <t>Pushpa Ram Bachani</t>
  </si>
  <si>
    <t>SOUMYA AND TANYA</t>
  </si>
  <si>
    <t>98338 63777 : Divesh Bachani</t>
  </si>
  <si>
    <t>need to create bill for 19th and 25th</t>
  </si>
  <si>
    <t>2026-07-19</t>
  </si>
  <si>
    <t>2026-07-25</t>
  </si>
  <si>
    <t>Consumable Usage Log</t>
  </si>
  <si>
    <t>One row per patient per round. Enter the total MRP charged and total landing (supplier) cost for that round; margin calculates automatically.</t>
  </si>
  <si>
    <t>dates</t>
  </si>
  <si>
    <t>MRP Total (₹)</t>
  </si>
  <si>
    <t>Landing Total (₹)</t>
  </si>
  <si>
    <t>Zara Morani</t>
  </si>
  <si>
    <t>-</t>
  </si>
  <si>
    <t>98213 19074 : Karim Morani</t>
  </si>
  <si>
    <t>2026-06-17</t>
  </si>
  <si>
    <t>Chemo Infusion + Nursing 24hrs</t>
  </si>
  <si>
    <t>2026-07-28</t>
  </si>
  <si>
    <t>CC2026004</t>
  </si>
  <si>
    <t>Sanjay Shorewala</t>
  </si>
  <si>
    <t>KOMAL</t>
  </si>
  <si>
    <t>98208 60967</t>
  </si>
  <si>
    <t xml:space="preserve">get the next dates </t>
  </si>
  <si>
    <t>2026-07-23</t>
  </si>
  <si>
    <t>Nursing 24hrs</t>
  </si>
  <si>
    <t>2026-07-31</t>
  </si>
  <si>
    <t>2026-08-01</t>
  </si>
  <si>
    <t>CC2026005</t>
  </si>
  <si>
    <t>Vijay Pandey</t>
  </si>
  <si>
    <t>98200 68937 : Rajesh Dubey</t>
  </si>
  <si>
    <t xml:space="preserve">gray colur is for the infuaion that will happen in hospital </t>
  </si>
  <si>
    <t>CC2026006</t>
  </si>
  <si>
    <t>Vina Pawar</t>
  </si>
  <si>
    <t>TANYA</t>
  </si>
  <si>
    <t>70454 59692</t>
  </si>
  <si>
    <t xml:space="preserve">so the patient has mentioned thatt their 6 rounds of chemo is over and the next one wil be on september and not on 12th aug we need confirmation from dr darshit </t>
  </si>
  <si>
    <t>Kamaladevi Jain</t>
  </si>
  <si>
    <t>SHOURYA</t>
  </si>
  <si>
    <t>98671 44591</t>
  </si>
  <si>
    <t xml:space="preserve">have paid till 10 aug </t>
  </si>
  <si>
    <t>Total Due pulls from Nursing Charges (matched by Nurse Name + Billing Period). Enter Amount Paid.</t>
  </si>
  <si>
    <t>Bill IDs Covered (note)</t>
  </si>
  <si>
    <t>Total Amount Due (₹)</t>
  </si>
  <si>
    <t>Amount Paid (₹)</t>
  </si>
  <si>
    <t>Payment Date</t>
  </si>
  <si>
    <t>CC2026001, CC2026007</t>
  </si>
  <si>
    <t>CC2026008</t>
  </si>
  <si>
    <t>Sushila Sarkar</t>
  </si>
  <si>
    <t>ADYA</t>
  </si>
  <si>
    <t>90044 63261 : Dannie</t>
  </si>
  <si>
    <t xml:space="preserve">the bill needs to be shared and the next infusion dates </t>
  </si>
  <si>
    <t>Anju Gupta</t>
  </si>
  <si>
    <t>CC2026010</t>
  </si>
  <si>
    <t>ganga prasad joshi</t>
  </si>
  <si>
    <t>98191 23750 : Chetan Joshi</t>
  </si>
  <si>
    <t>needs a week once followup</t>
  </si>
  <si>
    <t>CC2026011</t>
  </si>
  <si>
    <t>vanitha suthar</t>
  </si>
  <si>
    <t>98334 43611</t>
  </si>
  <si>
    <t xml:space="preserve">confirmed dates </t>
  </si>
  <si>
    <t>CC2026012</t>
  </si>
  <si>
    <t>Suresh Rathod</t>
  </si>
  <si>
    <t>VIJAY AND SHOURYA</t>
  </si>
  <si>
    <t xml:space="preserve">next date needed need to know the payment status </t>
  </si>
  <si>
    <t>CC2026013</t>
  </si>
  <si>
    <t>Manjula Gada</t>
  </si>
  <si>
    <t>SHAMITA</t>
  </si>
  <si>
    <t>91 90294 96488</t>
  </si>
  <si>
    <t xml:space="preserve">completed </t>
  </si>
  <si>
    <t>CC2026014</t>
  </si>
  <si>
    <t>RAHUL JAIN</t>
  </si>
  <si>
    <t xml:space="preserve">nurse neeeds to be assigned </t>
  </si>
  <si>
    <t>All figures update automatically from the other sheets.</t>
  </si>
  <si>
    <t>Patients &amp; Billing</t>
  </si>
  <si>
    <t>Total Patients</t>
  </si>
  <si>
    <t>Total Billed - All Patients, All Rounds</t>
  </si>
  <si>
    <t>Total Received</t>
  </si>
  <si>
    <t>Total Balance Due</t>
  </si>
  <si>
    <t>Total Nursing Charges (all rounds)</t>
  </si>
  <si>
    <t>Total Consumable Charges Billed - MRP (all rounds)</t>
  </si>
  <si>
    <t>Consumables - Landing vs MRP (Margin)</t>
  </si>
  <si>
    <t>Total Consumable MRP Value</t>
  </si>
  <si>
    <t>Total Consumable Landing Cost</t>
  </si>
  <si>
    <t>Total Consumable Margin</t>
  </si>
  <si>
    <t>Overall Margin %</t>
  </si>
  <si>
    <t>Total Owed to Nurses</t>
  </si>
  <si>
    <t>Total Paid to Nurses</t>
  </si>
  <si>
    <t>Total Pending to Nurses</t>
  </si>
  <si>
    <t>Profit / Margin Summary</t>
  </si>
  <si>
    <t>Total Nursing Margin (Billed - Paid to Nurse)</t>
  </si>
  <si>
    <t>Total Carcinome Profit - All Patients, All Rounds</t>
  </si>
  <si>
    <t>CC2026015</t>
  </si>
  <si>
    <t>helen desouza</t>
  </si>
  <si>
    <t xml:space="preserve">nurse needs to be assigned </t>
  </si>
  <si>
    <t>CC202616</t>
  </si>
  <si>
    <t>hemalini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</si>
</sst>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₹#,##0;&quot;(₹&quot;#,##0\)"/>
    <numFmt numFmtId="165" formatCode="0.0%"/>
  </numFmts>
  <fonts count="16">
    <font>
      <sz val="11.0"/>
      <color theme="1"/>
      <name val="Calibri"/>
      <scheme val="minor"/>
    </font>
    <font>
      <b/>
      <sz val="16.0"/>
      <color rgb="FF1F4E5F"/>
      <name val="Arial"/>
    </font>
    <font>
      <sz val="11.0"/>
      <color theme="1"/>
      <name val="Calibri"/>
    </font>
    <font>
      <i/>
      <sz val="10.0"/>
      <color rgb="FF595959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1.0"/>
      <color rgb="FF1F4E5F"/>
      <name val="Arial"/>
    </font>
    <font>
      <b/>
      <sz val="10.0"/>
      <color rgb="FFFFFFFF"/>
      <name val="Arial"/>
    </font>
    <font>
      <sz val="10.0"/>
      <color rgb="FF0000FF"/>
      <name val="Arial"/>
    </font>
    <font>
      <i/>
      <sz val="9.0"/>
      <color rgb="FF808080"/>
      <name val="Arial"/>
    </font>
    <font>
      <sz val="10.0"/>
      <color rgb="FF008000"/>
      <name val="Arial"/>
    </font>
    <font>
      <sz val="10.0"/>
      <color rgb="FF000000"/>
      <name val="Arial"/>
    </font>
    <font/>
    <font>
      <b/>
      <color rgb="FFFFFFFF"/>
      <name val="Arial"/>
    </font>
    <font>
      <color theme="1"/>
      <name val="Arial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6EC"/>
        <bgColor rgb="FFD9E6EC"/>
      </patternFill>
    </fill>
    <fill>
      <patternFill patternType="solid">
        <fgColor rgb="FF1F4E5F"/>
        <bgColor rgb="FF1F4E5F"/>
      </patternFill>
    </fill>
    <fill>
      <patternFill patternType="solid">
        <fgColor rgb="FFFFF9DB"/>
        <bgColor rgb="FFFFF9DB"/>
      </patternFill>
    </fill>
    <fill>
      <patternFill patternType="solid">
        <fgColor rgb="FF2E6B7E"/>
        <bgColor rgb="FF2E6B7E"/>
      </patternFill>
    </fill>
    <fill>
      <patternFill patternType="solid">
        <fgColor rgb="FF3A7D63"/>
        <bgColor rgb="FF3A7D63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9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1" fillId="2" fontId="6" numFmtId="0" xfId="0" applyAlignment="1" applyBorder="1" applyFill="1" applyFont="1">
      <alignment shrinkToFit="0" vertical="bottom" wrapText="0"/>
    </xf>
    <xf borderId="2" fillId="3" fontId="7" numFmtId="0" xfId="0" applyAlignment="1" applyBorder="1" applyFill="1" applyFont="1">
      <alignment horizontal="center" shrinkToFit="0" vertical="center" wrapText="1"/>
    </xf>
    <xf borderId="2" fillId="4" fontId="8" numFmtId="0" xfId="0" applyAlignment="1" applyBorder="1" applyFill="1" applyFont="1">
      <alignment shrinkToFit="0" vertical="bottom" wrapText="0"/>
    </xf>
    <xf borderId="2" fillId="4" fontId="8" numFmtId="164" xfId="0" applyAlignment="1" applyBorder="1" applyFont="1" applyNumberFormat="1">
      <alignment shrinkToFit="0" vertical="bottom" wrapText="0"/>
    </xf>
    <xf borderId="2" fillId="0" fontId="9" numFmtId="0" xfId="0" applyAlignment="1" applyBorder="1" applyFont="1">
      <alignment shrinkToFit="0" vertical="bottom" wrapText="0"/>
    </xf>
    <xf borderId="2" fillId="0" fontId="10" numFmtId="0" xfId="0" applyAlignment="1" applyBorder="1" applyFont="1">
      <alignment shrinkToFit="0" vertical="bottom" wrapText="0"/>
    </xf>
    <xf borderId="2" fillId="0" fontId="11" numFmtId="164" xfId="0" applyAlignment="1" applyBorder="1" applyFont="1" applyNumberFormat="1">
      <alignment shrinkToFit="0" vertical="bottom" wrapText="0"/>
    </xf>
    <xf borderId="0" fillId="0" fontId="2" numFmtId="0" xfId="0" applyAlignment="1" applyFont="1">
      <alignment vertical="bottom"/>
    </xf>
    <xf borderId="3" fillId="3" fontId="7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shrinkToFit="0" vertical="bottom" wrapText="0"/>
    </xf>
    <xf borderId="4" fillId="5" fontId="7" numFmtId="0" xfId="0" applyAlignment="1" applyBorder="1" applyFill="1" applyFont="1">
      <alignment horizontal="center" shrinkToFit="0" vertical="center" wrapText="1"/>
    </xf>
    <xf borderId="5" fillId="0" fontId="12" numFmtId="0" xfId="0" applyBorder="1" applyFont="1"/>
    <xf borderId="6" fillId="0" fontId="12" numFmtId="0" xfId="0" applyBorder="1" applyFont="1"/>
    <xf borderId="4" fillId="6" fontId="7" numFmtId="0" xfId="0" applyAlignment="1" applyBorder="1" applyFill="1" applyFont="1">
      <alignment horizontal="center" shrinkToFit="0" vertical="center" wrapText="1"/>
    </xf>
    <xf borderId="2" fillId="0" fontId="2" numFmtId="164" xfId="0" applyAlignment="1" applyBorder="1" applyFont="1" applyNumberFormat="1">
      <alignment shrinkToFit="0" vertical="bottom" wrapText="0"/>
    </xf>
    <xf borderId="4" fillId="6" fontId="13" numFmtId="0" xfId="0" applyAlignment="1" applyBorder="1" applyFont="1">
      <alignment horizontal="center" readingOrder="0" shrinkToFit="0" wrapText="1"/>
    </xf>
    <xf borderId="7" fillId="0" fontId="12" numFmtId="0" xfId="0" applyBorder="1" applyFont="1"/>
    <xf borderId="2" fillId="5" fontId="7" numFmtId="0" xfId="0" applyAlignment="1" applyBorder="1" applyFont="1">
      <alignment horizontal="center" shrinkToFit="0" vertical="center" wrapText="1"/>
    </xf>
    <xf borderId="2" fillId="6" fontId="7" numFmtId="0" xfId="0" applyAlignment="1" applyBorder="1" applyFont="1">
      <alignment horizontal="center" shrinkToFit="0" vertical="center" wrapText="1"/>
    </xf>
    <xf borderId="2" fillId="6" fontId="13" numFmtId="0" xfId="0" applyAlignment="1" applyBorder="1" applyFont="1">
      <alignment horizontal="center" shrinkToFit="0" wrapText="1"/>
    </xf>
    <xf borderId="2" fillId="5" fontId="13" numFmtId="0" xfId="0" applyAlignment="1" applyBorder="1" applyFont="1">
      <alignment horizontal="center" shrinkToFit="0" wrapText="1"/>
    </xf>
    <xf borderId="8" fillId="7" fontId="14" numFmtId="0" xfId="0" applyAlignment="1" applyBorder="1" applyFill="1" applyFont="1">
      <alignment horizontal="center" shrinkToFit="0" wrapText="1"/>
    </xf>
    <xf borderId="8" fillId="7" fontId="14" numFmtId="0" xfId="0" applyAlignment="1" applyBorder="1" applyFont="1">
      <alignment shrinkToFit="0" wrapText="1"/>
    </xf>
    <xf borderId="8" fillId="7" fontId="15" numFmtId="0" xfId="0" applyAlignment="1" applyBorder="1" applyFont="1">
      <alignment horizontal="center" shrinkToFit="0" vertical="bottom" wrapText="1"/>
    </xf>
    <xf borderId="8" fillId="7" fontId="15" numFmtId="0" xfId="0" applyAlignment="1" applyBorder="1" applyFont="1">
      <alignment shrinkToFit="0" vertical="bottom" wrapText="1"/>
    </xf>
    <xf borderId="2" fillId="7" fontId="8" numFmtId="0" xfId="0" applyAlignment="1" applyBorder="1" applyFont="1">
      <alignment shrinkToFit="0" vertical="bottom" wrapText="0"/>
    </xf>
    <xf borderId="2" fillId="7" fontId="8" numFmtId="164" xfId="0" applyAlignment="1" applyBorder="1" applyFont="1" applyNumberFormat="1">
      <alignment shrinkToFit="0" vertical="bottom" wrapText="0"/>
    </xf>
    <xf borderId="2" fillId="7" fontId="11" numFmtId="164" xfId="0" applyAlignment="1" applyBorder="1" applyFont="1" applyNumberFormat="1">
      <alignment shrinkToFit="0" vertical="bottom" wrapText="0"/>
    </xf>
    <xf borderId="2" fillId="7" fontId="2" numFmtId="164" xfId="0" applyAlignment="1" applyBorder="1" applyFont="1" applyNumberFormat="1">
      <alignment shrinkToFit="0" vertical="bottom" wrapText="0"/>
    </xf>
    <xf borderId="2" fillId="7" fontId="11" numFmtId="0" xfId="0" applyAlignment="1" applyBorder="1" applyFont="1">
      <alignment shrinkToFit="0" vertical="bottom" wrapText="0"/>
    </xf>
    <xf borderId="2" fillId="7" fontId="2" numFmtId="0" xfId="0" applyAlignment="1" applyBorder="1" applyFont="1">
      <alignment shrinkToFit="0" vertical="bottom" wrapText="0"/>
    </xf>
    <xf borderId="2" fillId="0" fontId="11" numFmtId="165" xfId="0" applyAlignment="1" applyBorder="1" applyFont="1" applyNumberFormat="1">
      <alignment shrinkToFit="0" vertical="bottom" wrapText="0"/>
    </xf>
    <xf borderId="2" fillId="7" fontId="2" numFmtId="0" xfId="0" applyAlignment="1" applyBorder="1" applyFont="1">
      <alignment vertical="bottom"/>
    </xf>
    <xf borderId="2" fillId="7" fontId="2" numFmtId="164" xfId="0" applyAlignment="1" applyBorder="1" applyFont="1" applyNumberFormat="1">
      <alignment vertical="bottom"/>
    </xf>
    <xf borderId="2" fillId="7" fontId="14" numFmtId="164" xfId="0" applyAlignment="1" applyBorder="1" applyFont="1" applyNumberFormat="1">
      <alignment horizontal="right" vertical="bottom"/>
    </xf>
    <xf borderId="8" fillId="0" fontId="14" numFmtId="0" xfId="0" applyAlignment="1" applyBorder="1" applyFont="1">
      <alignment horizontal="center" shrinkToFit="0" wrapText="1"/>
    </xf>
    <xf borderId="8" fillId="0" fontId="14" numFmtId="0" xfId="0" applyAlignment="1" applyBorder="1" applyFont="1">
      <alignment shrinkToFit="0" wrapText="1"/>
    </xf>
    <xf borderId="8" fillId="0" fontId="15" numFmtId="0" xfId="0" applyAlignment="1" applyBorder="1" applyFont="1">
      <alignment horizontal="center" shrinkToFit="0" vertical="bottom" wrapText="1"/>
    </xf>
    <xf borderId="8" fillId="0" fontId="15" numFmtId="0" xfId="0" applyAlignment="1" applyBorder="1" applyFont="1">
      <alignment shrinkToFit="0" vertical="bottom" wrapText="1"/>
    </xf>
    <xf borderId="2" fillId="0" fontId="11" numFmtId="0" xfId="0" applyAlignment="1" applyBorder="1" applyFont="1">
      <alignment shrinkToFit="0" vertical="bottom" wrapText="0"/>
    </xf>
    <xf borderId="2" fillId="4" fontId="2" numFmtId="0" xfId="0" applyAlignment="1" applyBorder="1" applyFont="1">
      <alignment shrinkToFit="0" vertical="bottom" wrapText="0"/>
    </xf>
    <xf borderId="2" fillId="4" fontId="2" numFmtId="164" xfId="0" applyAlignment="1" applyBorder="1" applyFont="1" applyNumberFormat="1">
      <alignment shrinkToFit="0" vertical="bottom" wrapText="0"/>
    </xf>
    <xf borderId="2" fillId="3" fontId="7" numFmtId="0" xfId="0" applyAlignment="1" applyBorder="1" applyFont="1">
      <alignment horizontal="center" readingOrder="0" shrinkToFit="0" vertical="center" wrapText="1"/>
    </xf>
    <xf borderId="2" fillId="4" fontId="8" numFmtId="0" xfId="0" applyAlignment="1" applyBorder="1" applyFont="1">
      <alignment readingOrder="0" shrinkToFit="0" vertical="bottom" wrapText="0"/>
    </xf>
    <xf borderId="2" fillId="4" fontId="2" numFmtId="0" xfId="0" applyAlignment="1" applyBorder="1" applyFont="1">
      <alignment vertical="bottom"/>
    </xf>
    <xf borderId="2" fillId="4" fontId="2" numFmtId="164" xfId="0" applyAlignment="1" applyBorder="1" applyFont="1" applyNumberFormat="1">
      <alignment vertical="bottom"/>
    </xf>
    <xf borderId="2" fillId="0" fontId="14" numFmtId="164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vertical="bottom"/>
    </xf>
    <xf borderId="8" fillId="8" fontId="14" numFmtId="0" xfId="0" applyAlignment="1" applyBorder="1" applyFill="1" applyFont="1">
      <alignment horizontal="center" shrinkToFit="0" wrapText="1"/>
    </xf>
    <xf borderId="8" fillId="8" fontId="14" numFmtId="0" xfId="0" applyAlignment="1" applyBorder="1" applyFont="1">
      <alignment shrinkToFit="0" wrapText="1"/>
    </xf>
    <xf borderId="8" fillId="8" fontId="15" numFmtId="0" xfId="0" applyAlignment="1" applyBorder="1" applyFont="1">
      <alignment horizontal="center" shrinkToFit="0" vertical="bottom" wrapText="1"/>
    </xf>
    <xf borderId="8" fillId="8" fontId="2" numFmtId="0" xfId="0" applyAlignment="1" applyBorder="1" applyFont="1">
      <alignment vertical="bottom"/>
    </xf>
    <xf borderId="8" fillId="8" fontId="2" numFmtId="0" xfId="0" applyBorder="1" applyFont="1"/>
    <xf borderId="8" fillId="9" fontId="14" numFmtId="0" xfId="0" applyAlignment="1" applyBorder="1" applyFill="1" applyFont="1">
      <alignment horizontal="center" shrinkToFit="0" wrapText="1"/>
    </xf>
    <xf borderId="8" fillId="9" fontId="14" numFmtId="0" xfId="0" applyAlignment="1" applyBorder="1" applyFont="1">
      <alignment shrinkToFit="0" wrapText="1"/>
    </xf>
    <xf borderId="8" fillId="9" fontId="15" numFmtId="0" xfId="0" applyAlignment="1" applyBorder="1" applyFont="1">
      <alignment horizontal="center" shrinkToFit="0" vertical="bottom" wrapText="1"/>
    </xf>
    <xf borderId="8" fillId="9" fontId="15" numFmtId="0" xfId="0" applyAlignment="1" applyBorder="1" applyFont="1">
      <alignment shrinkToFit="0" vertical="bottom" wrapText="1"/>
    </xf>
    <xf borderId="2" fillId="0" fontId="2" numFmtId="164" xfId="0" applyAlignment="1" applyBorder="1" applyFont="1" applyNumberFormat="1">
      <alignment vertical="bottom"/>
    </xf>
    <xf borderId="2" fillId="0" fontId="10" numFmtId="164" xfId="0" applyAlignment="1" applyBorder="1" applyFont="1" applyNumberFormat="1">
      <alignment shrinkToFit="0" vertical="bottom" wrapText="0"/>
    </xf>
    <xf borderId="8" fillId="10" fontId="2" numFmtId="0" xfId="0" applyBorder="1" applyFill="1" applyFont="1"/>
    <xf borderId="8" fillId="10" fontId="14" numFmtId="0" xfId="0" applyAlignment="1" applyBorder="1" applyFont="1">
      <alignment shrinkToFit="0" wrapText="1"/>
    </xf>
    <xf borderId="8" fillId="10" fontId="2" numFmtId="0" xfId="0" applyAlignment="1" applyBorder="1" applyFont="1">
      <alignment vertical="bottom"/>
    </xf>
    <xf borderId="8" fillId="11" fontId="14" numFmtId="0" xfId="0" applyAlignment="1" applyBorder="1" applyFill="1" applyFont="1">
      <alignment horizontal="center" shrinkToFit="0" wrapText="1"/>
    </xf>
    <xf borderId="8" fillId="11" fontId="14" numFmtId="0" xfId="0" applyAlignment="1" applyBorder="1" applyFont="1">
      <alignment shrinkToFit="0" wrapText="1"/>
    </xf>
    <xf borderId="8" fillId="11" fontId="15" numFmtId="0" xfId="0" applyAlignment="1" applyBorder="1" applyFont="1">
      <alignment horizontal="center" shrinkToFit="0" vertical="bottom" wrapText="1"/>
    </xf>
    <xf borderId="8" fillId="11" fontId="15" numFmtId="0" xfId="0" applyAlignment="1" applyBorder="1" applyFont="1">
      <alignment shrinkToFit="0" vertical="bottom" wrapText="1"/>
    </xf>
    <xf borderId="8" fillId="0" fontId="2" numFmtId="0" xfId="0" applyAlignment="1" applyBorder="1" applyFont="1">
      <alignment vertical="bottom"/>
    </xf>
    <xf borderId="8" fillId="0" fontId="2" numFmtId="0" xfId="0" applyBorder="1" applyFont="1"/>
    <xf borderId="4" fillId="2" fontId="6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0" fontId="11" numFmtId="1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00.0"/>
    <col customWidth="1" min="3" max="26" width="8.71"/>
  </cols>
  <sheetData>
    <row r="1" ht="19.5" customHeight="1">
      <c r="A1" s="1" t="s">
        <v>0</v>
      </c>
      <c r="B1" s="2"/>
    </row>
    <row r="2" ht="15.0" customHeight="1">
      <c r="A2" s="3" t="s">
        <v>3</v>
      </c>
      <c r="B2" s="2"/>
    </row>
    <row r="3" ht="15.0" customHeight="1">
      <c r="A3" s="4"/>
      <c r="B3" s="5"/>
    </row>
    <row r="4" ht="15.0" customHeight="1">
      <c r="A4" s="6" t="s">
        <v>6</v>
      </c>
      <c r="B4" s="6" t="s">
        <v>8</v>
      </c>
    </row>
    <row r="5" ht="57.0" customHeight="1">
      <c r="A5" s="4" t="s">
        <v>9</v>
      </c>
      <c r="B5" s="5" t="s">
        <v>10</v>
      </c>
    </row>
    <row r="6" ht="23.25" customHeight="1">
      <c r="A6" s="4" t="s">
        <v>11</v>
      </c>
      <c r="B6" s="5" t="s">
        <v>12</v>
      </c>
    </row>
    <row r="7" ht="23.25" customHeight="1">
      <c r="A7" s="4" t="s">
        <v>1</v>
      </c>
      <c r="B7" s="5" t="s">
        <v>15</v>
      </c>
    </row>
    <row r="8" ht="15.0" customHeight="1">
      <c r="A8" s="4" t="s">
        <v>16</v>
      </c>
      <c r="B8" s="5" t="s">
        <v>18</v>
      </c>
    </row>
    <row r="9" ht="23.25" customHeight="1">
      <c r="A9" s="4" t="s">
        <v>19</v>
      </c>
      <c r="B9" s="5" t="s">
        <v>20</v>
      </c>
    </row>
    <row r="10" ht="15.0" customHeight="1">
      <c r="A10" s="4" t="s">
        <v>23</v>
      </c>
      <c r="B10" s="5" t="s">
        <v>24</v>
      </c>
    </row>
    <row r="11" ht="15.0" customHeight="1">
      <c r="A11" s="4" t="s">
        <v>25</v>
      </c>
      <c r="B11" s="5" t="s">
        <v>26</v>
      </c>
    </row>
    <row r="12" ht="15.0" customHeight="1">
      <c r="A12" s="4"/>
      <c r="B12" s="5"/>
    </row>
    <row r="13" ht="15.0" customHeight="1">
      <c r="A13" s="6" t="s">
        <v>29</v>
      </c>
      <c r="B13" s="6"/>
    </row>
    <row r="14" ht="15.0" customHeight="1">
      <c r="A14" s="4" t="s">
        <v>31</v>
      </c>
      <c r="B14" s="5" t="s">
        <v>33</v>
      </c>
    </row>
    <row r="15" ht="15.0" customHeight="1">
      <c r="A15" s="4" t="s">
        <v>34</v>
      </c>
      <c r="B15" s="5" t="s">
        <v>35</v>
      </c>
    </row>
    <row r="16" ht="15.0" customHeight="1">
      <c r="A16" s="4" t="s">
        <v>38</v>
      </c>
      <c r="B16" s="5" t="s">
        <v>39</v>
      </c>
    </row>
    <row r="17" ht="15.0" customHeight="1">
      <c r="A17" s="4"/>
      <c r="B17" s="5"/>
    </row>
    <row r="18" ht="23.25" customHeight="1">
      <c r="A18" s="4" t="s">
        <v>41</v>
      </c>
      <c r="B18" s="5" t="s">
        <v>43</v>
      </c>
    </row>
    <row r="19" ht="23.25" customHeight="1">
      <c r="A19" s="4" t="s">
        <v>45</v>
      </c>
      <c r="B19" s="5" t="s">
        <v>46</v>
      </c>
    </row>
    <row r="20" ht="15.0" customHeight="1">
      <c r="A20" s="4" t="s">
        <v>48</v>
      </c>
      <c r="B20" s="5" t="s">
        <v>50</v>
      </c>
    </row>
    <row r="21" ht="15.75" customHeight="1">
      <c r="A21" s="4" t="s">
        <v>51</v>
      </c>
      <c r="B21" s="5" t="s">
        <v>52</v>
      </c>
    </row>
    <row r="22" ht="15.75" customHeight="1">
      <c r="A22" s="2"/>
      <c r="B22" s="2"/>
    </row>
    <row r="23" ht="15.75" customHeight="1">
      <c r="A23" s="2"/>
      <c r="B23" s="2"/>
    </row>
    <row r="24" ht="15.75" customHeight="1">
      <c r="A24" s="2"/>
      <c r="B24" s="2"/>
    </row>
    <row r="25" ht="15.75" customHeight="1">
      <c r="A25" s="2"/>
      <c r="B25" s="2"/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16.0"/>
    <col customWidth="1" min="4" max="5" width="26.0"/>
    <col customWidth="1" min="6" max="6" width="16.0"/>
    <col customWidth="1" min="7" max="11" width="13.0"/>
    <col customWidth="1" min="12" max="12" width="12.0"/>
    <col customWidth="1" min="13" max="13" width="16.0"/>
    <col customWidth="1" min="14" max="25" width="13.0"/>
    <col customWidth="1" min="26" max="26" width="12.0"/>
    <col customWidth="1" min="27" max="27" width="16.0"/>
    <col customWidth="1" min="28" max="32" width="13.0"/>
    <col customWidth="1" min="33" max="33" width="12.0"/>
    <col customWidth="1" min="34" max="34" width="16.0"/>
    <col customWidth="1" min="35" max="46" width="13.0"/>
    <col customWidth="1" min="47" max="47" width="12.0"/>
    <col customWidth="1" min="48" max="48" width="16.0"/>
    <col customWidth="1" min="49" max="53" width="13.0"/>
    <col customWidth="1" min="54" max="54" width="12.0"/>
    <col customWidth="1" min="55" max="55" width="16.0"/>
    <col customWidth="1" min="56" max="61" width="13.0"/>
    <col customWidth="1" min="62" max="62" width="16.0"/>
    <col customWidth="1" min="63" max="67" width="13.0"/>
    <col customWidth="1" min="68" max="68" width="12.0"/>
    <col customWidth="1" min="69" max="74" width="13.0"/>
    <col customWidth="1" min="75" max="75" width="12.0"/>
    <col customWidth="1" min="76" max="76" width="16.0"/>
    <col customWidth="1" min="77" max="81" width="13.0"/>
    <col customWidth="1" min="82" max="82" width="12.0"/>
    <col customWidth="1" min="83" max="83" width="16.0"/>
    <col customWidth="1" min="84" max="95" width="13.0"/>
    <col customWidth="1" min="96" max="96" width="12.0"/>
    <col customWidth="1" min="97" max="97" width="16.0"/>
    <col customWidth="1" min="98" max="102" width="13.0"/>
    <col customWidth="1" min="103" max="103" width="12.0"/>
    <col customWidth="1" min="104" max="104" width="16.0"/>
    <col customWidth="1" min="105" max="116" width="13.0"/>
    <col customWidth="1" min="117" max="117" width="12.0"/>
    <col customWidth="1" min="118" max="118" width="8.71"/>
    <col customWidth="1" min="119" max="121" width="13.0"/>
    <col customWidth="1" min="122" max="128" width="8.71"/>
    <col customWidth="1" min="129" max="131" width="13.0"/>
    <col customWidth="1" min="132" max="138" width="8.71"/>
    <col customWidth="1" min="139" max="141" width="13.0"/>
    <col customWidth="1" min="142" max="148" width="8.71"/>
    <col customWidth="1" min="149" max="151" width="13.0"/>
    <col customWidth="1" min="152" max="158" width="8.71"/>
    <col customWidth="1" min="159" max="161" width="13.0"/>
    <col customWidth="1" min="162" max="175" width="8.71"/>
  </cols>
  <sheetData>
    <row r="1" ht="21.75" customHeight="1">
      <c r="A1" s="1" t="s">
        <v>14</v>
      </c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O1" s="2"/>
      <c r="DP1" s="2"/>
      <c r="DQ1" s="2"/>
      <c r="DY1" s="2"/>
      <c r="DZ1" s="2"/>
      <c r="EA1" s="2"/>
      <c r="EI1" s="2"/>
      <c r="EJ1" s="2"/>
      <c r="EK1" s="2"/>
      <c r="ES1" s="2"/>
      <c r="ET1" s="2"/>
      <c r="EU1" s="2"/>
      <c r="FC1" s="2"/>
      <c r="FD1" s="2"/>
      <c r="FE1" s="2"/>
      <c r="FJ1" s="13"/>
      <c r="FK1" s="13"/>
      <c r="FL1" s="13"/>
      <c r="FM1" s="13"/>
      <c r="FN1" s="13"/>
      <c r="FO1" s="13"/>
      <c r="FP1" s="13"/>
      <c r="FQ1" s="13"/>
      <c r="FR1" s="13"/>
      <c r="FS1" s="13"/>
    </row>
    <row r="2" ht="15.0" customHeight="1">
      <c r="A2" s="3" t="s">
        <v>64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O2" s="2"/>
      <c r="DP2" s="2"/>
      <c r="DQ2" s="2"/>
      <c r="DY2" s="2"/>
      <c r="DZ2" s="2"/>
      <c r="EA2" s="2"/>
      <c r="EI2" s="2"/>
      <c r="EJ2" s="2"/>
      <c r="EK2" s="2"/>
      <c r="ES2" s="2"/>
      <c r="ET2" s="2"/>
      <c r="EU2" s="2"/>
      <c r="FC2" s="2"/>
      <c r="FD2" s="2"/>
      <c r="FE2" s="2"/>
      <c r="FJ2" s="13"/>
      <c r="FK2" s="13"/>
      <c r="FL2" s="13"/>
      <c r="FM2" s="13"/>
      <c r="FN2" s="13"/>
      <c r="FO2" s="13"/>
      <c r="FP2" s="13"/>
      <c r="FQ2" s="13"/>
      <c r="FR2" s="13"/>
      <c r="FS2" s="13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O3" s="2"/>
      <c r="DP3" s="2"/>
      <c r="DQ3" s="2"/>
      <c r="DY3" s="2"/>
      <c r="DZ3" s="2"/>
      <c r="EA3" s="2"/>
      <c r="EI3" s="2"/>
      <c r="EJ3" s="2"/>
      <c r="EK3" s="2"/>
      <c r="ES3" s="2"/>
      <c r="ET3" s="2"/>
      <c r="EU3" s="2"/>
      <c r="FC3" s="2"/>
      <c r="FD3" s="2"/>
      <c r="FE3" s="2"/>
      <c r="FJ3" s="13"/>
      <c r="FK3" s="13"/>
      <c r="FL3" s="13"/>
      <c r="FM3" s="13"/>
      <c r="FN3" s="13"/>
      <c r="FO3" s="13"/>
      <c r="FP3" s="13"/>
      <c r="FQ3" s="13"/>
      <c r="FR3" s="13"/>
      <c r="FS3" s="13"/>
    </row>
    <row r="4" ht="19.5" customHeight="1">
      <c r="A4" s="14" t="s">
        <v>22</v>
      </c>
      <c r="B4" s="14" t="s">
        <v>27</v>
      </c>
      <c r="C4" s="14" t="s">
        <v>69</v>
      </c>
      <c r="D4" s="7"/>
      <c r="E4" s="14" t="s">
        <v>17</v>
      </c>
      <c r="F4" s="16" t="s">
        <v>70</v>
      </c>
      <c r="G4" s="17"/>
      <c r="H4" s="17"/>
      <c r="I4" s="17"/>
      <c r="J4" s="17"/>
      <c r="K4" s="17"/>
      <c r="L4" s="17"/>
      <c r="M4" s="17"/>
      <c r="N4" s="17"/>
      <c r="O4" s="18"/>
      <c r="P4" s="19" t="s">
        <v>71</v>
      </c>
      <c r="Q4" s="17"/>
      <c r="R4" s="17"/>
      <c r="S4" s="17"/>
      <c r="T4" s="17"/>
      <c r="U4" s="17"/>
      <c r="V4" s="17"/>
      <c r="W4" s="17"/>
      <c r="X4" s="17"/>
      <c r="Y4" s="18"/>
      <c r="Z4" s="16" t="s">
        <v>72</v>
      </c>
      <c r="AA4" s="17"/>
      <c r="AB4" s="17"/>
      <c r="AC4" s="17"/>
      <c r="AD4" s="17"/>
      <c r="AE4" s="17"/>
      <c r="AF4" s="17"/>
      <c r="AG4" s="17"/>
      <c r="AH4" s="17"/>
      <c r="AI4" s="18"/>
      <c r="AJ4" s="19" t="s">
        <v>73</v>
      </c>
      <c r="AK4" s="17"/>
      <c r="AL4" s="17"/>
      <c r="AM4" s="17"/>
      <c r="AN4" s="17"/>
      <c r="AO4" s="17"/>
      <c r="AP4" s="17"/>
      <c r="AQ4" s="17"/>
      <c r="AR4" s="17"/>
      <c r="AS4" s="18"/>
      <c r="AT4" s="16" t="s">
        <v>74</v>
      </c>
      <c r="AU4" s="17"/>
      <c r="AV4" s="17"/>
      <c r="AW4" s="17"/>
      <c r="AX4" s="17"/>
      <c r="AY4" s="17"/>
      <c r="AZ4" s="17"/>
      <c r="BA4" s="17"/>
      <c r="BB4" s="17"/>
      <c r="BC4" s="18"/>
      <c r="BD4" s="19" t="s">
        <v>75</v>
      </c>
      <c r="BE4" s="17"/>
      <c r="BF4" s="17"/>
      <c r="BG4" s="17"/>
      <c r="BH4" s="17"/>
      <c r="BI4" s="17"/>
      <c r="BJ4" s="17"/>
      <c r="BK4" s="17"/>
      <c r="BL4" s="17"/>
      <c r="BM4" s="18"/>
      <c r="BN4" s="16" t="s">
        <v>76</v>
      </c>
      <c r="BO4" s="17"/>
      <c r="BP4" s="17"/>
      <c r="BQ4" s="17"/>
      <c r="BR4" s="17"/>
      <c r="BS4" s="17"/>
      <c r="BT4" s="17"/>
      <c r="BU4" s="17"/>
      <c r="BV4" s="17"/>
      <c r="BW4" s="18"/>
      <c r="BX4" s="19" t="s">
        <v>77</v>
      </c>
      <c r="BY4" s="17"/>
      <c r="BZ4" s="17"/>
      <c r="CA4" s="17"/>
      <c r="CB4" s="17"/>
      <c r="CC4" s="17"/>
      <c r="CD4" s="17"/>
      <c r="CE4" s="17"/>
      <c r="CF4" s="17"/>
      <c r="CG4" s="18"/>
      <c r="CH4" s="16" t="s">
        <v>78</v>
      </c>
      <c r="CI4" s="17"/>
      <c r="CJ4" s="17"/>
      <c r="CK4" s="17"/>
      <c r="CL4" s="17"/>
      <c r="CM4" s="17"/>
      <c r="CN4" s="17"/>
      <c r="CO4" s="17"/>
      <c r="CP4" s="17"/>
      <c r="CQ4" s="18"/>
      <c r="CR4" s="19" t="s">
        <v>79</v>
      </c>
      <c r="CS4" s="17"/>
      <c r="CT4" s="17"/>
      <c r="CU4" s="17"/>
      <c r="CV4" s="17"/>
      <c r="CW4" s="17"/>
      <c r="CX4" s="17"/>
      <c r="CY4" s="17"/>
      <c r="CZ4" s="17"/>
      <c r="DA4" s="18"/>
      <c r="DB4" s="16" t="s">
        <v>80</v>
      </c>
      <c r="DC4" s="17"/>
      <c r="DD4" s="17"/>
      <c r="DE4" s="17"/>
      <c r="DF4" s="17"/>
      <c r="DG4" s="17"/>
      <c r="DH4" s="17"/>
      <c r="DI4" s="17"/>
      <c r="DJ4" s="17"/>
      <c r="DK4" s="18"/>
      <c r="DL4" s="19" t="s">
        <v>81</v>
      </c>
      <c r="DM4" s="17"/>
      <c r="DN4" s="17"/>
      <c r="DO4" s="17"/>
      <c r="DP4" s="17"/>
      <c r="DQ4" s="17"/>
      <c r="DR4" s="17"/>
      <c r="DS4" s="17"/>
      <c r="DT4" s="17"/>
      <c r="DU4" s="18"/>
      <c r="DV4" s="16" t="s">
        <v>82</v>
      </c>
      <c r="DW4" s="17"/>
      <c r="DX4" s="17"/>
      <c r="DY4" s="17"/>
      <c r="DZ4" s="17"/>
      <c r="EA4" s="17"/>
      <c r="EB4" s="17"/>
      <c r="EC4" s="17"/>
      <c r="ED4" s="17"/>
      <c r="EE4" s="18"/>
      <c r="EF4" s="19" t="s">
        <v>83</v>
      </c>
      <c r="EG4" s="17"/>
      <c r="EH4" s="17"/>
      <c r="EI4" s="17"/>
      <c r="EJ4" s="17"/>
      <c r="EK4" s="17"/>
      <c r="EL4" s="17"/>
      <c r="EM4" s="17"/>
      <c r="EN4" s="17"/>
      <c r="EO4" s="18"/>
      <c r="EP4" s="16" t="s">
        <v>84</v>
      </c>
      <c r="EQ4" s="17"/>
      <c r="ER4" s="17"/>
      <c r="ES4" s="17"/>
      <c r="ET4" s="17"/>
      <c r="EU4" s="17"/>
      <c r="EV4" s="17"/>
      <c r="EW4" s="17"/>
      <c r="EX4" s="17"/>
      <c r="EY4" s="18"/>
      <c r="EZ4" s="19" t="s">
        <v>85</v>
      </c>
      <c r="FA4" s="17"/>
      <c r="FB4" s="17"/>
      <c r="FC4" s="17"/>
      <c r="FD4" s="17"/>
      <c r="FE4" s="17"/>
      <c r="FF4" s="17"/>
      <c r="FG4" s="17"/>
      <c r="FH4" s="17"/>
      <c r="FI4" s="18"/>
      <c r="FJ4" s="21" t="s">
        <v>86</v>
      </c>
      <c r="FK4" s="17"/>
      <c r="FL4" s="17"/>
      <c r="FM4" s="17"/>
      <c r="FN4" s="17"/>
      <c r="FO4" s="17"/>
      <c r="FP4" s="17"/>
      <c r="FQ4" s="17"/>
      <c r="FR4" s="17"/>
      <c r="FS4" s="18"/>
    </row>
    <row r="5" ht="30.0" customHeight="1">
      <c r="A5" s="22"/>
      <c r="B5" s="22"/>
      <c r="C5" s="22"/>
      <c r="D5" s="7"/>
      <c r="E5" s="22"/>
      <c r="F5" s="23" t="s">
        <v>7</v>
      </c>
      <c r="G5" s="23" t="s">
        <v>87</v>
      </c>
      <c r="H5" s="23" t="s">
        <v>88</v>
      </c>
      <c r="I5" s="23" t="s">
        <v>89</v>
      </c>
      <c r="J5" s="23" t="s">
        <v>90</v>
      </c>
      <c r="K5" s="23" t="s">
        <v>91</v>
      </c>
      <c r="L5" s="23" t="s">
        <v>92</v>
      </c>
      <c r="M5" s="23"/>
      <c r="N5" s="23" t="s">
        <v>93</v>
      </c>
      <c r="O5" s="23" t="s">
        <v>94</v>
      </c>
      <c r="P5" s="24" t="s">
        <v>7</v>
      </c>
      <c r="Q5" s="24" t="s">
        <v>87</v>
      </c>
      <c r="R5" s="24" t="s">
        <v>88</v>
      </c>
      <c r="S5" s="23" t="s">
        <v>89</v>
      </c>
      <c r="T5" s="23" t="s">
        <v>90</v>
      </c>
      <c r="U5" s="23" t="s">
        <v>91</v>
      </c>
      <c r="V5" s="24" t="s">
        <v>92</v>
      </c>
      <c r="W5" s="24" t="s">
        <v>95</v>
      </c>
      <c r="X5" s="24" t="s">
        <v>93</v>
      </c>
      <c r="Y5" s="24" t="s">
        <v>94</v>
      </c>
      <c r="Z5" s="23" t="s">
        <v>7</v>
      </c>
      <c r="AA5" s="23" t="s">
        <v>87</v>
      </c>
      <c r="AB5" s="23" t="s">
        <v>88</v>
      </c>
      <c r="AC5" s="23" t="s">
        <v>89</v>
      </c>
      <c r="AD5" s="23" t="s">
        <v>90</v>
      </c>
      <c r="AE5" s="23" t="s">
        <v>91</v>
      </c>
      <c r="AF5" s="23" t="s">
        <v>92</v>
      </c>
      <c r="AG5" s="23" t="s">
        <v>95</v>
      </c>
      <c r="AH5" s="23" t="s">
        <v>93</v>
      </c>
      <c r="AI5" s="23" t="s">
        <v>94</v>
      </c>
      <c r="AJ5" s="24" t="s">
        <v>7</v>
      </c>
      <c r="AK5" s="24" t="s">
        <v>87</v>
      </c>
      <c r="AL5" s="24" t="s">
        <v>88</v>
      </c>
      <c r="AM5" s="23" t="s">
        <v>89</v>
      </c>
      <c r="AN5" s="23" t="s">
        <v>90</v>
      </c>
      <c r="AO5" s="23" t="s">
        <v>91</v>
      </c>
      <c r="AP5" s="24" t="s">
        <v>92</v>
      </c>
      <c r="AQ5" s="24" t="s">
        <v>95</v>
      </c>
      <c r="AR5" s="24" t="s">
        <v>93</v>
      </c>
      <c r="AS5" s="24" t="s">
        <v>94</v>
      </c>
      <c r="AT5" s="23" t="s">
        <v>7</v>
      </c>
      <c r="AU5" s="23" t="s">
        <v>87</v>
      </c>
      <c r="AV5" s="23" t="s">
        <v>88</v>
      </c>
      <c r="AW5" s="23" t="s">
        <v>89</v>
      </c>
      <c r="AX5" s="23" t="s">
        <v>90</v>
      </c>
      <c r="AY5" s="23" t="s">
        <v>91</v>
      </c>
      <c r="AZ5" s="23" t="s">
        <v>92</v>
      </c>
      <c r="BA5" s="23" t="s">
        <v>95</v>
      </c>
      <c r="BB5" s="23" t="s">
        <v>93</v>
      </c>
      <c r="BC5" s="23" t="s">
        <v>94</v>
      </c>
      <c r="BD5" s="24" t="s">
        <v>7</v>
      </c>
      <c r="BE5" s="24" t="s">
        <v>87</v>
      </c>
      <c r="BF5" s="24" t="s">
        <v>88</v>
      </c>
      <c r="BG5" s="23" t="s">
        <v>89</v>
      </c>
      <c r="BH5" s="23" t="s">
        <v>90</v>
      </c>
      <c r="BI5" s="23" t="s">
        <v>91</v>
      </c>
      <c r="BJ5" s="24" t="s">
        <v>92</v>
      </c>
      <c r="BK5" s="24" t="s">
        <v>95</v>
      </c>
      <c r="BL5" s="24" t="s">
        <v>93</v>
      </c>
      <c r="BM5" s="24" t="s">
        <v>94</v>
      </c>
      <c r="BN5" s="23" t="s">
        <v>7</v>
      </c>
      <c r="BO5" s="23" t="s">
        <v>87</v>
      </c>
      <c r="BP5" s="23" t="s">
        <v>88</v>
      </c>
      <c r="BQ5" s="23" t="s">
        <v>89</v>
      </c>
      <c r="BR5" s="23" t="s">
        <v>90</v>
      </c>
      <c r="BS5" s="23" t="s">
        <v>91</v>
      </c>
      <c r="BT5" s="23" t="s">
        <v>92</v>
      </c>
      <c r="BU5" s="23" t="s">
        <v>95</v>
      </c>
      <c r="BV5" s="23" t="s">
        <v>93</v>
      </c>
      <c r="BW5" s="23" t="s">
        <v>94</v>
      </c>
      <c r="BX5" s="24" t="s">
        <v>7</v>
      </c>
      <c r="BY5" s="24" t="s">
        <v>87</v>
      </c>
      <c r="BZ5" s="24" t="s">
        <v>88</v>
      </c>
      <c r="CA5" s="23" t="s">
        <v>89</v>
      </c>
      <c r="CB5" s="23" t="s">
        <v>90</v>
      </c>
      <c r="CC5" s="23" t="s">
        <v>91</v>
      </c>
      <c r="CD5" s="24" t="s">
        <v>92</v>
      </c>
      <c r="CE5" s="24" t="s">
        <v>95</v>
      </c>
      <c r="CF5" s="24" t="s">
        <v>93</v>
      </c>
      <c r="CG5" s="24" t="s">
        <v>94</v>
      </c>
      <c r="CH5" s="23" t="s">
        <v>7</v>
      </c>
      <c r="CI5" s="23" t="s">
        <v>87</v>
      </c>
      <c r="CJ5" s="23" t="s">
        <v>88</v>
      </c>
      <c r="CK5" s="23" t="s">
        <v>89</v>
      </c>
      <c r="CL5" s="23" t="s">
        <v>90</v>
      </c>
      <c r="CM5" s="23" t="s">
        <v>91</v>
      </c>
      <c r="CN5" s="23" t="s">
        <v>92</v>
      </c>
      <c r="CO5" s="23" t="s">
        <v>95</v>
      </c>
      <c r="CP5" s="23" t="s">
        <v>93</v>
      </c>
      <c r="CQ5" s="23" t="s">
        <v>94</v>
      </c>
      <c r="CR5" s="24" t="s">
        <v>7</v>
      </c>
      <c r="CS5" s="24" t="s">
        <v>87</v>
      </c>
      <c r="CT5" s="24" t="s">
        <v>88</v>
      </c>
      <c r="CU5" s="23" t="s">
        <v>89</v>
      </c>
      <c r="CV5" s="23" t="s">
        <v>90</v>
      </c>
      <c r="CW5" s="23" t="s">
        <v>91</v>
      </c>
      <c r="CX5" s="24" t="s">
        <v>92</v>
      </c>
      <c r="CY5" s="24" t="s">
        <v>95</v>
      </c>
      <c r="CZ5" s="24" t="s">
        <v>93</v>
      </c>
      <c r="DA5" s="24" t="s">
        <v>94</v>
      </c>
      <c r="DB5" s="23" t="s">
        <v>7</v>
      </c>
      <c r="DC5" s="23" t="s">
        <v>87</v>
      </c>
      <c r="DD5" s="23" t="s">
        <v>88</v>
      </c>
      <c r="DE5" s="23" t="s">
        <v>89</v>
      </c>
      <c r="DF5" s="23" t="s">
        <v>90</v>
      </c>
      <c r="DG5" s="23" t="s">
        <v>91</v>
      </c>
      <c r="DH5" s="23" t="s">
        <v>92</v>
      </c>
      <c r="DI5" s="23" t="s">
        <v>95</v>
      </c>
      <c r="DJ5" s="23" t="s">
        <v>93</v>
      </c>
      <c r="DK5" s="23" t="s">
        <v>94</v>
      </c>
      <c r="DL5" s="24" t="s">
        <v>7</v>
      </c>
      <c r="DM5" s="24" t="s">
        <v>87</v>
      </c>
      <c r="DN5" s="24" t="s">
        <v>88</v>
      </c>
      <c r="DO5" s="23" t="s">
        <v>89</v>
      </c>
      <c r="DP5" s="23" t="s">
        <v>90</v>
      </c>
      <c r="DQ5" s="23" t="s">
        <v>91</v>
      </c>
      <c r="DR5" s="24" t="s">
        <v>92</v>
      </c>
      <c r="DS5" s="24" t="s">
        <v>95</v>
      </c>
      <c r="DT5" s="24" t="s">
        <v>93</v>
      </c>
      <c r="DU5" s="24" t="s">
        <v>94</v>
      </c>
      <c r="DV5" s="23" t="s">
        <v>7</v>
      </c>
      <c r="DW5" s="23" t="s">
        <v>87</v>
      </c>
      <c r="DX5" s="23" t="s">
        <v>88</v>
      </c>
      <c r="DY5" s="23" t="s">
        <v>89</v>
      </c>
      <c r="DZ5" s="23" t="s">
        <v>90</v>
      </c>
      <c r="EA5" s="23" t="s">
        <v>91</v>
      </c>
      <c r="EB5" s="23" t="s">
        <v>92</v>
      </c>
      <c r="EC5" s="23" t="s">
        <v>95</v>
      </c>
      <c r="ED5" s="23" t="s">
        <v>93</v>
      </c>
      <c r="EE5" s="23" t="s">
        <v>94</v>
      </c>
      <c r="EF5" s="24" t="s">
        <v>7</v>
      </c>
      <c r="EG5" s="24" t="s">
        <v>87</v>
      </c>
      <c r="EH5" s="24" t="s">
        <v>88</v>
      </c>
      <c r="EI5" s="23" t="s">
        <v>89</v>
      </c>
      <c r="EJ5" s="23" t="s">
        <v>90</v>
      </c>
      <c r="EK5" s="23" t="s">
        <v>91</v>
      </c>
      <c r="EL5" s="24" t="s">
        <v>92</v>
      </c>
      <c r="EM5" s="24" t="s">
        <v>95</v>
      </c>
      <c r="EN5" s="24" t="s">
        <v>93</v>
      </c>
      <c r="EO5" s="24" t="s">
        <v>94</v>
      </c>
      <c r="EP5" s="23" t="s">
        <v>7</v>
      </c>
      <c r="EQ5" s="23" t="s">
        <v>87</v>
      </c>
      <c r="ER5" s="23" t="s">
        <v>88</v>
      </c>
      <c r="ES5" s="23" t="s">
        <v>89</v>
      </c>
      <c r="ET5" s="23" t="s">
        <v>90</v>
      </c>
      <c r="EU5" s="23" t="s">
        <v>91</v>
      </c>
      <c r="EV5" s="23" t="s">
        <v>92</v>
      </c>
      <c r="EW5" s="23" t="s">
        <v>95</v>
      </c>
      <c r="EX5" s="23" t="s">
        <v>93</v>
      </c>
      <c r="EY5" s="23" t="s">
        <v>94</v>
      </c>
      <c r="EZ5" s="24" t="s">
        <v>7</v>
      </c>
      <c r="FA5" s="24" t="s">
        <v>87</v>
      </c>
      <c r="FB5" s="24" t="s">
        <v>88</v>
      </c>
      <c r="FC5" s="23" t="s">
        <v>89</v>
      </c>
      <c r="FD5" s="23" t="s">
        <v>90</v>
      </c>
      <c r="FE5" s="23" t="s">
        <v>91</v>
      </c>
      <c r="FF5" s="24" t="s">
        <v>92</v>
      </c>
      <c r="FG5" s="24" t="s">
        <v>95</v>
      </c>
      <c r="FH5" s="24" t="s">
        <v>93</v>
      </c>
      <c r="FI5" s="24" t="s">
        <v>94</v>
      </c>
      <c r="FJ5" s="25" t="s">
        <v>7</v>
      </c>
      <c r="FK5" s="25" t="s">
        <v>87</v>
      </c>
      <c r="FL5" s="25" t="s">
        <v>88</v>
      </c>
      <c r="FM5" s="26" t="s">
        <v>89</v>
      </c>
      <c r="FN5" s="26" t="s">
        <v>90</v>
      </c>
      <c r="FO5" s="26" t="s">
        <v>91</v>
      </c>
      <c r="FP5" s="25" t="s">
        <v>92</v>
      </c>
      <c r="FQ5" s="25" t="s">
        <v>95</v>
      </c>
      <c r="FR5" s="25" t="s">
        <v>93</v>
      </c>
      <c r="FS5" s="25" t="s">
        <v>94</v>
      </c>
    </row>
    <row r="6" ht="57.0" customHeight="1">
      <c r="A6" s="27" t="s">
        <v>59</v>
      </c>
      <c r="B6" s="28" t="s">
        <v>96</v>
      </c>
      <c r="C6" s="27" t="s">
        <v>97</v>
      </c>
      <c r="D6" s="29" t="s">
        <v>98</v>
      </c>
      <c r="E6" s="30" t="s">
        <v>99</v>
      </c>
      <c r="F6" s="28"/>
      <c r="G6" s="31" t="s">
        <v>100</v>
      </c>
      <c r="H6" s="32">
        <v>0.0</v>
      </c>
      <c r="I6" s="33">
        <f>IF($A6="","",SUMIFS('Consumable Usage'!$E:$E,'Consumable Usage'!$A:$A,$A6,'Consumable Usage'!$D:$D,1))</f>
        <v>0</v>
      </c>
      <c r="J6" s="33">
        <f>IF($A6="","",SUMIFS('Nursing Charges'!$I:$I,'Nursing Charges'!$A:$A,$A6,'Nursing Charges'!$C:$C,1))</f>
        <v>5400</v>
      </c>
      <c r="K6" s="33">
        <f>IF($A6="","",H6+(J6-SUMIFS('Nursing Charges'!$J:$J,'Nursing Charges'!$A:$A,$A6,'Nursing Charges'!$C:$C,1))+(I6-SUMIFS('Consumable Usage'!$F:$F,'Consumable Usage'!$A:$A,$A6,'Consumable Usage'!$D:$D,1)))</f>
        <v>5400</v>
      </c>
      <c r="L6" s="33">
        <f t="shared" ref="L6:L150" si="1">IF($A6="","",H6+J6+I6)</f>
        <v>5400</v>
      </c>
      <c r="M6" s="34"/>
      <c r="N6" s="33">
        <f t="shared" ref="N6:N150" si="2">IF(L6="","",L6-M6)</f>
        <v>5400</v>
      </c>
      <c r="O6" s="35" t="str">
        <f t="shared" ref="O6:O150" si="3">IF(OR($A6="",F6=""),"",IF(L6=0,"No Charges",IF(N6&lt;=0,"Paid",IF(M6&gt;0,"Partial","Pending"))))</f>
        <v/>
      </c>
      <c r="P6" s="31" t="s">
        <v>101</v>
      </c>
      <c r="Q6" s="31" t="s">
        <v>102</v>
      </c>
      <c r="R6" s="32">
        <v>0.0</v>
      </c>
      <c r="S6" s="33">
        <f>IF($A6="","",SUMIFS('Consumable Usage'!$E:$E,'Consumable Usage'!$A:$A,$A6,'Consumable Usage'!$D:$D,2))</f>
        <v>0</v>
      </c>
      <c r="T6" s="33">
        <f>IF($A6="","",SUMIFS('Nursing Charges'!$I:$I,'Nursing Charges'!$A:$A,$A6,'Nursing Charges'!$C:$C,2))</f>
        <v>0</v>
      </c>
      <c r="U6" s="33">
        <f>IF($A6="","",R6+(T6-SUMIFS('Nursing Charges'!$J:$J,'Nursing Charges'!$A:$A,$A6,'Nursing Charges'!$C:$C,2))+(S6-SUMIFS('Consumable Usage'!$F:$F,'Consumable Usage'!$A:$A,$A6,'Consumable Usage'!$D:$D,2)))</f>
        <v>0</v>
      </c>
      <c r="V6" s="33">
        <f t="shared" ref="V6:V150" si="4">IF($A6="","",R6+T6+S6)</f>
        <v>0</v>
      </c>
      <c r="W6" s="34"/>
      <c r="X6" s="33">
        <f t="shared" ref="X6:X150" si="5">IF(V6="","",V6-W6)</f>
        <v>0</v>
      </c>
      <c r="Y6" s="35" t="str">
        <f t="shared" ref="Y6:Y150" si="6">IF(OR($A6="",P6=""),"",IF(V6=0,"No Charges",IF(X6&lt;=0,"Paid",IF(W6&gt;0,"Partial","Pending"))))</f>
        <v>No Charges</v>
      </c>
      <c r="Z6" s="36"/>
      <c r="AA6" s="36"/>
      <c r="AB6" s="34"/>
      <c r="AC6" s="33">
        <f>IF($A6="","",SUMIFS('Consumable Usage'!$E:$E,'Consumable Usage'!$A:$A,$A6,'Consumable Usage'!$D:$D,3))</f>
        <v>0</v>
      </c>
      <c r="AD6" s="33">
        <f>IF($A6="","",SUMIFS('Nursing Charges'!$I:$I,'Nursing Charges'!$A:$A,$A6,'Nursing Charges'!$C:$C,3))</f>
        <v>0</v>
      </c>
      <c r="AE6" s="33">
        <f>IF($A6="","",AB6+(AD6-SUMIFS('Nursing Charges'!$J:$J,'Nursing Charges'!$A:$A,$A6,'Nursing Charges'!$C:$C,3))+(AC6-SUMIFS('Consumable Usage'!$F:$F,'Consumable Usage'!$A:$A,$A6,'Consumable Usage'!$D:$D,3)))</f>
        <v>0</v>
      </c>
      <c r="AF6" s="33">
        <f t="shared" ref="AF6:AF150" si="7">IF($A6="","",AB6+AD6+AC6)</f>
        <v>0</v>
      </c>
      <c r="AG6" s="34"/>
      <c r="AH6" s="33">
        <f t="shared" ref="AH6:AH150" si="8">IF(AF6="","",AF6-AG6)</f>
        <v>0</v>
      </c>
      <c r="AI6" s="35" t="str">
        <f t="shared" ref="AI6:AI150" si="9">IF(OR($A6="",Z6=""),"",IF(AF6=0,"No Charges",IF(AH6&lt;=0,"Paid",IF(AG6&gt;0,"Partial","Pending"))))</f>
        <v/>
      </c>
      <c r="AJ6" s="36"/>
      <c r="AK6" s="36"/>
      <c r="AL6" s="34"/>
      <c r="AM6" s="33">
        <f>IF($A6="","",SUMIFS('Consumable Usage'!$E:$E,'Consumable Usage'!$A:$A,$A6,'Consumable Usage'!$D:$D,4))</f>
        <v>0</v>
      </c>
      <c r="AN6" s="33">
        <f>IF($A6="","",SUMIFS('Nursing Charges'!$I:$I,'Nursing Charges'!$A:$A,$A6,'Nursing Charges'!$C:$C,4))</f>
        <v>0</v>
      </c>
      <c r="AO6" s="33">
        <f>IF($A6="","",AL6+(AN6-SUMIFS('Nursing Charges'!$J:$J,'Nursing Charges'!$A:$A,$A6,'Nursing Charges'!$C:$C,4))+(AM6-SUMIFS('Consumable Usage'!$F:$F,'Consumable Usage'!$A:$A,$A6,'Consumable Usage'!$D:$D,4)))</f>
        <v>0</v>
      </c>
      <c r="AP6" s="33">
        <f t="shared" ref="AP6:AP150" si="10">IF($A6="","",AL6+AN6+AM6)</f>
        <v>0</v>
      </c>
      <c r="AQ6" s="34"/>
      <c r="AR6" s="33">
        <f t="shared" ref="AR6:AR150" si="11">IF(AP6="","",AP6-AQ6)</f>
        <v>0</v>
      </c>
      <c r="AS6" s="35" t="str">
        <f t="shared" ref="AS6:AS150" si="12">IF(OR($A6="",AJ6=""),"",IF(AP6=0,"No Charges",IF(AR6&lt;=0,"Paid",IF(AQ6&gt;0,"Partial","Pending"))))</f>
        <v/>
      </c>
      <c r="AT6" s="36"/>
      <c r="AU6" s="36"/>
      <c r="AV6" s="34"/>
      <c r="AW6" s="33">
        <f>IF($A6="","",SUMIFS('Consumable Usage'!$E:$E,'Consumable Usage'!$A:$A,$A6,'Consumable Usage'!$D:$D,5))</f>
        <v>0</v>
      </c>
      <c r="AX6" s="33">
        <f>IF($A6="","",SUMIFS('Nursing Charges'!$I:$I,'Nursing Charges'!$A:$A,$A6,'Nursing Charges'!$C:$C,5))</f>
        <v>0</v>
      </c>
      <c r="AY6" s="33">
        <f>IF($A6="","",AV6+(AX6-SUMIFS('Nursing Charges'!$J:$J,'Nursing Charges'!$A:$A,$A6,'Nursing Charges'!$C:$C,5))+(AW6-SUMIFS('Consumable Usage'!$F:$F,'Consumable Usage'!$A:$A,$A6,'Consumable Usage'!$D:$D,5)))</f>
        <v>0</v>
      </c>
      <c r="AZ6" s="33">
        <f t="shared" ref="AZ6:AZ150" si="13">IF($A6="","",AV6+AX6+AW6)</f>
        <v>0</v>
      </c>
      <c r="BA6" s="34"/>
      <c r="BB6" s="33">
        <f t="shared" ref="BB6:BB150" si="14">IF(AZ6="","",AZ6-BA6)</f>
        <v>0</v>
      </c>
      <c r="BC6" s="35" t="str">
        <f t="shared" ref="BC6:BC150" si="15">IF(OR($A6="",AT6=""),"",IF(AZ6=0,"No Charges",IF(BB6&lt;=0,"Paid",IF(BA6&gt;0,"Partial","Pending"))))</f>
        <v/>
      </c>
      <c r="BD6" s="36"/>
      <c r="BE6" s="36"/>
      <c r="BF6" s="34"/>
      <c r="BG6" s="33">
        <f>IF($A6="","",SUMIFS('Consumable Usage'!$E:$E,'Consumable Usage'!$A:$A,$A6,'Consumable Usage'!$D:$D,6))</f>
        <v>850</v>
      </c>
      <c r="BH6" s="33">
        <f>IF($A6="","",SUMIFS('Nursing Charges'!$I:$I,'Nursing Charges'!$A:$A,$A6,'Nursing Charges'!$C:$C,6))</f>
        <v>0</v>
      </c>
      <c r="BI6" s="33">
        <f>IF($A6="","",BF6+(BH6-SUMIFS('Nursing Charges'!$J:$J,'Nursing Charges'!$A:$A,$A6,'Nursing Charges'!$C:$C,6))+(BG6-SUMIFS('Consumable Usage'!$F:$F,'Consumable Usage'!$A:$A,$A6,'Consumable Usage'!$D:$D,6)))</f>
        <v>330</v>
      </c>
      <c r="BJ6" s="33">
        <f t="shared" ref="BJ6:BJ150" si="16">IF($A6="","",BF6+BH6+BG6)</f>
        <v>850</v>
      </c>
      <c r="BK6" s="34"/>
      <c r="BL6" s="33">
        <f t="shared" ref="BL6:BL150" si="17">IF(BJ6="","",BJ6-BK6)</f>
        <v>850</v>
      </c>
      <c r="BM6" s="35" t="str">
        <f t="shared" ref="BM6:BM150" si="18">IF(OR($A6="",BD6=""),"",IF(BJ6=0,"No Charges",IF(BL6&lt;=0,"Paid",IF(BK6&gt;0,"Partial","Pending"))))</f>
        <v/>
      </c>
      <c r="BN6" s="36"/>
      <c r="BO6" s="36"/>
      <c r="BP6" s="34"/>
      <c r="BQ6" s="33">
        <f>IF($A6="","",SUMIFS('Consumable Usage'!$E:$E,'Consumable Usage'!$A:$A,$A6,'Consumable Usage'!$D:$D,7))</f>
        <v>0</v>
      </c>
      <c r="BR6" s="33">
        <f>IF($A6="","",SUMIFS('Nursing Charges'!$I:$I,'Nursing Charges'!$A:$A,$A6,'Nursing Charges'!$C:$C,7))</f>
        <v>0</v>
      </c>
      <c r="BS6" s="33">
        <f>IF($A6="","",BP6+(BR6-SUMIFS('Nursing Charges'!$J:$J,'Nursing Charges'!$A:$A,$A6,'Nursing Charges'!$C:$C,7))+(BQ6-SUMIFS('Consumable Usage'!$F:$F,'Consumable Usage'!$A:$A,$A6,'Consumable Usage'!$D:$D,7)))</f>
        <v>0</v>
      </c>
      <c r="BT6" s="33">
        <f t="shared" ref="BT6:BT150" si="19">IF($A6="","",BP6+BR6+BQ6)</f>
        <v>0</v>
      </c>
      <c r="BU6" s="34"/>
      <c r="BV6" s="33">
        <f t="shared" ref="BV6:BV150" si="20">IF(BT6="","",BT6-BU6)</f>
        <v>0</v>
      </c>
      <c r="BW6" s="35" t="str">
        <f t="shared" ref="BW6:BW150" si="21">IF(OR($A6="",BN6=""),"",IF(BT6=0,"No Charges",IF(BV6&lt;=0,"Paid",IF(BU6&gt;0,"Partial","Pending"))))</f>
        <v/>
      </c>
      <c r="BX6" s="36"/>
      <c r="BY6" s="36"/>
      <c r="BZ6" s="34"/>
      <c r="CA6" s="33">
        <f>IF($A6="","",SUMIFS('Consumable Usage'!$E:$E,'Consumable Usage'!$A:$A,$A6,'Consumable Usage'!$D:$D,8))</f>
        <v>0</v>
      </c>
      <c r="CB6" s="33">
        <f>IF($A6="","",SUMIFS('Nursing Charges'!$I:$I,'Nursing Charges'!$A:$A,$A6,'Nursing Charges'!$C:$C,8))</f>
        <v>0</v>
      </c>
      <c r="CC6" s="33">
        <f>IF($A6="","",BZ6+(CB6-SUMIFS('Nursing Charges'!$J:$J,'Nursing Charges'!$A:$A,$A6,'Nursing Charges'!$C:$C,8))+(CA6-SUMIFS('Consumable Usage'!$F:$F,'Consumable Usage'!$A:$A,$A6,'Consumable Usage'!$D:$D,8)))</f>
        <v>0</v>
      </c>
      <c r="CD6" s="33">
        <f t="shared" ref="CD6:CD150" si="22">IF($A6="","",BZ6+CB6+CA6)</f>
        <v>0</v>
      </c>
      <c r="CE6" s="34"/>
      <c r="CF6" s="33">
        <f t="shared" ref="CF6:CF150" si="23">IF(CD6="","",CD6-CE6)</f>
        <v>0</v>
      </c>
      <c r="CG6" s="35" t="str">
        <f t="shared" ref="CG6:CG150" si="24">IF(OR($A6="",BX6=""),"",IF(CD6=0,"No Charges",IF(CF6&lt;=0,"Paid",IF(CE6&gt;0,"Partial","Pending"))))</f>
        <v/>
      </c>
      <c r="CH6" s="36"/>
      <c r="CI6" s="36"/>
      <c r="CJ6" s="34"/>
      <c r="CK6" s="33">
        <f>IF($A6="","",SUMIFS('Consumable Usage'!$E:$E,'Consumable Usage'!$A:$A,$A6,'Consumable Usage'!$D:$D,9))</f>
        <v>0</v>
      </c>
      <c r="CL6" s="33">
        <f>IF($A6="","",SUMIFS('Nursing Charges'!$I:$I,'Nursing Charges'!$A:$A,$A6,'Nursing Charges'!$C:$C,9))</f>
        <v>0</v>
      </c>
      <c r="CM6" s="33">
        <f>IF($A6="","",CJ6+(CL6-SUMIFS('Nursing Charges'!$J:$J,'Nursing Charges'!$A:$A,$A6,'Nursing Charges'!$C:$C,9))+(CK6-SUMIFS('Consumable Usage'!$F:$F,'Consumable Usage'!$A:$A,$A6,'Consumable Usage'!$D:$D,9)))</f>
        <v>0</v>
      </c>
      <c r="CN6" s="33">
        <f t="shared" ref="CN6:CN150" si="25">IF($A6="","",CJ6+CL6+CK6)</f>
        <v>0</v>
      </c>
      <c r="CO6" s="34"/>
      <c r="CP6" s="33">
        <f t="shared" ref="CP6:CP150" si="26">IF(CN6="","",CN6-CO6)</f>
        <v>0</v>
      </c>
      <c r="CQ6" s="35" t="str">
        <f t="shared" ref="CQ6:CQ150" si="27">IF(OR($A6="",CH6=""),"",IF(CN6=0,"No Charges",IF(CP6&lt;=0,"Paid",IF(CO6&gt;0,"Partial","Pending"))))</f>
        <v/>
      </c>
      <c r="CR6" s="36"/>
      <c r="CS6" s="36"/>
      <c r="CT6" s="34"/>
      <c r="CU6" s="33">
        <f>IF($A6="","",SUMIFS('Consumable Usage'!$E:$E,'Consumable Usage'!$A:$A,$A6,'Consumable Usage'!$D:$D,10))</f>
        <v>0</v>
      </c>
      <c r="CV6" s="33">
        <f>IF($A6="","",SUMIFS('Nursing Charges'!$I:$I,'Nursing Charges'!$A:$A,$A6,'Nursing Charges'!$C:$C,10))</f>
        <v>0</v>
      </c>
      <c r="CW6" s="33">
        <f>IF($A6="","",CT6+(CV6-SUMIFS('Nursing Charges'!$J:$J,'Nursing Charges'!$A:$A,$A6,'Nursing Charges'!$C:$C,10))+(CU6-SUMIFS('Consumable Usage'!$F:$F,'Consumable Usage'!$A:$A,$A6,'Consumable Usage'!$D:$D,10)))</f>
        <v>0</v>
      </c>
      <c r="CX6" s="33">
        <f t="shared" ref="CX6:CX150" si="28">IF($A6="","",CT6+CV6+CU6)</f>
        <v>0</v>
      </c>
      <c r="CY6" s="34"/>
      <c r="CZ6" s="33">
        <f t="shared" ref="CZ6:CZ150" si="29">IF(CX6="","",CX6-CY6)</f>
        <v>0</v>
      </c>
      <c r="DA6" s="35" t="str">
        <f t="shared" ref="DA6:DA150" si="30">IF(OR($A6="",CR6=""),"",IF(CX6=0,"No Charges",IF(CZ6&lt;=0,"Paid",IF(CY6&gt;0,"Partial","Pending"))))</f>
        <v/>
      </c>
      <c r="DB6" s="36"/>
      <c r="DC6" s="36"/>
      <c r="DD6" s="34"/>
      <c r="DE6" s="33">
        <f>IF($A6="","",SUMIFS('Consumable Usage'!$E:$E,'Consumable Usage'!$A:$A,$A6,'Consumable Usage'!$D:$D,11))</f>
        <v>0</v>
      </c>
      <c r="DF6" s="33">
        <f>IF($A6="","",SUMIFS('Nursing Charges'!$I:$I,'Nursing Charges'!$A:$A,$A6,'Nursing Charges'!$C:$C,11))</f>
        <v>0</v>
      </c>
      <c r="DG6" s="33">
        <f>IF($A6="","",DD6+(DF6-SUMIFS('Nursing Charges'!$J:$J,'Nursing Charges'!$A:$A,$A6,'Nursing Charges'!$C:$C,11))+(DE6-SUMIFS('Consumable Usage'!$F:$F,'Consumable Usage'!$A:$A,$A6,'Consumable Usage'!$D:$D,11)))</f>
        <v>0</v>
      </c>
      <c r="DH6" s="33">
        <f t="shared" ref="DH6:DH150" si="31">IF($A6="","",DD6+DF6+DE6)</f>
        <v>0</v>
      </c>
      <c r="DI6" s="34"/>
      <c r="DJ6" s="33">
        <f t="shared" ref="DJ6:DJ150" si="32">IF(DH6="","",DH6-DI6)</f>
        <v>0</v>
      </c>
      <c r="DK6" s="35" t="str">
        <f t="shared" ref="DK6:DK150" si="33">IF(OR($A6="",DB6=""),"",IF(DH6=0,"No Charges",IF(DJ6&lt;=0,"Paid",IF(DI6&gt;0,"Partial","Pending"))))</f>
        <v/>
      </c>
      <c r="DL6" s="36"/>
      <c r="DM6" s="36"/>
      <c r="DN6" s="34"/>
      <c r="DO6" s="33">
        <f>IF($A6="","",SUMIFS('Consumable Usage'!$E:$E,'Consumable Usage'!$A:$A,$A6,'Consumable Usage'!$D:$D,12))</f>
        <v>0</v>
      </c>
      <c r="DP6" s="33">
        <f>IF($A6="","",SUMIFS('Nursing Charges'!$I:$I,'Nursing Charges'!$A:$A,$A6,'Nursing Charges'!$C:$C,12))</f>
        <v>0</v>
      </c>
      <c r="DQ6" s="33">
        <f>IF($A6="","",DN6+(DP6-SUMIFS('Nursing Charges'!$J:$J,'Nursing Charges'!$A:$A,$A6,'Nursing Charges'!$C:$C,12))+(DO6-SUMIFS('Consumable Usage'!$F:$F,'Consumable Usage'!$A:$A,$A6,'Consumable Usage'!$D:$D,12)))</f>
        <v>0</v>
      </c>
      <c r="DR6" s="33">
        <f t="shared" ref="DR6:DR150" si="34">IF($A6="","",DN6+DP6+DO6)</f>
        <v>0</v>
      </c>
      <c r="DS6" s="34"/>
      <c r="DT6" s="33">
        <f t="shared" ref="DT6:DT150" si="35">IF(DR6="","",DR6-DS6)</f>
        <v>0</v>
      </c>
      <c r="DU6" s="35" t="str">
        <f t="shared" ref="DU6:DU150" si="36">IF(OR($A6="",DL6=""),"",IF(DR6=0,"No Charges",IF(DT6&lt;=0,"Paid",IF(DS6&gt;0,"Partial","Pending"))))</f>
        <v/>
      </c>
      <c r="DV6" s="36"/>
      <c r="DW6" s="36"/>
      <c r="DX6" s="34"/>
      <c r="DY6" s="33">
        <f>IF($A6="","",SUMIFS('Consumable Usage'!$E:$E,'Consumable Usage'!$A:$A,$A6,'Consumable Usage'!$D:$D,13))</f>
        <v>0</v>
      </c>
      <c r="DZ6" s="33">
        <f>IF($A6="","",SUMIFS('Nursing Charges'!$I:$I,'Nursing Charges'!$A:$A,$A6,'Nursing Charges'!$C:$C,13))</f>
        <v>0</v>
      </c>
      <c r="EA6" s="33">
        <f>IF($A6="","",DX6+(DZ6-SUMIFS('Nursing Charges'!$J:$J,'Nursing Charges'!$A:$A,$A6,'Nursing Charges'!$C:$C,13))+(DY6-SUMIFS('Consumable Usage'!$F:$F,'Consumable Usage'!$A:$A,$A6,'Consumable Usage'!$D:$D,13)))</f>
        <v>0</v>
      </c>
      <c r="EB6" s="33">
        <f t="shared" ref="EB6:EB150" si="37">IF($A6="","",DX6+DZ6+DY6)</f>
        <v>0</v>
      </c>
      <c r="EC6" s="34"/>
      <c r="ED6" s="33">
        <f t="shared" ref="ED6:ED150" si="38">IF(EB6="","",EB6-EC6)</f>
        <v>0</v>
      </c>
      <c r="EE6" s="35" t="str">
        <f t="shared" ref="EE6:EE150" si="39">IF(OR($A6="",DV6=""),"",IF(EB6=0,"No Charges",IF(ED6&lt;=0,"Paid",IF(EC6&gt;0,"Partial","Pending"))))</f>
        <v/>
      </c>
      <c r="EF6" s="36"/>
      <c r="EG6" s="36"/>
      <c r="EH6" s="34"/>
      <c r="EI6" s="33">
        <f>IF($A6="","",SUMIFS('Consumable Usage'!$E:$E,'Consumable Usage'!$A:$A,$A6,'Consumable Usage'!$D:$D,14))</f>
        <v>0</v>
      </c>
      <c r="EJ6" s="33">
        <f>IF($A6="","",SUMIFS('Nursing Charges'!$I:$I,'Nursing Charges'!$A:$A,$A6,'Nursing Charges'!$C:$C,14))</f>
        <v>0</v>
      </c>
      <c r="EK6" s="33">
        <f>IF($A6="","",EH6+(EJ6-SUMIFS('Nursing Charges'!$J:$J,'Nursing Charges'!$A:$A,$A6,'Nursing Charges'!$C:$C,14))+(EI6-SUMIFS('Consumable Usage'!$F:$F,'Consumable Usage'!$A:$A,$A6,'Consumable Usage'!$D:$D,14)))</f>
        <v>0</v>
      </c>
      <c r="EL6" s="33">
        <f t="shared" ref="EL6:EL150" si="40">IF($A6="","",EH6+EJ6+EI6)</f>
        <v>0</v>
      </c>
      <c r="EM6" s="34"/>
      <c r="EN6" s="33">
        <f t="shared" ref="EN6:EN150" si="41">IF(EL6="","",EL6-EM6)</f>
        <v>0</v>
      </c>
      <c r="EO6" s="35" t="str">
        <f t="shared" ref="EO6:EO150" si="42">IF(OR($A6="",EF6=""),"",IF(EL6=0,"No Charges",IF(EN6&lt;=0,"Paid",IF(EM6&gt;0,"Partial","Pending"))))</f>
        <v/>
      </c>
      <c r="EP6" s="36"/>
      <c r="EQ6" s="36"/>
      <c r="ER6" s="34"/>
      <c r="ES6" s="33">
        <f>IF($A6="","",SUMIFS('Consumable Usage'!$E:$E,'Consumable Usage'!$A:$A,$A6,'Consumable Usage'!$D:$D,15))</f>
        <v>0</v>
      </c>
      <c r="ET6" s="33">
        <f>IF($A6="","",SUMIFS('Nursing Charges'!$I:$I,'Nursing Charges'!$A:$A,$A6,'Nursing Charges'!$C:$C,15))</f>
        <v>0</v>
      </c>
      <c r="EU6" s="33">
        <f>IF($A6="","",ER6+(ET6-SUMIFS('Nursing Charges'!$J:$J,'Nursing Charges'!$A:$A,$A6,'Nursing Charges'!$C:$C,15))+(ES6-SUMIFS('Consumable Usage'!$F:$F,'Consumable Usage'!$A:$A,$A6,'Consumable Usage'!$D:$D,15)))</f>
        <v>0</v>
      </c>
      <c r="EV6" s="33">
        <f t="shared" ref="EV6:EV150" si="43">IF($A6="","",ER6+ET6+ES6)</f>
        <v>0</v>
      </c>
      <c r="EW6" s="34"/>
      <c r="EX6" s="33">
        <f t="shared" ref="EX6:EX150" si="44">IF(EV6="","",EV6-EW6)</f>
        <v>0</v>
      </c>
      <c r="EY6" s="35" t="str">
        <f t="shared" ref="EY6:EY150" si="45">IF(OR($A6="",EP6=""),"",IF(EV6=0,"No Charges",IF(EX6&lt;=0,"Paid",IF(EW6&gt;0,"Partial","Pending"))))</f>
        <v/>
      </c>
      <c r="EZ6" s="36"/>
      <c r="FA6" s="36"/>
      <c r="FB6" s="34"/>
      <c r="FC6" s="33">
        <f>IF($A6="","",SUMIFS('Consumable Usage'!$E:$E,'Consumable Usage'!$A:$A,$A6,'Consumable Usage'!$D:$D,16))</f>
        <v>0</v>
      </c>
      <c r="FD6" s="33">
        <f>IF($A6="","",SUMIFS('Nursing Charges'!$I:$I,'Nursing Charges'!$A:$A,$A6,'Nursing Charges'!$C:$C,16))</f>
        <v>0</v>
      </c>
      <c r="FE6" s="33">
        <f>IF($A6="","",FB6+(FD6-SUMIFS('Nursing Charges'!$J:$J,'Nursing Charges'!$A:$A,$A6,'Nursing Charges'!$C:$C,16))+(FC6-SUMIFS('Consumable Usage'!$F:$F,'Consumable Usage'!$A:$A,$A6,'Consumable Usage'!$D:$D,16)))</f>
        <v>0</v>
      </c>
      <c r="FF6" s="33">
        <f t="shared" ref="FF6:FF150" si="46">IF($A6="","",FB6+FD6+FC6)</f>
        <v>0</v>
      </c>
      <c r="FG6" s="34"/>
      <c r="FH6" s="33">
        <f t="shared" ref="FH6:FH150" si="47">IF(FF6="","",FF6-FG6)</f>
        <v>0</v>
      </c>
      <c r="FI6" s="35" t="str">
        <f t="shared" ref="FI6:FI150" si="48">IF(OR($A6="",EZ6=""),"",IF(FF6=0,"No Charges",IF(FH6&lt;=0,"Paid",IF(FG6&gt;0,"Partial","Pending"))))</f>
        <v/>
      </c>
      <c r="FJ6" s="38"/>
      <c r="FK6" s="38"/>
      <c r="FL6" s="39"/>
      <c r="FM6" s="40">
        <f>IF($A6="","",SUMIFS('Consumable Usage'!$E:$E,'Consumable Usage'!$A:$A,$A6,'Consumable Usage'!$D:$D,16))</f>
        <v>0</v>
      </c>
      <c r="FN6" s="40">
        <f>IF($A6="","",SUMIFS('Nursing Charges'!$I:$I,'Nursing Charges'!$A:$A,$A6,'Nursing Charges'!$C:$C,16))</f>
        <v>0</v>
      </c>
      <c r="FO6" s="40">
        <f>IF($A6="","",FL6+(FN6-SUMIFS('Nursing Charges'!$J:$J,'Nursing Charges'!$A:$A,$A6,'Nursing Charges'!$C:$C,16))+(FM6-SUMIFS('Consumable Usage'!$F:$F,'Consumable Usage'!$A:$A,$A6,'Consumable Usage'!$D:$D,16)))</f>
        <v>0</v>
      </c>
      <c r="FP6" s="40">
        <f t="shared" ref="FP6:FP150" si="49">IF($A6="","",FL6+FN6+FM6)</f>
        <v>0</v>
      </c>
      <c r="FQ6" s="39"/>
      <c r="FR6" s="40">
        <f t="shared" ref="FR6:FR150" si="50">IF(FP6="","",FP6-FQ6)</f>
        <v>0</v>
      </c>
      <c r="FS6" s="38" t="str">
        <f t="shared" ref="FS6:FS150" si="51">IF(OR($A6="",FJ6=""),"",IF(FP6=0,"No Charges",IF(FR6&lt;=0,"Paid",IF(FQ6&gt;0,"Partial","Pending"))))</f>
        <v/>
      </c>
    </row>
    <row r="7" ht="23.25" customHeight="1">
      <c r="A7" s="41" t="s">
        <v>119</v>
      </c>
      <c r="B7" s="42" t="s">
        <v>120</v>
      </c>
      <c r="C7" s="41" t="s">
        <v>121</v>
      </c>
      <c r="D7" s="43" t="s">
        <v>122</v>
      </c>
      <c r="E7" s="44" t="s">
        <v>123</v>
      </c>
      <c r="F7" s="42"/>
      <c r="G7" s="8" t="s">
        <v>124</v>
      </c>
      <c r="H7" s="9">
        <v>0.0</v>
      </c>
      <c r="I7" s="12">
        <f>IF($A7="","",SUMIFS('Consumable Usage'!$E:$E,'Consumable Usage'!$A:$A,$A7,'Consumable Usage'!$D:$D,1))</f>
        <v>0</v>
      </c>
      <c r="J7" s="12">
        <f>IF($A7="","",SUMIFS('Nursing Charges'!$I:$I,'Nursing Charges'!$A:$A,$A7,'Nursing Charges'!$C:$C,1))</f>
        <v>0</v>
      </c>
      <c r="K7" s="12">
        <f>IF($A7="","",H7+(J7-SUMIFS('Nursing Charges'!$J:$J,'Nursing Charges'!$A:$A,$A7,'Nursing Charges'!$C:$C,1))+(I7-SUMIFS('Consumable Usage'!$F:$F,'Consumable Usage'!$A:$A,$A7,'Consumable Usage'!$D:$D,1)))</f>
        <v>0</v>
      </c>
      <c r="L7" s="12">
        <f t="shared" si="1"/>
        <v>0</v>
      </c>
      <c r="M7" s="9">
        <v>0.0</v>
      </c>
      <c r="N7" s="12">
        <f t="shared" si="2"/>
        <v>0</v>
      </c>
      <c r="O7" s="45" t="str">
        <f t="shared" si="3"/>
        <v/>
      </c>
      <c r="P7" s="8" t="s">
        <v>101</v>
      </c>
      <c r="Q7" s="8" t="s">
        <v>125</v>
      </c>
      <c r="R7" s="9">
        <v>0.0</v>
      </c>
      <c r="S7" s="12">
        <f>IF($A7="","",SUMIFS('Consumable Usage'!$E:$E,'Consumable Usage'!$A:$A,$A7,'Consumable Usage'!$D:$D,2))</f>
        <v>0</v>
      </c>
      <c r="T7" s="12">
        <f>IF($A7="","",SUMIFS('Nursing Charges'!$I:$I,'Nursing Charges'!$A:$A,$A7,'Nursing Charges'!$C:$C,2))</f>
        <v>0</v>
      </c>
      <c r="U7" s="12">
        <f>IF($A7="","",R7+(T7-SUMIFS('Nursing Charges'!$J:$J,'Nursing Charges'!$A:$A,$A7,'Nursing Charges'!$C:$C,2))+(S7-SUMIFS('Consumable Usage'!$F:$F,'Consumable Usage'!$A:$A,$A7,'Consumable Usage'!$D:$D,2)))</f>
        <v>0</v>
      </c>
      <c r="V7" s="12">
        <f t="shared" si="4"/>
        <v>0</v>
      </c>
      <c r="W7" s="9">
        <v>0.0</v>
      </c>
      <c r="X7" s="12">
        <f t="shared" si="5"/>
        <v>0</v>
      </c>
      <c r="Y7" s="45" t="str">
        <f t="shared" si="6"/>
        <v>No Charges</v>
      </c>
      <c r="Z7" s="46"/>
      <c r="AA7" s="46"/>
      <c r="AB7" s="47"/>
      <c r="AC7" s="12">
        <f>IF($A7="","",SUMIFS('Consumable Usage'!$E:$E,'Consumable Usage'!$A:$A,$A7,'Consumable Usage'!$D:$D,3))</f>
        <v>0</v>
      </c>
      <c r="AD7" s="12">
        <f>IF($A7="","",SUMIFS('Nursing Charges'!$I:$I,'Nursing Charges'!$A:$A,$A7,'Nursing Charges'!$C:$C,3))</f>
        <v>0</v>
      </c>
      <c r="AE7" s="12">
        <f>IF($A7="","",AB7+(AD7-SUMIFS('Nursing Charges'!$J:$J,'Nursing Charges'!$A:$A,$A7,'Nursing Charges'!$C:$C,3))+(AC7-SUMIFS('Consumable Usage'!$F:$F,'Consumable Usage'!$A:$A,$A7,'Consumable Usage'!$D:$D,3)))</f>
        <v>0</v>
      </c>
      <c r="AF7" s="12">
        <f t="shared" si="7"/>
        <v>0</v>
      </c>
      <c r="AG7" s="47"/>
      <c r="AH7" s="12">
        <f t="shared" si="8"/>
        <v>0</v>
      </c>
      <c r="AI7" s="45" t="str">
        <f t="shared" si="9"/>
        <v/>
      </c>
      <c r="AJ7" s="46"/>
      <c r="AK7" s="46"/>
      <c r="AL7" s="47"/>
      <c r="AM7" s="12">
        <f>IF($A7="","",SUMIFS('Consumable Usage'!$E:$E,'Consumable Usage'!$A:$A,$A7,'Consumable Usage'!$D:$D,4))</f>
        <v>0</v>
      </c>
      <c r="AN7" s="12">
        <f>IF($A7="","",SUMIFS('Nursing Charges'!$I:$I,'Nursing Charges'!$A:$A,$A7,'Nursing Charges'!$C:$C,4))</f>
        <v>0</v>
      </c>
      <c r="AO7" s="12">
        <f>IF($A7="","",AL7+(AN7-SUMIFS('Nursing Charges'!$J:$J,'Nursing Charges'!$A:$A,$A7,'Nursing Charges'!$C:$C,4))+(AM7-SUMIFS('Consumable Usage'!$F:$F,'Consumable Usage'!$A:$A,$A7,'Consumable Usage'!$D:$D,4)))</f>
        <v>0</v>
      </c>
      <c r="AP7" s="12">
        <f t="shared" si="10"/>
        <v>0</v>
      </c>
      <c r="AQ7" s="47"/>
      <c r="AR7" s="12">
        <f t="shared" si="11"/>
        <v>0</v>
      </c>
      <c r="AS7" s="45" t="str">
        <f t="shared" si="12"/>
        <v/>
      </c>
      <c r="AT7" s="46"/>
      <c r="AU7" s="46"/>
      <c r="AV7" s="47"/>
      <c r="AW7" s="12">
        <f>IF($A7="","",SUMIFS('Consumable Usage'!$E:$E,'Consumable Usage'!$A:$A,$A7,'Consumable Usage'!$D:$D,5))</f>
        <v>0</v>
      </c>
      <c r="AX7" s="12">
        <f>IF($A7="","",SUMIFS('Nursing Charges'!$I:$I,'Nursing Charges'!$A:$A,$A7,'Nursing Charges'!$C:$C,5))</f>
        <v>0</v>
      </c>
      <c r="AY7" s="12">
        <f>IF($A7="","",AV7+(AX7-SUMIFS('Nursing Charges'!$J:$J,'Nursing Charges'!$A:$A,$A7,'Nursing Charges'!$C:$C,5))+(AW7-SUMIFS('Consumable Usage'!$F:$F,'Consumable Usage'!$A:$A,$A7,'Consumable Usage'!$D:$D,5)))</f>
        <v>0</v>
      </c>
      <c r="AZ7" s="12">
        <f t="shared" si="13"/>
        <v>0</v>
      </c>
      <c r="BA7" s="47"/>
      <c r="BB7" s="12">
        <f t="shared" si="14"/>
        <v>0</v>
      </c>
      <c r="BC7" s="45" t="str">
        <f t="shared" si="15"/>
        <v/>
      </c>
      <c r="BD7" s="46"/>
      <c r="BE7" s="46"/>
      <c r="BF7" s="47"/>
      <c r="BG7" s="12">
        <f>IF($A7="","",SUMIFS('Consumable Usage'!$E:$E,'Consumable Usage'!$A:$A,$A7,'Consumable Usage'!$D:$D,6))</f>
        <v>0</v>
      </c>
      <c r="BH7" s="12">
        <f>IF($A7="","",SUMIFS('Nursing Charges'!$I:$I,'Nursing Charges'!$A:$A,$A7,'Nursing Charges'!$C:$C,6))</f>
        <v>0</v>
      </c>
      <c r="BI7" s="12">
        <f>IF($A7="","",BF7+(BH7-SUMIFS('Nursing Charges'!$J:$J,'Nursing Charges'!$A:$A,$A7,'Nursing Charges'!$C:$C,6))+(BG7-SUMIFS('Consumable Usage'!$F:$F,'Consumable Usage'!$A:$A,$A7,'Consumable Usage'!$D:$D,6)))</f>
        <v>0</v>
      </c>
      <c r="BJ7" s="12">
        <f t="shared" si="16"/>
        <v>0</v>
      </c>
      <c r="BK7" s="47"/>
      <c r="BL7" s="12">
        <f t="shared" si="17"/>
        <v>0</v>
      </c>
      <c r="BM7" s="45" t="str">
        <f t="shared" si="18"/>
        <v/>
      </c>
      <c r="BN7" s="46"/>
      <c r="BO7" s="46"/>
      <c r="BP7" s="47"/>
      <c r="BQ7" s="12">
        <f>IF($A7="","",SUMIFS('Consumable Usage'!$E:$E,'Consumable Usage'!$A:$A,$A7,'Consumable Usage'!$D:$D,7))</f>
        <v>0</v>
      </c>
      <c r="BR7" s="12">
        <f>IF($A7="","",SUMIFS('Nursing Charges'!$I:$I,'Nursing Charges'!$A:$A,$A7,'Nursing Charges'!$C:$C,7))</f>
        <v>0</v>
      </c>
      <c r="BS7" s="12">
        <f>IF($A7="","",BP7+(BR7-SUMIFS('Nursing Charges'!$J:$J,'Nursing Charges'!$A:$A,$A7,'Nursing Charges'!$C:$C,7))+(BQ7-SUMIFS('Consumable Usage'!$F:$F,'Consumable Usage'!$A:$A,$A7,'Consumable Usage'!$D:$D,7)))</f>
        <v>0</v>
      </c>
      <c r="BT7" s="12">
        <f t="shared" si="19"/>
        <v>0</v>
      </c>
      <c r="BU7" s="47"/>
      <c r="BV7" s="12">
        <f t="shared" si="20"/>
        <v>0</v>
      </c>
      <c r="BW7" s="45" t="str">
        <f t="shared" si="21"/>
        <v/>
      </c>
      <c r="BX7" s="46"/>
      <c r="BY7" s="46"/>
      <c r="BZ7" s="47"/>
      <c r="CA7" s="12">
        <f>IF($A7="","",SUMIFS('Consumable Usage'!$E:$E,'Consumable Usage'!$A:$A,$A7,'Consumable Usage'!$D:$D,8))</f>
        <v>0</v>
      </c>
      <c r="CB7" s="12">
        <f>IF($A7="","",SUMIFS('Nursing Charges'!$I:$I,'Nursing Charges'!$A:$A,$A7,'Nursing Charges'!$C:$C,8))</f>
        <v>0</v>
      </c>
      <c r="CC7" s="12">
        <f>IF($A7="","",BZ7+(CB7-SUMIFS('Nursing Charges'!$J:$J,'Nursing Charges'!$A:$A,$A7,'Nursing Charges'!$C:$C,8))+(CA7-SUMIFS('Consumable Usage'!$F:$F,'Consumable Usage'!$A:$A,$A7,'Consumable Usage'!$D:$D,8)))</f>
        <v>0</v>
      </c>
      <c r="CD7" s="12">
        <f t="shared" si="22"/>
        <v>0</v>
      </c>
      <c r="CE7" s="47"/>
      <c r="CF7" s="12">
        <f t="shared" si="23"/>
        <v>0</v>
      </c>
      <c r="CG7" s="45" t="str">
        <f t="shared" si="24"/>
        <v/>
      </c>
      <c r="CH7" s="46"/>
      <c r="CI7" s="46"/>
      <c r="CJ7" s="47"/>
      <c r="CK7" s="12">
        <f>IF($A7="","",SUMIFS('Consumable Usage'!$E:$E,'Consumable Usage'!$A:$A,$A7,'Consumable Usage'!$D:$D,9))</f>
        <v>0</v>
      </c>
      <c r="CL7" s="12">
        <f>IF($A7="","",SUMIFS('Nursing Charges'!$I:$I,'Nursing Charges'!$A:$A,$A7,'Nursing Charges'!$C:$C,9))</f>
        <v>0</v>
      </c>
      <c r="CM7" s="12">
        <f>IF($A7="","",CJ7+(CL7-SUMIFS('Nursing Charges'!$J:$J,'Nursing Charges'!$A:$A,$A7,'Nursing Charges'!$C:$C,9))+(CK7-SUMIFS('Consumable Usage'!$F:$F,'Consumable Usage'!$A:$A,$A7,'Consumable Usage'!$D:$D,9)))</f>
        <v>0</v>
      </c>
      <c r="CN7" s="12">
        <f t="shared" si="25"/>
        <v>0</v>
      </c>
      <c r="CO7" s="47"/>
      <c r="CP7" s="12">
        <f t="shared" si="26"/>
        <v>0</v>
      </c>
      <c r="CQ7" s="45" t="str">
        <f t="shared" si="27"/>
        <v/>
      </c>
      <c r="CR7" s="46"/>
      <c r="CS7" s="46"/>
      <c r="CT7" s="47"/>
      <c r="CU7" s="12">
        <f>IF($A7="","",SUMIFS('Consumable Usage'!$E:$E,'Consumable Usage'!$A:$A,$A7,'Consumable Usage'!$D:$D,10))</f>
        <v>0</v>
      </c>
      <c r="CV7" s="12">
        <f>IF($A7="","",SUMIFS('Nursing Charges'!$I:$I,'Nursing Charges'!$A:$A,$A7,'Nursing Charges'!$C:$C,10))</f>
        <v>0</v>
      </c>
      <c r="CW7" s="12">
        <f>IF($A7="","",CT7+(CV7-SUMIFS('Nursing Charges'!$J:$J,'Nursing Charges'!$A:$A,$A7,'Nursing Charges'!$C:$C,10))+(CU7-SUMIFS('Consumable Usage'!$F:$F,'Consumable Usage'!$A:$A,$A7,'Consumable Usage'!$D:$D,10)))</f>
        <v>0</v>
      </c>
      <c r="CX7" s="12">
        <f t="shared" si="28"/>
        <v>0</v>
      </c>
      <c r="CY7" s="47"/>
      <c r="CZ7" s="12">
        <f t="shared" si="29"/>
        <v>0</v>
      </c>
      <c r="DA7" s="45" t="str">
        <f t="shared" si="30"/>
        <v/>
      </c>
      <c r="DB7" s="46"/>
      <c r="DC7" s="46"/>
      <c r="DD7" s="47"/>
      <c r="DE7" s="12">
        <f>IF($A7="","",SUMIFS('Consumable Usage'!$E:$E,'Consumable Usage'!$A:$A,$A7,'Consumable Usage'!$D:$D,11))</f>
        <v>0</v>
      </c>
      <c r="DF7" s="12">
        <f>IF($A7="","",SUMIFS('Nursing Charges'!$I:$I,'Nursing Charges'!$A:$A,$A7,'Nursing Charges'!$C:$C,11))</f>
        <v>0</v>
      </c>
      <c r="DG7" s="12">
        <f>IF($A7="","",DD7+(DF7-SUMIFS('Nursing Charges'!$J:$J,'Nursing Charges'!$A:$A,$A7,'Nursing Charges'!$C:$C,11))+(DE7-SUMIFS('Consumable Usage'!$F:$F,'Consumable Usage'!$A:$A,$A7,'Consumable Usage'!$D:$D,11)))</f>
        <v>0</v>
      </c>
      <c r="DH7" s="12">
        <f t="shared" si="31"/>
        <v>0</v>
      </c>
      <c r="DI7" s="47"/>
      <c r="DJ7" s="12">
        <f t="shared" si="32"/>
        <v>0</v>
      </c>
      <c r="DK7" s="45" t="str">
        <f t="shared" si="33"/>
        <v/>
      </c>
      <c r="DL7" s="46"/>
      <c r="DM7" s="46"/>
      <c r="DN7" s="47"/>
      <c r="DO7" s="12">
        <f>IF($A7="","",SUMIFS('Consumable Usage'!$E:$E,'Consumable Usage'!$A:$A,$A7,'Consumable Usage'!$D:$D,12))</f>
        <v>0</v>
      </c>
      <c r="DP7" s="12">
        <f>IF($A7="","",SUMIFS('Nursing Charges'!$I:$I,'Nursing Charges'!$A:$A,$A7,'Nursing Charges'!$C:$C,12))</f>
        <v>0</v>
      </c>
      <c r="DQ7" s="12">
        <f>IF($A7="","",DN7+(DP7-SUMIFS('Nursing Charges'!$J:$J,'Nursing Charges'!$A:$A,$A7,'Nursing Charges'!$C:$C,12))+(DO7-SUMIFS('Consumable Usage'!$F:$F,'Consumable Usage'!$A:$A,$A7,'Consumable Usage'!$D:$D,12)))</f>
        <v>0</v>
      </c>
      <c r="DR7" s="12">
        <f t="shared" si="34"/>
        <v>0</v>
      </c>
      <c r="DS7" s="47"/>
      <c r="DT7" s="12">
        <f t="shared" si="35"/>
        <v>0</v>
      </c>
      <c r="DU7" s="45" t="str">
        <f t="shared" si="36"/>
        <v/>
      </c>
      <c r="DV7" s="46"/>
      <c r="DW7" s="46"/>
      <c r="DX7" s="47"/>
      <c r="DY7" s="12">
        <f>IF($A7="","",SUMIFS('Consumable Usage'!$E:$E,'Consumable Usage'!$A:$A,$A7,'Consumable Usage'!$D:$D,13))</f>
        <v>0</v>
      </c>
      <c r="DZ7" s="12">
        <f>IF($A7="","",SUMIFS('Nursing Charges'!$I:$I,'Nursing Charges'!$A:$A,$A7,'Nursing Charges'!$C:$C,13))</f>
        <v>0</v>
      </c>
      <c r="EA7" s="12">
        <f>IF($A7="","",DX7+(DZ7-SUMIFS('Nursing Charges'!$J:$J,'Nursing Charges'!$A:$A,$A7,'Nursing Charges'!$C:$C,13))+(DY7-SUMIFS('Consumable Usage'!$F:$F,'Consumable Usage'!$A:$A,$A7,'Consumable Usage'!$D:$D,13)))</f>
        <v>0</v>
      </c>
      <c r="EB7" s="12">
        <f t="shared" si="37"/>
        <v>0</v>
      </c>
      <c r="EC7" s="47"/>
      <c r="ED7" s="12">
        <f t="shared" si="38"/>
        <v>0</v>
      </c>
      <c r="EE7" s="45" t="str">
        <f t="shared" si="39"/>
        <v/>
      </c>
      <c r="EF7" s="46"/>
      <c r="EG7" s="46"/>
      <c r="EH7" s="47"/>
      <c r="EI7" s="12">
        <f>IF($A7="","",SUMIFS('Consumable Usage'!$E:$E,'Consumable Usage'!$A:$A,$A7,'Consumable Usage'!$D:$D,14))</f>
        <v>0</v>
      </c>
      <c r="EJ7" s="12">
        <f>IF($A7="","",SUMIFS('Nursing Charges'!$I:$I,'Nursing Charges'!$A:$A,$A7,'Nursing Charges'!$C:$C,14))</f>
        <v>0</v>
      </c>
      <c r="EK7" s="12">
        <f>IF($A7="","",EH7+(EJ7-SUMIFS('Nursing Charges'!$J:$J,'Nursing Charges'!$A:$A,$A7,'Nursing Charges'!$C:$C,14))+(EI7-SUMIFS('Consumable Usage'!$F:$F,'Consumable Usage'!$A:$A,$A7,'Consumable Usage'!$D:$D,14)))</f>
        <v>0</v>
      </c>
      <c r="EL7" s="12">
        <f t="shared" si="40"/>
        <v>0</v>
      </c>
      <c r="EM7" s="47"/>
      <c r="EN7" s="12">
        <f t="shared" si="41"/>
        <v>0</v>
      </c>
      <c r="EO7" s="45" t="str">
        <f t="shared" si="42"/>
        <v/>
      </c>
      <c r="EP7" s="46"/>
      <c r="EQ7" s="46"/>
      <c r="ER7" s="47"/>
      <c r="ES7" s="12">
        <f>IF($A7="","",SUMIFS('Consumable Usage'!$E:$E,'Consumable Usage'!$A:$A,$A7,'Consumable Usage'!$D:$D,15))</f>
        <v>0</v>
      </c>
      <c r="ET7" s="12">
        <f>IF($A7="","",SUMIFS('Nursing Charges'!$I:$I,'Nursing Charges'!$A:$A,$A7,'Nursing Charges'!$C:$C,15))</f>
        <v>0</v>
      </c>
      <c r="EU7" s="12">
        <f>IF($A7="","",ER7+(ET7-SUMIFS('Nursing Charges'!$J:$J,'Nursing Charges'!$A:$A,$A7,'Nursing Charges'!$C:$C,15))+(ES7-SUMIFS('Consumable Usage'!$F:$F,'Consumable Usage'!$A:$A,$A7,'Consumable Usage'!$D:$D,15)))</f>
        <v>0</v>
      </c>
      <c r="EV7" s="12">
        <f t="shared" si="43"/>
        <v>0</v>
      </c>
      <c r="EW7" s="47"/>
      <c r="EX7" s="12">
        <f t="shared" si="44"/>
        <v>0</v>
      </c>
      <c r="EY7" s="45" t="str">
        <f t="shared" si="45"/>
        <v/>
      </c>
      <c r="EZ7" s="46"/>
      <c r="FA7" s="46"/>
      <c r="FB7" s="47"/>
      <c r="FC7" s="12">
        <f>IF($A7="","",SUMIFS('Consumable Usage'!$E:$E,'Consumable Usage'!$A:$A,$A7,'Consumable Usage'!$D:$D,16))</f>
        <v>0</v>
      </c>
      <c r="FD7" s="12">
        <f>IF($A7="","",SUMIFS('Nursing Charges'!$I:$I,'Nursing Charges'!$A:$A,$A7,'Nursing Charges'!$C:$C,16))</f>
        <v>0</v>
      </c>
      <c r="FE7" s="12">
        <f>IF($A7="","",FB7+(FD7-SUMIFS('Nursing Charges'!$J:$J,'Nursing Charges'!$A:$A,$A7,'Nursing Charges'!$C:$C,16))+(FC7-SUMIFS('Consumable Usage'!$F:$F,'Consumable Usage'!$A:$A,$A7,'Consumable Usage'!$D:$D,16)))</f>
        <v>0</v>
      </c>
      <c r="FF7" s="12">
        <f t="shared" si="46"/>
        <v>0</v>
      </c>
      <c r="FG7" s="47"/>
      <c r="FH7" s="12">
        <f t="shared" si="47"/>
        <v>0</v>
      </c>
      <c r="FI7" s="45" t="str">
        <f t="shared" si="48"/>
        <v/>
      </c>
      <c r="FJ7" s="50"/>
      <c r="FK7" s="50"/>
      <c r="FL7" s="51"/>
      <c r="FM7" s="52">
        <f>IF($A7="","",SUMIFS('Consumable Usage'!$E:$E,'Consumable Usage'!$A:$A,$A7,'Consumable Usage'!$D:$D,16))</f>
        <v>0</v>
      </c>
      <c r="FN7" s="52">
        <f>IF($A7="","",SUMIFS('Nursing Charges'!$I:$I,'Nursing Charges'!$A:$A,$A7,'Nursing Charges'!$C:$C,16))</f>
        <v>0</v>
      </c>
      <c r="FO7" s="52">
        <f>IF($A7="","",FL7+(FN7-SUMIFS('Nursing Charges'!$J:$J,'Nursing Charges'!$A:$A,$A7,'Nursing Charges'!$C:$C,16))+(FM7-SUMIFS('Consumable Usage'!$F:$F,'Consumable Usage'!$A:$A,$A7,'Consumable Usage'!$D:$D,16)))</f>
        <v>0</v>
      </c>
      <c r="FP7" s="52">
        <f t="shared" si="49"/>
        <v>0</v>
      </c>
      <c r="FQ7" s="51"/>
      <c r="FR7" s="52">
        <f t="shared" si="50"/>
        <v>0</v>
      </c>
      <c r="FS7" s="53" t="str">
        <f t="shared" si="51"/>
        <v/>
      </c>
    </row>
    <row r="8" ht="23.25" customHeight="1">
      <c r="A8" s="54" t="s">
        <v>63</v>
      </c>
      <c r="B8" s="55" t="s">
        <v>131</v>
      </c>
      <c r="C8" s="54" t="s">
        <v>132</v>
      </c>
      <c r="D8" s="56" t="s">
        <v>133</v>
      </c>
      <c r="E8" s="57"/>
      <c r="F8" s="58"/>
      <c r="G8" s="8" t="s">
        <v>134</v>
      </c>
      <c r="H8" s="9">
        <v>0.0</v>
      </c>
      <c r="I8" s="12">
        <f>IF($A8="","",SUMIFS('Consumable Usage'!$E:$E,'Consumable Usage'!$A:$A,$A8,'Consumable Usage'!$D:$D,1))</f>
        <v>1470</v>
      </c>
      <c r="J8" s="12">
        <f>IF($A8="","",SUMIFS('Nursing Charges'!$I:$I,'Nursing Charges'!$A:$A,$A8,'Nursing Charges'!$C:$C,1))</f>
        <v>3500</v>
      </c>
      <c r="K8" s="12">
        <f>IF($A8="","",H8+(J8-SUMIFS('Nursing Charges'!$J:$J,'Nursing Charges'!$A:$A,$A8,'Nursing Charges'!$C:$C,1))+(I8-SUMIFS('Consumable Usage'!$F:$F,'Consumable Usage'!$A:$A,$A8,'Consumable Usage'!$D:$D,1)))</f>
        <v>4050</v>
      </c>
      <c r="L8" s="12">
        <f t="shared" si="1"/>
        <v>4970</v>
      </c>
      <c r="M8" s="47"/>
      <c r="N8" s="12">
        <f t="shared" si="2"/>
        <v>4970</v>
      </c>
      <c r="O8" s="45" t="str">
        <f t="shared" si="3"/>
        <v/>
      </c>
      <c r="P8" s="8" t="s">
        <v>135</v>
      </c>
      <c r="Q8" s="8" t="s">
        <v>136</v>
      </c>
      <c r="R8" s="9">
        <v>0.0</v>
      </c>
      <c r="S8" s="12">
        <f>IF($A8="","",SUMIFS('Consumable Usage'!$E:$E,'Consumable Usage'!$A:$A,$A8,'Consumable Usage'!$D:$D,2))</f>
        <v>0</v>
      </c>
      <c r="T8" s="12">
        <f>IF($A8="","",SUMIFS('Nursing Charges'!$I:$I,'Nursing Charges'!$A:$A,$A8,'Nursing Charges'!$C:$C,2))</f>
        <v>3500</v>
      </c>
      <c r="U8" s="12">
        <f>IF($A8="","",R8+(T8-SUMIFS('Nursing Charges'!$J:$J,'Nursing Charges'!$A:$A,$A8,'Nursing Charges'!$C:$C,2))+(S8-SUMIFS('Consumable Usage'!$F:$F,'Consumable Usage'!$A:$A,$A8,'Consumable Usage'!$D:$D,2)))</f>
        <v>3500</v>
      </c>
      <c r="V8" s="12">
        <f t="shared" si="4"/>
        <v>3500</v>
      </c>
      <c r="W8" s="47"/>
      <c r="X8" s="12">
        <f t="shared" si="5"/>
        <v>3500</v>
      </c>
      <c r="Y8" s="45" t="str">
        <f t="shared" si="6"/>
        <v>Pending</v>
      </c>
      <c r="Z8" s="46"/>
      <c r="AA8" s="46"/>
      <c r="AB8" s="47"/>
      <c r="AC8" s="12">
        <f>IF($A8="","",SUMIFS('Consumable Usage'!$E:$E,'Consumable Usage'!$A:$A,$A8,'Consumable Usage'!$D:$D,3))</f>
        <v>0</v>
      </c>
      <c r="AD8" s="12">
        <f>IF($A8="","",SUMIFS('Nursing Charges'!$I:$I,'Nursing Charges'!$A:$A,$A8,'Nursing Charges'!$C:$C,3))</f>
        <v>0</v>
      </c>
      <c r="AE8" s="12">
        <f>IF($A8="","",AB8+(AD8-SUMIFS('Nursing Charges'!$J:$J,'Nursing Charges'!$A:$A,$A8,'Nursing Charges'!$C:$C,3))+(AC8-SUMIFS('Consumable Usage'!$F:$F,'Consumable Usage'!$A:$A,$A8,'Consumable Usage'!$D:$D,3)))</f>
        <v>0</v>
      </c>
      <c r="AF8" s="12">
        <f t="shared" si="7"/>
        <v>0</v>
      </c>
      <c r="AG8" s="47"/>
      <c r="AH8" s="12">
        <f t="shared" si="8"/>
        <v>0</v>
      </c>
      <c r="AI8" s="45" t="str">
        <f t="shared" si="9"/>
        <v/>
      </c>
      <c r="AJ8" s="46"/>
      <c r="AK8" s="46"/>
      <c r="AL8" s="47"/>
      <c r="AM8" s="12">
        <f>IF($A8="","",SUMIFS('Consumable Usage'!$E:$E,'Consumable Usage'!$A:$A,$A8,'Consumable Usage'!$D:$D,4))</f>
        <v>0</v>
      </c>
      <c r="AN8" s="12">
        <f>IF($A8="","",SUMIFS('Nursing Charges'!$I:$I,'Nursing Charges'!$A:$A,$A8,'Nursing Charges'!$C:$C,4))</f>
        <v>0</v>
      </c>
      <c r="AO8" s="12">
        <f>IF($A8="","",AL8+(AN8-SUMIFS('Nursing Charges'!$J:$J,'Nursing Charges'!$A:$A,$A8,'Nursing Charges'!$C:$C,4))+(AM8-SUMIFS('Consumable Usage'!$F:$F,'Consumable Usage'!$A:$A,$A8,'Consumable Usage'!$D:$D,4)))</f>
        <v>0</v>
      </c>
      <c r="AP8" s="12">
        <f t="shared" si="10"/>
        <v>0</v>
      </c>
      <c r="AQ8" s="47"/>
      <c r="AR8" s="12">
        <f t="shared" si="11"/>
        <v>0</v>
      </c>
      <c r="AS8" s="45" t="str">
        <f t="shared" si="12"/>
        <v/>
      </c>
      <c r="AT8" s="46"/>
      <c r="AU8" s="46"/>
      <c r="AV8" s="47"/>
      <c r="AW8" s="12">
        <f>IF($A8="","",SUMIFS('Consumable Usage'!$E:$E,'Consumable Usage'!$A:$A,$A8,'Consumable Usage'!$D:$D,5))</f>
        <v>0</v>
      </c>
      <c r="AX8" s="12">
        <f>IF($A8="","",SUMIFS('Nursing Charges'!$I:$I,'Nursing Charges'!$A:$A,$A8,'Nursing Charges'!$C:$C,5))</f>
        <v>0</v>
      </c>
      <c r="AY8" s="12">
        <f>IF($A8="","",AV8+(AX8-SUMIFS('Nursing Charges'!$J:$J,'Nursing Charges'!$A:$A,$A8,'Nursing Charges'!$C:$C,5))+(AW8-SUMIFS('Consumable Usage'!$F:$F,'Consumable Usage'!$A:$A,$A8,'Consumable Usage'!$D:$D,5)))</f>
        <v>0</v>
      </c>
      <c r="AZ8" s="12">
        <f t="shared" si="13"/>
        <v>0</v>
      </c>
      <c r="BA8" s="47"/>
      <c r="BB8" s="12">
        <f t="shared" si="14"/>
        <v>0</v>
      </c>
      <c r="BC8" s="45" t="str">
        <f t="shared" si="15"/>
        <v/>
      </c>
      <c r="BD8" s="46"/>
      <c r="BE8" s="46"/>
      <c r="BF8" s="47"/>
      <c r="BG8" s="12">
        <f>IF($A8="","",SUMIFS('Consumable Usage'!$E:$E,'Consumable Usage'!$A:$A,$A8,'Consumable Usage'!$D:$D,6))</f>
        <v>0</v>
      </c>
      <c r="BH8" s="12">
        <f>IF($A8="","",SUMIFS('Nursing Charges'!$I:$I,'Nursing Charges'!$A:$A,$A8,'Nursing Charges'!$C:$C,6))</f>
        <v>0</v>
      </c>
      <c r="BI8" s="12">
        <f>IF($A8="","",BF8+(BH8-SUMIFS('Nursing Charges'!$J:$J,'Nursing Charges'!$A:$A,$A8,'Nursing Charges'!$C:$C,6))+(BG8-SUMIFS('Consumable Usage'!$F:$F,'Consumable Usage'!$A:$A,$A8,'Consumable Usage'!$D:$D,6)))</f>
        <v>0</v>
      </c>
      <c r="BJ8" s="12">
        <f t="shared" si="16"/>
        <v>0</v>
      </c>
      <c r="BK8" s="47"/>
      <c r="BL8" s="12">
        <f t="shared" si="17"/>
        <v>0</v>
      </c>
      <c r="BM8" s="45" t="str">
        <f t="shared" si="18"/>
        <v/>
      </c>
      <c r="BN8" s="46"/>
      <c r="BO8" s="46"/>
      <c r="BP8" s="47"/>
      <c r="BQ8" s="12">
        <f>IF($A8="","",SUMIFS('Consumable Usage'!$E:$E,'Consumable Usage'!$A:$A,$A8,'Consumable Usage'!$D:$D,7))</f>
        <v>0</v>
      </c>
      <c r="BR8" s="12">
        <f>IF($A8="","",SUMIFS('Nursing Charges'!$I:$I,'Nursing Charges'!$A:$A,$A8,'Nursing Charges'!$C:$C,7))</f>
        <v>0</v>
      </c>
      <c r="BS8" s="12">
        <f>IF($A8="","",BP8+(BR8-SUMIFS('Nursing Charges'!$J:$J,'Nursing Charges'!$A:$A,$A8,'Nursing Charges'!$C:$C,7))+(BQ8-SUMIFS('Consumable Usage'!$F:$F,'Consumable Usage'!$A:$A,$A8,'Consumable Usage'!$D:$D,7)))</f>
        <v>0</v>
      </c>
      <c r="BT8" s="12">
        <f t="shared" si="19"/>
        <v>0</v>
      </c>
      <c r="BU8" s="47"/>
      <c r="BV8" s="12">
        <f t="shared" si="20"/>
        <v>0</v>
      </c>
      <c r="BW8" s="45" t="str">
        <f t="shared" si="21"/>
        <v/>
      </c>
      <c r="BX8" s="46"/>
      <c r="BY8" s="46"/>
      <c r="BZ8" s="47"/>
      <c r="CA8" s="12">
        <f>IF($A8="","",SUMIFS('Consumable Usage'!$E:$E,'Consumable Usage'!$A:$A,$A8,'Consumable Usage'!$D:$D,8))</f>
        <v>0</v>
      </c>
      <c r="CB8" s="12">
        <f>IF($A8="","",SUMIFS('Nursing Charges'!$I:$I,'Nursing Charges'!$A:$A,$A8,'Nursing Charges'!$C:$C,8))</f>
        <v>0</v>
      </c>
      <c r="CC8" s="12">
        <f>IF($A8="","",BZ8+(CB8-SUMIFS('Nursing Charges'!$J:$J,'Nursing Charges'!$A:$A,$A8,'Nursing Charges'!$C:$C,8))+(CA8-SUMIFS('Consumable Usage'!$F:$F,'Consumable Usage'!$A:$A,$A8,'Consumable Usage'!$D:$D,8)))</f>
        <v>0</v>
      </c>
      <c r="CD8" s="12">
        <f t="shared" si="22"/>
        <v>0</v>
      </c>
      <c r="CE8" s="47"/>
      <c r="CF8" s="12">
        <f t="shared" si="23"/>
        <v>0</v>
      </c>
      <c r="CG8" s="45" t="str">
        <f t="shared" si="24"/>
        <v/>
      </c>
      <c r="CH8" s="46"/>
      <c r="CI8" s="46"/>
      <c r="CJ8" s="47"/>
      <c r="CK8" s="12">
        <f>IF($A8="","",SUMIFS('Consumable Usage'!$E:$E,'Consumable Usage'!$A:$A,$A8,'Consumable Usage'!$D:$D,9))</f>
        <v>0</v>
      </c>
      <c r="CL8" s="12">
        <f>IF($A8="","",SUMIFS('Nursing Charges'!$I:$I,'Nursing Charges'!$A:$A,$A8,'Nursing Charges'!$C:$C,9))</f>
        <v>0</v>
      </c>
      <c r="CM8" s="12">
        <f>IF($A8="","",CJ8+(CL8-SUMIFS('Nursing Charges'!$J:$J,'Nursing Charges'!$A:$A,$A8,'Nursing Charges'!$C:$C,9))+(CK8-SUMIFS('Consumable Usage'!$F:$F,'Consumable Usage'!$A:$A,$A8,'Consumable Usage'!$D:$D,9)))</f>
        <v>0</v>
      </c>
      <c r="CN8" s="12">
        <f t="shared" si="25"/>
        <v>0</v>
      </c>
      <c r="CO8" s="47"/>
      <c r="CP8" s="12">
        <f t="shared" si="26"/>
        <v>0</v>
      </c>
      <c r="CQ8" s="45" t="str">
        <f t="shared" si="27"/>
        <v/>
      </c>
      <c r="CR8" s="46"/>
      <c r="CS8" s="46"/>
      <c r="CT8" s="47"/>
      <c r="CU8" s="12">
        <f>IF($A8="","",SUMIFS('Consumable Usage'!$E:$E,'Consumable Usage'!$A:$A,$A8,'Consumable Usage'!$D:$D,10))</f>
        <v>0</v>
      </c>
      <c r="CV8" s="12">
        <f>IF($A8="","",SUMIFS('Nursing Charges'!$I:$I,'Nursing Charges'!$A:$A,$A8,'Nursing Charges'!$C:$C,10))</f>
        <v>0</v>
      </c>
      <c r="CW8" s="12">
        <f>IF($A8="","",CT8+(CV8-SUMIFS('Nursing Charges'!$J:$J,'Nursing Charges'!$A:$A,$A8,'Nursing Charges'!$C:$C,10))+(CU8-SUMIFS('Consumable Usage'!$F:$F,'Consumable Usage'!$A:$A,$A8,'Consumable Usage'!$D:$D,10)))</f>
        <v>0</v>
      </c>
      <c r="CX8" s="12">
        <f t="shared" si="28"/>
        <v>0</v>
      </c>
      <c r="CY8" s="47"/>
      <c r="CZ8" s="12">
        <f t="shared" si="29"/>
        <v>0</v>
      </c>
      <c r="DA8" s="45" t="str">
        <f t="shared" si="30"/>
        <v/>
      </c>
      <c r="DB8" s="46"/>
      <c r="DC8" s="46"/>
      <c r="DD8" s="47"/>
      <c r="DE8" s="12">
        <f>IF($A8="","",SUMIFS('Consumable Usage'!$E:$E,'Consumable Usage'!$A:$A,$A8,'Consumable Usage'!$D:$D,11))</f>
        <v>0</v>
      </c>
      <c r="DF8" s="12">
        <f>IF($A8="","",SUMIFS('Nursing Charges'!$I:$I,'Nursing Charges'!$A:$A,$A8,'Nursing Charges'!$C:$C,11))</f>
        <v>0</v>
      </c>
      <c r="DG8" s="12">
        <f>IF($A8="","",DD8+(DF8-SUMIFS('Nursing Charges'!$J:$J,'Nursing Charges'!$A:$A,$A8,'Nursing Charges'!$C:$C,11))+(DE8-SUMIFS('Consumable Usage'!$F:$F,'Consumable Usage'!$A:$A,$A8,'Consumable Usage'!$D:$D,11)))</f>
        <v>0</v>
      </c>
      <c r="DH8" s="12">
        <f t="shared" si="31"/>
        <v>0</v>
      </c>
      <c r="DI8" s="47"/>
      <c r="DJ8" s="12">
        <f t="shared" si="32"/>
        <v>0</v>
      </c>
      <c r="DK8" s="45" t="str">
        <f t="shared" si="33"/>
        <v/>
      </c>
      <c r="DL8" s="46"/>
      <c r="DM8" s="46"/>
      <c r="DN8" s="47"/>
      <c r="DO8" s="12">
        <f>IF($A8="","",SUMIFS('Consumable Usage'!$E:$E,'Consumable Usage'!$A:$A,$A8,'Consumable Usage'!$D:$D,12))</f>
        <v>0</v>
      </c>
      <c r="DP8" s="12">
        <f>IF($A8="","",SUMIFS('Nursing Charges'!$I:$I,'Nursing Charges'!$A:$A,$A8,'Nursing Charges'!$C:$C,12))</f>
        <v>0</v>
      </c>
      <c r="DQ8" s="12">
        <f>IF($A8="","",DN8+(DP8-SUMIFS('Nursing Charges'!$J:$J,'Nursing Charges'!$A:$A,$A8,'Nursing Charges'!$C:$C,12))+(DO8-SUMIFS('Consumable Usage'!$F:$F,'Consumable Usage'!$A:$A,$A8,'Consumable Usage'!$D:$D,12)))</f>
        <v>0</v>
      </c>
      <c r="DR8" s="12">
        <f t="shared" si="34"/>
        <v>0</v>
      </c>
      <c r="DS8" s="47"/>
      <c r="DT8" s="12">
        <f t="shared" si="35"/>
        <v>0</v>
      </c>
      <c r="DU8" s="45" t="str">
        <f t="shared" si="36"/>
        <v/>
      </c>
      <c r="DV8" s="46"/>
      <c r="DW8" s="46"/>
      <c r="DX8" s="47"/>
      <c r="DY8" s="12">
        <f>IF($A8="","",SUMIFS('Consumable Usage'!$E:$E,'Consumable Usage'!$A:$A,$A8,'Consumable Usage'!$D:$D,13))</f>
        <v>0</v>
      </c>
      <c r="DZ8" s="12">
        <f>IF($A8="","",SUMIFS('Nursing Charges'!$I:$I,'Nursing Charges'!$A:$A,$A8,'Nursing Charges'!$C:$C,13))</f>
        <v>0</v>
      </c>
      <c r="EA8" s="12">
        <f>IF($A8="","",DX8+(DZ8-SUMIFS('Nursing Charges'!$J:$J,'Nursing Charges'!$A:$A,$A8,'Nursing Charges'!$C:$C,13))+(DY8-SUMIFS('Consumable Usage'!$F:$F,'Consumable Usage'!$A:$A,$A8,'Consumable Usage'!$D:$D,13)))</f>
        <v>0</v>
      </c>
      <c r="EB8" s="12">
        <f t="shared" si="37"/>
        <v>0</v>
      </c>
      <c r="EC8" s="47"/>
      <c r="ED8" s="12">
        <f t="shared" si="38"/>
        <v>0</v>
      </c>
      <c r="EE8" s="45" t="str">
        <f t="shared" si="39"/>
        <v/>
      </c>
      <c r="EF8" s="46"/>
      <c r="EG8" s="46"/>
      <c r="EH8" s="47"/>
      <c r="EI8" s="12">
        <f>IF($A8="","",SUMIFS('Consumable Usage'!$E:$E,'Consumable Usage'!$A:$A,$A8,'Consumable Usage'!$D:$D,14))</f>
        <v>0</v>
      </c>
      <c r="EJ8" s="12">
        <f>IF($A8="","",SUMIFS('Nursing Charges'!$I:$I,'Nursing Charges'!$A:$A,$A8,'Nursing Charges'!$C:$C,14))</f>
        <v>0</v>
      </c>
      <c r="EK8" s="12">
        <f>IF($A8="","",EH8+(EJ8-SUMIFS('Nursing Charges'!$J:$J,'Nursing Charges'!$A:$A,$A8,'Nursing Charges'!$C:$C,14))+(EI8-SUMIFS('Consumable Usage'!$F:$F,'Consumable Usage'!$A:$A,$A8,'Consumable Usage'!$D:$D,14)))</f>
        <v>0</v>
      </c>
      <c r="EL8" s="12">
        <f t="shared" si="40"/>
        <v>0</v>
      </c>
      <c r="EM8" s="47"/>
      <c r="EN8" s="12">
        <f t="shared" si="41"/>
        <v>0</v>
      </c>
      <c r="EO8" s="45" t="str">
        <f t="shared" si="42"/>
        <v/>
      </c>
      <c r="EP8" s="46"/>
      <c r="EQ8" s="46"/>
      <c r="ER8" s="47"/>
      <c r="ES8" s="12">
        <f>IF($A8="","",SUMIFS('Consumable Usage'!$E:$E,'Consumable Usage'!$A:$A,$A8,'Consumable Usage'!$D:$D,15))</f>
        <v>0</v>
      </c>
      <c r="ET8" s="12">
        <f>IF($A8="","",SUMIFS('Nursing Charges'!$I:$I,'Nursing Charges'!$A:$A,$A8,'Nursing Charges'!$C:$C,15))</f>
        <v>0</v>
      </c>
      <c r="EU8" s="12">
        <f>IF($A8="","",ER8+(ET8-SUMIFS('Nursing Charges'!$J:$J,'Nursing Charges'!$A:$A,$A8,'Nursing Charges'!$C:$C,15))+(ES8-SUMIFS('Consumable Usage'!$F:$F,'Consumable Usage'!$A:$A,$A8,'Consumable Usage'!$D:$D,15)))</f>
        <v>0</v>
      </c>
      <c r="EV8" s="12">
        <f t="shared" si="43"/>
        <v>0</v>
      </c>
      <c r="EW8" s="47"/>
      <c r="EX8" s="12">
        <f t="shared" si="44"/>
        <v>0</v>
      </c>
      <c r="EY8" s="45" t="str">
        <f t="shared" si="45"/>
        <v/>
      </c>
      <c r="EZ8" s="46"/>
      <c r="FA8" s="46"/>
      <c r="FB8" s="47"/>
      <c r="FC8" s="12">
        <f>IF($A8="","",SUMIFS('Consumable Usage'!$E:$E,'Consumable Usage'!$A:$A,$A8,'Consumable Usage'!$D:$D,16))</f>
        <v>0</v>
      </c>
      <c r="FD8" s="12">
        <f>IF($A8="","",SUMIFS('Nursing Charges'!$I:$I,'Nursing Charges'!$A:$A,$A8,'Nursing Charges'!$C:$C,16))</f>
        <v>0</v>
      </c>
      <c r="FE8" s="12">
        <f>IF($A8="","",FB8+(FD8-SUMIFS('Nursing Charges'!$J:$J,'Nursing Charges'!$A:$A,$A8,'Nursing Charges'!$C:$C,16))+(FC8-SUMIFS('Consumable Usage'!$F:$F,'Consumable Usage'!$A:$A,$A8,'Consumable Usage'!$D:$D,16)))</f>
        <v>0</v>
      </c>
      <c r="FF8" s="12">
        <f t="shared" si="46"/>
        <v>0</v>
      </c>
      <c r="FG8" s="47"/>
      <c r="FH8" s="12">
        <f t="shared" si="47"/>
        <v>0</v>
      </c>
      <c r="FI8" s="45" t="str">
        <f t="shared" si="48"/>
        <v/>
      </c>
      <c r="FJ8" s="50"/>
      <c r="FK8" s="50"/>
      <c r="FL8" s="51"/>
      <c r="FM8" s="52">
        <f>IF($A8="","",SUMIFS('Consumable Usage'!$E:$E,'Consumable Usage'!$A:$A,$A8,'Consumable Usage'!$D:$D,16))</f>
        <v>0</v>
      </c>
      <c r="FN8" s="52">
        <f>IF($A8="","",SUMIFS('Nursing Charges'!$I:$I,'Nursing Charges'!$A:$A,$A8,'Nursing Charges'!$C:$C,16))</f>
        <v>0</v>
      </c>
      <c r="FO8" s="52">
        <f>IF($A8="","",FL8+(FN8-SUMIFS('Nursing Charges'!$J:$J,'Nursing Charges'!$A:$A,$A8,'Nursing Charges'!$C:$C,16))+(FM8-SUMIFS('Consumable Usage'!$F:$F,'Consumable Usage'!$A:$A,$A8,'Consumable Usage'!$D:$D,16)))</f>
        <v>0</v>
      </c>
      <c r="FP8" s="52">
        <f t="shared" si="49"/>
        <v>0</v>
      </c>
      <c r="FQ8" s="51"/>
      <c r="FR8" s="52">
        <f t="shared" si="50"/>
        <v>0</v>
      </c>
      <c r="FS8" s="53" t="str">
        <f t="shared" si="51"/>
        <v/>
      </c>
    </row>
    <row r="9" ht="34.5" customHeight="1">
      <c r="A9" s="59" t="s">
        <v>137</v>
      </c>
      <c r="B9" s="60" t="s">
        <v>138</v>
      </c>
      <c r="C9" s="59" t="s">
        <v>139</v>
      </c>
      <c r="D9" s="61" t="s">
        <v>140</v>
      </c>
      <c r="E9" s="62" t="s">
        <v>141</v>
      </c>
      <c r="F9" s="60"/>
      <c r="G9" s="8" t="s">
        <v>142</v>
      </c>
      <c r="H9" s="9">
        <v>0.0</v>
      </c>
      <c r="I9" s="12">
        <f>IF($A9="","",SUMIFS('Consumable Usage'!$E:$E,'Consumable Usage'!$A:$A,$A9,'Consumable Usage'!$D:$D,1))</f>
        <v>0</v>
      </c>
      <c r="J9" s="12">
        <f>IF($A9="","",SUMIFS('Nursing Charges'!$I:$I,'Nursing Charges'!$A:$A,$A9,'Nursing Charges'!$C:$C,1))</f>
        <v>0</v>
      </c>
      <c r="K9" s="12">
        <f>IF($A9="","",H9+(J9-SUMIFS('Nursing Charges'!$J:$J,'Nursing Charges'!$A:$A,$A9,'Nursing Charges'!$C:$C,1))+(I9-SUMIFS('Consumable Usage'!$F:$F,'Consumable Usage'!$A:$A,$A9,'Consumable Usage'!$D:$D,1)))</f>
        <v>0</v>
      </c>
      <c r="L9" s="12">
        <f t="shared" si="1"/>
        <v>0</v>
      </c>
      <c r="M9" s="47"/>
      <c r="N9" s="12">
        <f t="shared" si="2"/>
        <v>0</v>
      </c>
      <c r="O9" s="45" t="str">
        <f t="shared" si="3"/>
        <v/>
      </c>
      <c r="P9" s="8" t="s">
        <v>143</v>
      </c>
      <c r="Q9" s="8" t="s">
        <v>144</v>
      </c>
      <c r="R9" s="9">
        <v>0.0</v>
      </c>
      <c r="S9" s="12">
        <f>IF($A9="","",SUMIFS('Consumable Usage'!$E:$E,'Consumable Usage'!$A:$A,$A9,'Consumable Usage'!$D:$D,2))</f>
        <v>0</v>
      </c>
      <c r="T9" s="12">
        <f>IF($A9="","",SUMIFS('Nursing Charges'!$I:$I,'Nursing Charges'!$A:$A,$A9,'Nursing Charges'!$C:$C,2))</f>
        <v>0</v>
      </c>
      <c r="U9" s="12">
        <f>IF($A9="","",R9+(T9-SUMIFS('Nursing Charges'!$J:$J,'Nursing Charges'!$A:$A,$A9,'Nursing Charges'!$C:$C,2))+(S9-SUMIFS('Consumable Usage'!$F:$F,'Consumable Usage'!$A:$A,$A9,'Consumable Usage'!$D:$D,2)))</f>
        <v>0</v>
      </c>
      <c r="V9" s="12">
        <f t="shared" si="4"/>
        <v>0</v>
      </c>
      <c r="W9" s="47"/>
      <c r="X9" s="12">
        <f t="shared" si="5"/>
        <v>0</v>
      </c>
      <c r="Y9" s="45" t="str">
        <f t="shared" si="6"/>
        <v>No Charges</v>
      </c>
      <c r="Z9" s="8" t="s">
        <v>143</v>
      </c>
      <c r="AA9" s="8" t="s">
        <v>145</v>
      </c>
      <c r="AB9" s="9">
        <v>0.0</v>
      </c>
      <c r="AC9" s="12">
        <f>IF($A9="","",SUMIFS('Consumable Usage'!$E:$E,'Consumable Usage'!$A:$A,$A9,'Consumable Usage'!$D:$D,3))</f>
        <v>0</v>
      </c>
      <c r="AD9" s="12">
        <f>IF($A9="","",SUMIFS('Nursing Charges'!$I:$I,'Nursing Charges'!$A:$A,$A9,'Nursing Charges'!$C:$C,3))</f>
        <v>0</v>
      </c>
      <c r="AE9" s="12">
        <f>IF($A9="","",AB9+(AD9-SUMIFS('Nursing Charges'!$J:$J,'Nursing Charges'!$A:$A,$A9,'Nursing Charges'!$C:$C,3))+(AC9-SUMIFS('Consumable Usage'!$F:$F,'Consumable Usage'!$A:$A,$A9,'Consumable Usage'!$D:$D,3)))</f>
        <v>0</v>
      </c>
      <c r="AF9" s="12">
        <f t="shared" si="7"/>
        <v>0</v>
      </c>
      <c r="AG9" s="47"/>
      <c r="AH9" s="12">
        <f t="shared" si="8"/>
        <v>0</v>
      </c>
      <c r="AI9" s="45" t="str">
        <f t="shared" si="9"/>
        <v>No Charges</v>
      </c>
      <c r="AJ9" s="46"/>
      <c r="AK9" s="46"/>
      <c r="AL9" s="47"/>
      <c r="AM9" s="12">
        <f>IF($A9="","",SUMIFS('Consumable Usage'!$E:$E,'Consumable Usage'!$A:$A,$A9,'Consumable Usage'!$D:$D,4))</f>
        <v>0</v>
      </c>
      <c r="AN9" s="12">
        <f>IF($A9="","",SUMIFS('Nursing Charges'!$I:$I,'Nursing Charges'!$A:$A,$A9,'Nursing Charges'!$C:$C,4))</f>
        <v>0</v>
      </c>
      <c r="AO9" s="12">
        <f>IF($A9="","",AL9+(AN9-SUMIFS('Nursing Charges'!$J:$J,'Nursing Charges'!$A:$A,$A9,'Nursing Charges'!$C:$C,4))+(AM9-SUMIFS('Consumable Usage'!$F:$F,'Consumable Usage'!$A:$A,$A9,'Consumable Usage'!$D:$D,4)))</f>
        <v>0</v>
      </c>
      <c r="AP9" s="12">
        <f t="shared" si="10"/>
        <v>0</v>
      </c>
      <c r="AQ9" s="47"/>
      <c r="AR9" s="12">
        <f t="shared" si="11"/>
        <v>0</v>
      </c>
      <c r="AS9" s="45" t="str">
        <f t="shared" si="12"/>
        <v/>
      </c>
      <c r="AT9" s="46"/>
      <c r="AU9" s="46"/>
      <c r="AV9" s="47"/>
      <c r="AW9" s="12">
        <f>IF($A9="","",SUMIFS('Consumable Usage'!$E:$E,'Consumable Usage'!$A:$A,$A9,'Consumable Usage'!$D:$D,5))</f>
        <v>0</v>
      </c>
      <c r="AX9" s="12">
        <f>IF($A9="","",SUMIFS('Nursing Charges'!$I:$I,'Nursing Charges'!$A:$A,$A9,'Nursing Charges'!$C:$C,5))</f>
        <v>0</v>
      </c>
      <c r="AY9" s="12">
        <f>IF($A9="","",AV9+(AX9-SUMIFS('Nursing Charges'!$J:$J,'Nursing Charges'!$A:$A,$A9,'Nursing Charges'!$C:$C,5))+(AW9-SUMIFS('Consumable Usage'!$F:$F,'Consumable Usage'!$A:$A,$A9,'Consumable Usage'!$D:$D,5)))</f>
        <v>0</v>
      </c>
      <c r="AZ9" s="12">
        <f t="shared" si="13"/>
        <v>0</v>
      </c>
      <c r="BA9" s="47"/>
      <c r="BB9" s="12">
        <f t="shared" si="14"/>
        <v>0</v>
      </c>
      <c r="BC9" s="45" t="str">
        <f t="shared" si="15"/>
        <v/>
      </c>
      <c r="BD9" s="46"/>
      <c r="BE9" s="46"/>
      <c r="BF9" s="47"/>
      <c r="BG9" s="12">
        <f>IF($A9="","",SUMIFS('Consumable Usage'!$E:$E,'Consumable Usage'!$A:$A,$A9,'Consumable Usage'!$D:$D,6))</f>
        <v>0</v>
      </c>
      <c r="BH9" s="12">
        <f>IF($A9="","",SUMIFS('Nursing Charges'!$I:$I,'Nursing Charges'!$A:$A,$A9,'Nursing Charges'!$C:$C,6))</f>
        <v>0</v>
      </c>
      <c r="BI9" s="12">
        <f>IF($A9="","",BF9+(BH9-SUMIFS('Nursing Charges'!$J:$J,'Nursing Charges'!$A:$A,$A9,'Nursing Charges'!$C:$C,6))+(BG9-SUMIFS('Consumable Usage'!$F:$F,'Consumable Usage'!$A:$A,$A9,'Consumable Usage'!$D:$D,6)))</f>
        <v>0</v>
      </c>
      <c r="BJ9" s="12">
        <f t="shared" si="16"/>
        <v>0</v>
      </c>
      <c r="BK9" s="47"/>
      <c r="BL9" s="12">
        <f t="shared" si="17"/>
        <v>0</v>
      </c>
      <c r="BM9" s="45" t="str">
        <f t="shared" si="18"/>
        <v/>
      </c>
      <c r="BN9" s="46"/>
      <c r="BO9" s="46"/>
      <c r="BP9" s="47"/>
      <c r="BQ9" s="12">
        <f>IF($A9="","",SUMIFS('Consumable Usage'!$E:$E,'Consumable Usage'!$A:$A,$A9,'Consumable Usage'!$D:$D,7))</f>
        <v>0</v>
      </c>
      <c r="BR9" s="12">
        <f>IF($A9="","",SUMIFS('Nursing Charges'!$I:$I,'Nursing Charges'!$A:$A,$A9,'Nursing Charges'!$C:$C,7))</f>
        <v>0</v>
      </c>
      <c r="BS9" s="12">
        <f>IF($A9="","",BP9+(BR9-SUMIFS('Nursing Charges'!$J:$J,'Nursing Charges'!$A:$A,$A9,'Nursing Charges'!$C:$C,7))+(BQ9-SUMIFS('Consumable Usage'!$F:$F,'Consumable Usage'!$A:$A,$A9,'Consumable Usage'!$D:$D,7)))</f>
        <v>0</v>
      </c>
      <c r="BT9" s="12">
        <f t="shared" si="19"/>
        <v>0</v>
      </c>
      <c r="BU9" s="47"/>
      <c r="BV9" s="12">
        <f t="shared" si="20"/>
        <v>0</v>
      </c>
      <c r="BW9" s="45" t="str">
        <f t="shared" si="21"/>
        <v/>
      </c>
      <c r="BX9" s="46"/>
      <c r="BY9" s="46"/>
      <c r="BZ9" s="47"/>
      <c r="CA9" s="12">
        <f>IF($A9="","",SUMIFS('Consumable Usage'!$E:$E,'Consumable Usage'!$A:$A,$A9,'Consumable Usage'!$D:$D,8))</f>
        <v>0</v>
      </c>
      <c r="CB9" s="12">
        <f>IF($A9="","",SUMIFS('Nursing Charges'!$I:$I,'Nursing Charges'!$A:$A,$A9,'Nursing Charges'!$C:$C,8))</f>
        <v>0</v>
      </c>
      <c r="CC9" s="12">
        <f>IF($A9="","",BZ9+(CB9-SUMIFS('Nursing Charges'!$J:$J,'Nursing Charges'!$A:$A,$A9,'Nursing Charges'!$C:$C,8))+(CA9-SUMIFS('Consumable Usage'!$F:$F,'Consumable Usage'!$A:$A,$A9,'Consumable Usage'!$D:$D,8)))</f>
        <v>0</v>
      </c>
      <c r="CD9" s="12">
        <f t="shared" si="22"/>
        <v>0</v>
      </c>
      <c r="CE9" s="47"/>
      <c r="CF9" s="12">
        <f t="shared" si="23"/>
        <v>0</v>
      </c>
      <c r="CG9" s="45" t="str">
        <f t="shared" si="24"/>
        <v/>
      </c>
      <c r="CH9" s="46"/>
      <c r="CI9" s="46"/>
      <c r="CJ9" s="47"/>
      <c r="CK9" s="12">
        <f>IF($A9="","",SUMIFS('Consumable Usage'!$E:$E,'Consumable Usage'!$A:$A,$A9,'Consumable Usage'!$D:$D,9))</f>
        <v>0</v>
      </c>
      <c r="CL9" s="12">
        <f>IF($A9="","",SUMIFS('Nursing Charges'!$I:$I,'Nursing Charges'!$A:$A,$A9,'Nursing Charges'!$C:$C,9))</f>
        <v>0</v>
      </c>
      <c r="CM9" s="12">
        <f>IF($A9="","",CJ9+(CL9-SUMIFS('Nursing Charges'!$J:$J,'Nursing Charges'!$A:$A,$A9,'Nursing Charges'!$C:$C,9))+(CK9-SUMIFS('Consumable Usage'!$F:$F,'Consumable Usage'!$A:$A,$A9,'Consumable Usage'!$D:$D,9)))</f>
        <v>0</v>
      </c>
      <c r="CN9" s="12">
        <f t="shared" si="25"/>
        <v>0</v>
      </c>
      <c r="CO9" s="47"/>
      <c r="CP9" s="12">
        <f t="shared" si="26"/>
        <v>0</v>
      </c>
      <c r="CQ9" s="45" t="str">
        <f t="shared" si="27"/>
        <v/>
      </c>
      <c r="CR9" s="46"/>
      <c r="CS9" s="46"/>
      <c r="CT9" s="47"/>
      <c r="CU9" s="12">
        <f>IF($A9="","",SUMIFS('Consumable Usage'!$E:$E,'Consumable Usage'!$A:$A,$A9,'Consumable Usage'!$D:$D,10))</f>
        <v>0</v>
      </c>
      <c r="CV9" s="12">
        <f>IF($A9="","",SUMIFS('Nursing Charges'!$I:$I,'Nursing Charges'!$A:$A,$A9,'Nursing Charges'!$C:$C,10))</f>
        <v>0</v>
      </c>
      <c r="CW9" s="12">
        <f>IF($A9="","",CT9+(CV9-SUMIFS('Nursing Charges'!$J:$J,'Nursing Charges'!$A:$A,$A9,'Nursing Charges'!$C:$C,10))+(CU9-SUMIFS('Consumable Usage'!$F:$F,'Consumable Usage'!$A:$A,$A9,'Consumable Usage'!$D:$D,10)))</f>
        <v>0</v>
      </c>
      <c r="CX9" s="12">
        <f t="shared" si="28"/>
        <v>0</v>
      </c>
      <c r="CY9" s="47"/>
      <c r="CZ9" s="12">
        <f t="shared" si="29"/>
        <v>0</v>
      </c>
      <c r="DA9" s="45" t="str">
        <f t="shared" si="30"/>
        <v/>
      </c>
      <c r="DB9" s="46"/>
      <c r="DC9" s="46"/>
      <c r="DD9" s="47"/>
      <c r="DE9" s="12">
        <f>IF($A9="","",SUMIFS('Consumable Usage'!$E:$E,'Consumable Usage'!$A:$A,$A9,'Consumable Usage'!$D:$D,11))</f>
        <v>0</v>
      </c>
      <c r="DF9" s="12">
        <f>IF($A9="","",SUMIFS('Nursing Charges'!$I:$I,'Nursing Charges'!$A:$A,$A9,'Nursing Charges'!$C:$C,11))</f>
        <v>0</v>
      </c>
      <c r="DG9" s="12">
        <f>IF($A9="","",DD9+(DF9-SUMIFS('Nursing Charges'!$J:$J,'Nursing Charges'!$A:$A,$A9,'Nursing Charges'!$C:$C,11))+(DE9-SUMIFS('Consumable Usage'!$F:$F,'Consumable Usage'!$A:$A,$A9,'Consumable Usage'!$D:$D,11)))</f>
        <v>0</v>
      </c>
      <c r="DH9" s="12">
        <f t="shared" si="31"/>
        <v>0</v>
      </c>
      <c r="DI9" s="47"/>
      <c r="DJ9" s="12">
        <f t="shared" si="32"/>
        <v>0</v>
      </c>
      <c r="DK9" s="45" t="str">
        <f t="shared" si="33"/>
        <v/>
      </c>
      <c r="DL9" s="46"/>
      <c r="DM9" s="46"/>
      <c r="DN9" s="47"/>
      <c r="DO9" s="12">
        <f>IF($A9="","",SUMIFS('Consumable Usage'!$E:$E,'Consumable Usage'!$A:$A,$A9,'Consumable Usage'!$D:$D,12))</f>
        <v>0</v>
      </c>
      <c r="DP9" s="12">
        <f>IF($A9="","",SUMIFS('Nursing Charges'!$I:$I,'Nursing Charges'!$A:$A,$A9,'Nursing Charges'!$C:$C,12))</f>
        <v>0</v>
      </c>
      <c r="DQ9" s="12">
        <f>IF($A9="","",DN9+(DP9-SUMIFS('Nursing Charges'!$J:$J,'Nursing Charges'!$A:$A,$A9,'Nursing Charges'!$C:$C,12))+(DO9-SUMIFS('Consumable Usage'!$F:$F,'Consumable Usage'!$A:$A,$A9,'Consumable Usage'!$D:$D,12)))</f>
        <v>0</v>
      </c>
      <c r="DR9" s="12">
        <f t="shared" si="34"/>
        <v>0</v>
      </c>
      <c r="DS9" s="47"/>
      <c r="DT9" s="12">
        <f t="shared" si="35"/>
        <v>0</v>
      </c>
      <c r="DU9" s="45" t="str">
        <f t="shared" si="36"/>
        <v/>
      </c>
      <c r="DV9" s="46"/>
      <c r="DW9" s="46"/>
      <c r="DX9" s="47"/>
      <c r="DY9" s="12">
        <f>IF($A9="","",SUMIFS('Consumable Usage'!$E:$E,'Consumable Usage'!$A:$A,$A9,'Consumable Usage'!$D:$D,13))</f>
        <v>0</v>
      </c>
      <c r="DZ9" s="12">
        <f>IF($A9="","",SUMIFS('Nursing Charges'!$I:$I,'Nursing Charges'!$A:$A,$A9,'Nursing Charges'!$C:$C,13))</f>
        <v>0</v>
      </c>
      <c r="EA9" s="12">
        <f>IF($A9="","",DX9+(DZ9-SUMIFS('Nursing Charges'!$J:$J,'Nursing Charges'!$A:$A,$A9,'Nursing Charges'!$C:$C,13))+(DY9-SUMIFS('Consumable Usage'!$F:$F,'Consumable Usage'!$A:$A,$A9,'Consumable Usage'!$D:$D,13)))</f>
        <v>0</v>
      </c>
      <c r="EB9" s="12">
        <f t="shared" si="37"/>
        <v>0</v>
      </c>
      <c r="EC9" s="47"/>
      <c r="ED9" s="12">
        <f t="shared" si="38"/>
        <v>0</v>
      </c>
      <c r="EE9" s="45" t="str">
        <f t="shared" si="39"/>
        <v/>
      </c>
      <c r="EF9" s="46"/>
      <c r="EG9" s="46"/>
      <c r="EH9" s="47"/>
      <c r="EI9" s="12">
        <f>IF($A9="","",SUMIFS('Consumable Usage'!$E:$E,'Consumable Usage'!$A:$A,$A9,'Consumable Usage'!$D:$D,14))</f>
        <v>0</v>
      </c>
      <c r="EJ9" s="12">
        <f>IF($A9="","",SUMIFS('Nursing Charges'!$I:$I,'Nursing Charges'!$A:$A,$A9,'Nursing Charges'!$C:$C,14))</f>
        <v>0</v>
      </c>
      <c r="EK9" s="12">
        <f>IF($A9="","",EH9+(EJ9-SUMIFS('Nursing Charges'!$J:$J,'Nursing Charges'!$A:$A,$A9,'Nursing Charges'!$C:$C,14))+(EI9-SUMIFS('Consumable Usage'!$F:$F,'Consumable Usage'!$A:$A,$A9,'Consumable Usage'!$D:$D,14)))</f>
        <v>0</v>
      </c>
      <c r="EL9" s="12">
        <f t="shared" si="40"/>
        <v>0</v>
      </c>
      <c r="EM9" s="47"/>
      <c r="EN9" s="12">
        <f t="shared" si="41"/>
        <v>0</v>
      </c>
      <c r="EO9" s="45" t="str">
        <f t="shared" si="42"/>
        <v/>
      </c>
      <c r="EP9" s="46"/>
      <c r="EQ9" s="46"/>
      <c r="ER9" s="47"/>
      <c r="ES9" s="12">
        <f>IF($A9="","",SUMIFS('Consumable Usage'!$E:$E,'Consumable Usage'!$A:$A,$A9,'Consumable Usage'!$D:$D,15))</f>
        <v>0</v>
      </c>
      <c r="ET9" s="12">
        <f>IF($A9="","",SUMIFS('Nursing Charges'!$I:$I,'Nursing Charges'!$A:$A,$A9,'Nursing Charges'!$C:$C,15))</f>
        <v>0</v>
      </c>
      <c r="EU9" s="12">
        <f>IF($A9="","",ER9+(ET9-SUMIFS('Nursing Charges'!$J:$J,'Nursing Charges'!$A:$A,$A9,'Nursing Charges'!$C:$C,15))+(ES9-SUMIFS('Consumable Usage'!$F:$F,'Consumable Usage'!$A:$A,$A9,'Consumable Usage'!$D:$D,15)))</f>
        <v>0</v>
      </c>
      <c r="EV9" s="12">
        <f t="shared" si="43"/>
        <v>0</v>
      </c>
      <c r="EW9" s="47"/>
      <c r="EX9" s="12">
        <f t="shared" si="44"/>
        <v>0</v>
      </c>
      <c r="EY9" s="45" t="str">
        <f t="shared" si="45"/>
        <v/>
      </c>
      <c r="EZ9" s="46"/>
      <c r="FA9" s="46"/>
      <c r="FB9" s="47"/>
      <c r="FC9" s="12">
        <f>IF($A9="","",SUMIFS('Consumable Usage'!$E:$E,'Consumable Usage'!$A:$A,$A9,'Consumable Usage'!$D:$D,16))</f>
        <v>0</v>
      </c>
      <c r="FD9" s="12">
        <f>IF($A9="","",SUMIFS('Nursing Charges'!$I:$I,'Nursing Charges'!$A:$A,$A9,'Nursing Charges'!$C:$C,16))</f>
        <v>0</v>
      </c>
      <c r="FE9" s="12">
        <f>IF($A9="","",FB9+(FD9-SUMIFS('Nursing Charges'!$J:$J,'Nursing Charges'!$A:$A,$A9,'Nursing Charges'!$C:$C,16))+(FC9-SUMIFS('Consumable Usage'!$F:$F,'Consumable Usage'!$A:$A,$A9,'Consumable Usage'!$D:$D,16)))</f>
        <v>0</v>
      </c>
      <c r="FF9" s="12">
        <f t="shared" si="46"/>
        <v>0</v>
      </c>
      <c r="FG9" s="47"/>
      <c r="FH9" s="12">
        <f t="shared" si="47"/>
        <v>0</v>
      </c>
      <c r="FI9" s="45" t="str">
        <f t="shared" si="48"/>
        <v/>
      </c>
      <c r="FJ9" s="50"/>
      <c r="FK9" s="50"/>
      <c r="FL9" s="51"/>
      <c r="FM9" s="52">
        <f>IF($A9="","",SUMIFS('Consumable Usage'!$E:$E,'Consumable Usage'!$A:$A,$A9,'Consumable Usage'!$D:$D,16))</f>
        <v>0</v>
      </c>
      <c r="FN9" s="52">
        <f>IF($A9="","",SUMIFS('Nursing Charges'!$I:$I,'Nursing Charges'!$A:$A,$A9,'Nursing Charges'!$C:$C,16))</f>
        <v>0</v>
      </c>
      <c r="FO9" s="52">
        <f>IF($A9="","",FL9+(FN9-SUMIFS('Nursing Charges'!$J:$J,'Nursing Charges'!$A:$A,$A9,'Nursing Charges'!$C:$C,16))+(FM9-SUMIFS('Consumable Usage'!$F:$F,'Consumable Usage'!$A:$A,$A9,'Consumable Usage'!$D:$D,16)))</f>
        <v>0</v>
      </c>
      <c r="FP9" s="52">
        <f t="shared" si="49"/>
        <v>0</v>
      </c>
      <c r="FQ9" s="51"/>
      <c r="FR9" s="52">
        <f t="shared" si="50"/>
        <v>0</v>
      </c>
      <c r="FS9" s="53" t="str">
        <f t="shared" si="51"/>
        <v/>
      </c>
    </row>
    <row r="10" ht="15.0" customHeight="1">
      <c r="A10" s="41" t="s">
        <v>146</v>
      </c>
      <c r="B10" s="42" t="s">
        <v>147</v>
      </c>
      <c r="C10" s="41" t="s">
        <v>139</v>
      </c>
      <c r="D10" s="43" t="s">
        <v>148</v>
      </c>
      <c r="E10" s="44" t="s">
        <v>149</v>
      </c>
      <c r="F10" s="42"/>
      <c r="G10" s="15"/>
      <c r="H10" s="20"/>
      <c r="I10" s="12">
        <f>IF($A10="","",SUMIFS('Consumable Usage'!$E:$E,'Consumable Usage'!$A:$A,$A10,'Consumable Usage'!$D:$D,1))</f>
        <v>0</v>
      </c>
      <c r="J10" s="12">
        <f>IF($A10="","",SUMIFS('Nursing Charges'!$I:$I,'Nursing Charges'!$A:$A,$A10,'Nursing Charges'!$C:$C,1))</f>
        <v>0</v>
      </c>
      <c r="K10" s="12">
        <f>IF($A10="","",H10+(J10-SUMIFS('Nursing Charges'!$J:$J,'Nursing Charges'!$A:$A,$A10,'Nursing Charges'!$C:$C,1))+(I10-SUMIFS('Consumable Usage'!$F:$F,'Consumable Usage'!$A:$A,$A10,'Consumable Usage'!$D:$D,1)))</f>
        <v>0</v>
      </c>
      <c r="L10" s="12">
        <f t="shared" si="1"/>
        <v>0</v>
      </c>
      <c r="M10" s="20"/>
      <c r="N10" s="12">
        <f t="shared" si="2"/>
        <v>0</v>
      </c>
      <c r="O10" s="45" t="str">
        <f t="shared" si="3"/>
        <v/>
      </c>
      <c r="P10" s="15"/>
      <c r="Q10" s="15"/>
      <c r="R10" s="20"/>
      <c r="S10" s="12">
        <f>IF($A10="","",SUMIFS('Consumable Usage'!$E:$E,'Consumable Usage'!$A:$A,$A10,'Consumable Usage'!$D:$D,2))</f>
        <v>0</v>
      </c>
      <c r="T10" s="12">
        <f>IF($A10="","",SUMIFS('Nursing Charges'!$I:$I,'Nursing Charges'!$A:$A,$A10,'Nursing Charges'!$C:$C,2))</f>
        <v>0</v>
      </c>
      <c r="U10" s="12">
        <f>IF($A10="","",R10+(T10-SUMIFS('Nursing Charges'!$J:$J,'Nursing Charges'!$A:$A,$A10,'Nursing Charges'!$C:$C,2))+(S10-SUMIFS('Consumable Usage'!$F:$F,'Consumable Usage'!$A:$A,$A10,'Consumable Usage'!$D:$D,2)))</f>
        <v>0</v>
      </c>
      <c r="V10" s="12">
        <f t="shared" si="4"/>
        <v>0</v>
      </c>
      <c r="W10" s="20"/>
      <c r="X10" s="12">
        <f t="shared" si="5"/>
        <v>0</v>
      </c>
      <c r="Y10" s="45" t="str">
        <f t="shared" si="6"/>
        <v/>
      </c>
      <c r="Z10" s="15"/>
      <c r="AA10" s="15"/>
      <c r="AB10" s="20"/>
      <c r="AC10" s="12">
        <f>IF($A10="","",SUMIFS('Consumable Usage'!$E:$E,'Consumable Usage'!$A:$A,$A10,'Consumable Usage'!$D:$D,3))</f>
        <v>0</v>
      </c>
      <c r="AD10" s="12">
        <f>IF($A10="","",SUMIFS('Nursing Charges'!$I:$I,'Nursing Charges'!$A:$A,$A10,'Nursing Charges'!$C:$C,3))</f>
        <v>0</v>
      </c>
      <c r="AE10" s="12">
        <f>IF($A10="","",AB10+(AD10-SUMIFS('Nursing Charges'!$J:$J,'Nursing Charges'!$A:$A,$A10,'Nursing Charges'!$C:$C,3))+(AC10-SUMIFS('Consumable Usage'!$F:$F,'Consumable Usage'!$A:$A,$A10,'Consumable Usage'!$D:$D,3)))</f>
        <v>0</v>
      </c>
      <c r="AF10" s="12">
        <f t="shared" si="7"/>
        <v>0</v>
      </c>
      <c r="AG10" s="20"/>
      <c r="AH10" s="12">
        <f t="shared" si="8"/>
        <v>0</v>
      </c>
      <c r="AI10" s="45" t="str">
        <f t="shared" si="9"/>
        <v/>
      </c>
      <c r="AJ10" s="15"/>
      <c r="AK10" s="15"/>
      <c r="AL10" s="20"/>
      <c r="AM10" s="12">
        <f>IF($A10="","",SUMIFS('Consumable Usage'!$E:$E,'Consumable Usage'!$A:$A,$A10,'Consumable Usage'!$D:$D,4))</f>
        <v>0</v>
      </c>
      <c r="AN10" s="12">
        <f>IF($A10="","",SUMIFS('Nursing Charges'!$I:$I,'Nursing Charges'!$A:$A,$A10,'Nursing Charges'!$C:$C,4))</f>
        <v>0</v>
      </c>
      <c r="AO10" s="12">
        <f>IF($A10="","",AL10+(AN10-SUMIFS('Nursing Charges'!$J:$J,'Nursing Charges'!$A:$A,$A10,'Nursing Charges'!$C:$C,4))+(AM10-SUMIFS('Consumable Usage'!$F:$F,'Consumable Usage'!$A:$A,$A10,'Consumable Usage'!$D:$D,4)))</f>
        <v>0</v>
      </c>
      <c r="AP10" s="12">
        <f t="shared" si="10"/>
        <v>0</v>
      </c>
      <c r="AQ10" s="20"/>
      <c r="AR10" s="12">
        <f t="shared" si="11"/>
        <v>0</v>
      </c>
      <c r="AS10" s="45" t="str">
        <f t="shared" si="12"/>
        <v/>
      </c>
      <c r="AT10" s="15"/>
      <c r="AU10" s="15"/>
      <c r="AV10" s="20"/>
      <c r="AW10" s="12">
        <f>IF($A10="","",SUMIFS('Consumable Usage'!$E:$E,'Consumable Usage'!$A:$A,$A10,'Consumable Usage'!$D:$D,5))</f>
        <v>0</v>
      </c>
      <c r="AX10" s="12">
        <f>IF($A10="","",SUMIFS('Nursing Charges'!$I:$I,'Nursing Charges'!$A:$A,$A10,'Nursing Charges'!$C:$C,5))</f>
        <v>0</v>
      </c>
      <c r="AY10" s="12">
        <f>IF($A10="","",AV10+(AX10-SUMIFS('Nursing Charges'!$J:$J,'Nursing Charges'!$A:$A,$A10,'Nursing Charges'!$C:$C,5))+(AW10-SUMIFS('Consumable Usage'!$F:$F,'Consumable Usage'!$A:$A,$A10,'Consumable Usage'!$D:$D,5)))</f>
        <v>0</v>
      </c>
      <c r="AZ10" s="12">
        <f t="shared" si="13"/>
        <v>0</v>
      </c>
      <c r="BA10" s="20"/>
      <c r="BB10" s="12">
        <f t="shared" si="14"/>
        <v>0</v>
      </c>
      <c r="BC10" s="45" t="str">
        <f t="shared" si="15"/>
        <v/>
      </c>
      <c r="BD10" s="15"/>
      <c r="BE10" s="15"/>
      <c r="BF10" s="20"/>
      <c r="BG10" s="12">
        <f>IF($A10="","",SUMIFS('Consumable Usage'!$E:$E,'Consumable Usage'!$A:$A,$A10,'Consumable Usage'!$D:$D,6))</f>
        <v>0</v>
      </c>
      <c r="BH10" s="12">
        <f>IF($A10="","",SUMIFS('Nursing Charges'!$I:$I,'Nursing Charges'!$A:$A,$A10,'Nursing Charges'!$C:$C,6))</f>
        <v>0</v>
      </c>
      <c r="BI10" s="12">
        <f>IF($A10="","",BF10+(BH10-SUMIFS('Nursing Charges'!$J:$J,'Nursing Charges'!$A:$A,$A10,'Nursing Charges'!$C:$C,6))+(BG10-SUMIFS('Consumable Usage'!$F:$F,'Consumable Usage'!$A:$A,$A10,'Consumable Usage'!$D:$D,6)))</f>
        <v>0</v>
      </c>
      <c r="BJ10" s="12">
        <f t="shared" si="16"/>
        <v>0</v>
      </c>
      <c r="BK10" s="20"/>
      <c r="BL10" s="12">
        <f t="shared" si="17"/>
        <v>0</v>
      </c>
      <c r="BM10" s="45" t="str">
        <f t="shared" si="18"/>
        <v/>
      </c>
      <c r="BN10" s="15"/>
      <c r="BO10" s="15"/>
      <c r="BP10" s="20"/>
      <c r="BQ10" s="12">
        <f>IF($A10="","",SUMIFS('Consumable Usage'!$E:$E,'Consumable Usage'!$A:$A,$A10,'Consumable Usage'!$D:$D,7))</f>
        <v>0</v>
      </c>
      <c r="BR10" s="12">
        <f>IF($A10="","",SUMIFS('Nursing Charges'!$I:$I,'Nursing Charges'!$A:$A,$A10,'Nursing Charges'!$C:$C,7))</f>
        <v>0</v>
      </c>
      <c r="BS10" s="12">
        <f>IF($A10="","",BP10+(BR10-SUMIFS('Nursing Charges'!$J:$J,'Nursing Charges'!$A:$A,$A10,'Nursing Charges'!$C:$C,7))+(BQ10-SUMIFS('Consumable Usage'!$F:$F,'Consumable Usage'!$A:$A,$A10,'Consumable Usage'!$D:$D,7)))</f>
        <v>0</v>
      </c>
      <c r="BT10" s="12">
        <f t="shared" si="19"/>
        <v>0</v>
      </c>
      <c r="BU10" s="20"/>
      <c r="BV10" s="12">
        <f t="shared" si="20"/>
        <v>0</v>
      </c>
      <c r="BW10" s="45" t="str">
        <f t="shared" si="21"/>
        <v/>
      </c>
      <c r="BX10" s="15"/>
      <c r="BY10" s="15"/>
      <c r="BZ10" s="20"/>
      <c r="CA10" s="12">
        <f>IF($A10="","",SUMIFS('Consumable Usage'!$E:$E,'Consumable Usage'!$A:$A,$A10,'Consumable Usage'!$D:$D,8))</f>
        <v>0</v>
      </c>
      <c r="CB10" s="12">
        <f>IF($A10="","",SUMIFS('Nursing Charges'!$I:$I,'Nursing Charges'!$A:$A,$A10,'Nursing Charges'!$C:$C,8))</f>
        <v>0</v>
      </c>
      <c r="CC10" s="12">
        <f>IF($A10="","",BZ10+(CB10-SUMIFS('Nursing Charges'!$J:$J,'Nursing Charges'!$A:$A,$A10,'Nursing Charges'!$C:$C,8))+(CA10-SUMIFS('Consumable Usage'!$F:$F,'Consumable Usage'!$A:$A,$A10,'Consumable Usage'!$D:$D,8)))</f>
        <v>0</v>
      </c>
      <c r="CD10" s="12">
        <f t="shared" si="22"/>
        <v>0</v>
      </c>
      <c r="CE10" s="20"/>
      <c r="CF10" s="12">
        <f t="shared" si="23"/>
        <v>0</v>
      </c>
      <c r="CG10" s="45" t="str">
        <f t="shared" si="24"/>
        <v/>
      </c>
      <c r="CH10" s="15"/>
      <c r="CI10" s="15"/>
      <c r="CJ10" s="20"/>
      <c r="CK10" s="12">
        <f>IF($A10="","",SUMIFS('Consumable Usage'!$E:$E,'Consumable Usage'!$A:$A,$A10,'Consumable Usage'!$D:$D,9))</f>
        <v>0</v>
      </c>
      <c r="CL10" s="12">
        <f>IF($A10="","",SUMIFS('Nursing Charges'!$I:$I,'Nursing Charges'!$A:$A,$A10,'Nursing Charges'!$C:$C,9))</f>
        <v>0</v>
      </c>
      <c r="CM10" s="12">
        <f>IF($A10="","",CJ10+(CL10-SUMIFS('Nursing Charges'!$J:$J,'Nursing Charges'!$A:$A,$A10,'Nursing Charges'!$C:$C,9))+(CK10-SUMIFS('Consumable Usage'!$F:$F,'Consumable Usage'!$A:$A,$A10,'Consumable Usage'!$D:$D,9)))</f>
        <v>0</v>
      </c>
      <c r="CN10" s="12">
        <f t="shared" si="25"/>
        <v>0</v>
      </c>
      <c r="CO10" s="20"/>
      <c r="CP10" s="12">
        <f t="shared" si="26"/>
        <v>0</v>
      </c>
      <c r="CQ10" s="45" t="str">
        <f t="shared" si="27"/>
        <v/>
      </c>
      <c r="CR10" s="15"/>
      <c r="CS10" s="15"/>
      <c r="CT10" s="20"/>
      <c r="CU10" s="12">
        <f>IF($A10="","",SUMIFS('Consumable Usage'!$E:$E,'Consumable Usage'!$A:$A,$A10,'Consumable Usage'!$D:$D,10))</f>
        <v>0</v>
      </c>
      <c r="CV10" s="12">
        <f>IF($A10="","",SUMIFS('Nursing Charges'!$I:$I,'Nursing Charges'!$A:$A,$A10,'Nursing Charges'!$C:$C,10))</f>
        <v>0</v>
      </c>
      <c r="CW10" s="12">
        <f>IF($A10="","",CT10+(CV10-SUMIFS('Nursing Charges'!$J:$J,'Nursing Charges'!$A:$A,$A10,'Nursing Charges'!$C:$C,10))+(CU10-SUMIFS('Consumable Usage'!$F:$F,'Consumable Usage'!$A:$A,$A10,'Consumable Usage'!$D:$D,10)))</f>
        <v>0</v>
      </c>
      <c r="CX10" s="12">
        <f t="shared" si="28"/>
        <v>0</v>
      </c>
      <c r="CY10" s="20"/>
      <c r="CZ10" s="12">
        <f t="shared" si="29"/>
        <v>0</v>
      </c>
      <c r="DA10" s="45" t="str">
        <f t="shared" si="30"/>
        <v/>
      </c>
      <c r="DB10" s="15"/>
      <c r="DC10" s="15"/>
      <c r="DD10" s="20"/>
      <c r="DE10" s="12">
        <f>IF($A10="","",SUMIFS('Consumable Usage'!$E:$E,'Consumable Usage'!$A:$A,$A10,'Consumable Usage'!$D:$D,11))</f>
        <v>0</v>
      </c>
      <c r="DF10" s="12">
        <f>IF($A10="","",SUMIFS('Nursing Charges'!$I:$I,'Nursing Charges'!$A:$A,$A10,'Nursing Charges'!$C:$C,11))</f>
        <v>0</v>
      </c>
      <c r="DG10" s="12">
        <f>IF($A10="","",DD10+(DF10-SUMIFS('Nursing Charges'!$J:$J,'Nursing Charges'!$A:$A,$A10,'Nursing Charges'!$C:$C,11))+(DE10-SUMIFS('Consumable Usage'!$F:$F,'Consumable Usage'!$A:$A,$A10,'Consumable Usage'!$D:$D,11)))</f>
        <v>0</v>
      </c>
      <c r="DH10" s="12">
        <f t="shared" si="31"/>
        <v>0</v>
      </c>
      <c r="DI10" s="20"/>
      <c r="DJ10" s="12">
        <f t="shared" si="32"/>
        <v>0</v>
      </c>
      <c r="DK10" s="45" t="str">
        <f t="shared" si="33"/>
        <v/>
      </c>
      <c r="DL10" s="15"/>
      <c r="DM10" s="15"/>
      <c r="DN10" s="20"/>
      <c r="DO10" s="12">
        <f>IF($A10="","",SUMIFS('Consumable Usage'!$E:$E,'Consumable Usage'!$A:$A,$A10,'Consumable Usage'!$D:$D,12))</f>
        <v>0</v>
      </c>
      <c r="DP10" s="12">
        <f>IF($A10="","",SUMIFS('Nursing Charges'!$I:$I,'Nursing Charges'!$A:$A,$A10,'Nursing Charges'!$C:$C,12))</f>
        <v>0</v>
      </c>
      <c r="DQ10" s="12">
        <f>IF($A10="","",DN10+(DP10-SUMIFS('Nursing Charges'!$J:$J,'Nursing Charges'!$A:$A,$A10,'Nursing Charges'!$C:$C,12))+(DO10-SUMIFS('Consumable Usage'!$F:$F,'Consumable Usage'!$A:$A,$A10,'Consumable Usage'!$D:$D,12)))</f>
        <v>0</v>
      </c>
      <c r="DR10" s="12">
        <f t="shared" si="34"/>
        <v>0</v>
      </c>
      <c r="DS10" s="20"/>
      <c r="DT10" s="12">
        <f t="shared" si="35"/>
        <v>0</v>
      </c>
      <c r="DU10" s="45" t="str">
        <f t="shared" si="36"/>
        <v/>
      </c>
      <c r="DV10" s="15"/>
      <c r="DW10" s="15"/>
      <c r="DX10" s="20"/>
      <c r="DY10" s="12">
        <f>IF($A10="","",SUMIFS('Consumable Usage'!$E:$E,'Consumable Usage'!$A:$A,$A10,'Consumable Usage'!$D:$D,13))</f>
        <v>0</v>
      </c>
      <c r="DZ10" s="12">
        <f>IF($A10="","",SUMIFS('Nursing Charges'!$I:$I,'Nursing Charges'!$A:$A,$A10,'Nursing Charges'!$C:$C,13))</f>
        <v>0</v>
      </c>
      <c r="EA10" s="12">
        <f>IF($A10="","",DX10+(DZ10-SUMIFS('Nursing Charges'!$J:$J,'Nursing Charges'!$A:$A,$A10,'Nursing Charges'!$C:$C,13))+(DY10-SUMIFS('Consumable Usage'!$F:$F,'Consumable Usage'!$A:$A,$A10,'Consumable Usage'!$D:$D,13)))</f>
        <v>0</v>
      </c>
      <c r="EB10" s="12">
        <f t="shared" si="37"/>
        <v>0</v>
      </c>
      <c r="EC10" s="20"/>
      <c r="ED10" s="12">
        <f t="shared" si="38"/>
        <v>0</v>
      </c>
      <c r="EE10" s="45" t="str">
        <f t="shared" si="39"/>
        <v/>
      </c>
      <c r="EF10" s="15"/>
      <c r="EG10" s="15"/>
      <c r="EH10" s="20"/>
      <c r="EI10" s="12">
        <f>IF($A10="","",SUMIFS('Consumable Usage'!$E:$E,'Consumable Usage'!$A:$A,$A10,'Consumable Usage'!$D:$D,14))</f>
        <v>0</v>
      </c>
      <c r="EJ10" s="12">
        <f>IF($A10="","",SUMIFS('Nursing Charges'!$I:$I,'Nursing Charges'!$A:$A,$A10,'Nursing Charges'!$C:$C,14))</f>
        <v>0</v>
      </c>
      <c r="EK10" s="12">
        <f>IF($A10="","",EH10+(EJ10-SUMIFS('Nursing Charges'!$J:$J,'Nursing Charges'!$A:$A,$A10,'Nursing Charges'!$C:$C,14))+(EI10-SUMIFS('Consumable Usage'!$F:$F,'Consumable Usage'!$A:$A,$A10,'Consumable Usage'!$D:$D,14)))</f>
        <v>0</v>
      </c>
      <c r="EL10" s="12">
        <f t="shared" si="40"/>
        <v>0</v>
      </c>
      <c r="EM10" s="20"/>
      <c r="EN10" s="12">
        <f t="shared" si="41"/>
        <v>0</v>
      </c>
      <c r="EO10" s="45" t="str">
        <f t="shared" si="42"/>
        <v/>
      </c>
      <c r="EP10" s="15"/>
      <c r="EQ10" s="15"/>
      <c r="ER10" s="20"/>
      <c r="ES10" s="12">
        <f>IF($A10="","",SUMIFS('Consumable Usage'!$E:$E,'Consumable Usage'!$A:$A,$A10,'Consumable Usage'!$D:$D,15))</f>
        <v>0</v>
      </c>
      <c r="ET10" s="12">
        <f>IF($A10="","",SUMIFS('Nursing Charges'!$I:$I,'Nursing Charges'!$A:$A,$A10,'Nursing Charges'!$C:$C,15))</f>
        <v>0</v>
      </c>
      <c r="EU10" s="12">
        <f>IF($A10="","",ER10+(ET10-SUMIFS('Nursing Charges'!$J:$J,'Nursing Charges'!$A:$A,$A10,'Nursing Charges'!$C:$C,15))+(ES10-SUMIFS('Consumable Usage'!$F:$F,'Consumable Usage'!$A:$A,$A10,'Consumable Usage'!$D:$D,15)))</f>
        <v>0</v>
      </c>
      <c r="EV10" s="12">
        <f t="shared" si="43"/>
        <v>0</v>
      </c>
      <c r="EW10" s="20"/>
      <c r="EX10" s="12">
        <f t="shared" si="44"/>
        <v>0</v>
      </c>
      <c r="EY10" s="45" t="str">
        <f t="shared" si="45"/>
        <v/>
      </c>
      <c r="EZ10" s="15"/>
      <c r="FA10" s="15"/>
      <c r="FB10" s="20"/>
      <c r="FC10" s="12">
        <f>IF($A10="","",SUMIFS('Consumable Usage'!$E:$E,'Consumable Usage'!$A:$A,$A10,'Consumable Usage'!$D:$D,16))</f>
        <v>0</v>
      </c>
      <c r="FD10" s="12">
        <f>IF($A10="","",SUMIFS('Nursing Charges'!$I:$I,'Nursing Charges'!$A:$A,$A10,'Nursing Charges'!$C:$C,16))</f>
        <v>0</v>
      </c>
      <c r="FE10" s="12">
        <f>IF($A10="","",FB10+(FD10-SUMIFS('Nursing Charges'!$J:$J,'Nursing Charges'!$A:$A,$A10,'Nursing Charges'!$C:$C,16))+(FC10-SUMIFS('Consumable Usage'!$F:$F,'Consumable Usage'!$A:$A,$A10,'Consumable Usage'!$D:$D,16)))</f>
        <v>0</v>
      </c>
      <c r="FF10" s="12">
        <f t="shared" si="46"/>
        <v>0</v>
      </c>
      <c r="FG10" s="20"/>
      <c r="FH10" s="12">
        <f t="shared" si="47"/>
        <v>0</v>
      </c>
      <c r="FI10" s="45" t="str">
        <f t="shared" si="48"/>
        <v/>
      </c>
      <c r="FJ10" s="53"/>
      <c r="FK10" s="53"/>
      <c r="FL10" s="63"/>
      <c r="FM10" s="63">
        <f>IF($A10="","",SUMIFS('Consumable Usage'!$E:$E,'Consumable Usage'!$A:$A,$A10,'Consumable Usage'!$D:$D,16))</f>
        <v>0</v>
      </c>
      <c r="FN10" s="63">
        <f>IF($A10="","",SUMIFS('Nursing Charges'!$I:$I,'Nursing Charges'!$A:$A,$A10,'Nursing Charges'!$C:$C,16))</f>
        <v>0</v>
      </c>
      <c r="FO10" s="63">
        <f>IF($A10="","",FL10+(FN10-SUMIFS('Nursing Charges'!$J:$J,'Nursing Charges'!$A:$A,$A10,'Nursing Charges'!$C:$C,16))+(FM10-SUMIFS('Consumable Usage'!$F:$F,'Consumable Usage'!$A:$A,$A10,'Consumable Usage'!$D:$D,16)))</f>
        <v>0</v>
      </c>
      <c r="FP10" s="63">
        <f t="shared" si="49"/>
        <v>0</v>
      </c>
      <c r="FQ10" s="63"/>
      <c r="FR10" s="63">
        <f t="shared" si="50"/>
        <v>0</v>
      </c>
      <c r="FS10" s="53" t="str">
        <f t="shared" si="51"/>
        <v/>
      </c>
    </row>
    <row r="11" ht="15.0" customHeight="1">
      <c r="A11" s="41" t="s">
        <v>150</v>
      </c>
      <c r="B11" s="42" t="s">
        <v>151</v>
      </c>
      <c r="C11" s="41" t="s">
        <v>152</v>
      </c>
      <c r="D11" s="43" t="s">
        <v>153</v>
      </c>
      <c r="E11" s="44" t="s">
        <v>154</v>
      </c>
      <c r="F11" s="42"/>
      <c r="G11" s="15"/>
      <c r="H11" s="20"/>
      <c r="I11" s="12">
        <f>IF($A11="","",SUMIFS('Consumable Usage'!$E:$E,'Consumable Usage'!$A:$A,$A11,'Consumable Usage'!$D:$D,1))</f>
        <v>0</v>
      </c>
      <c r="J11" s="12">
        <f>IF($A11="","",SUMIFS('Nursing Charges'!$I:$I,'Nursing Charges'!$A:$A,$A11,'Nursing Charges'!$C:$C,1))</f>
        <v>0</v>
      </c>
      <c r="K11" s="12">
        <f>IF($A11="","",H11+(J11-SUMIFS('Nursing Charges'!$J:$J,'Nursing Charges'!$A:$A,$A11,'Nursing Charges'!$C:$C,1))+(I11-SUMIFS('Consumable Usage'!$F:$F,'Consumable Usage'!$A:$A,$A11,'Consumable Usage'!$D:$D,1)))</f>
        <v>0</v>
      </c>
      <c r="L11" s="12">
        <f t="shared" si="1"/>
        <v>0</v>
      </c>
      <c r="M11" s="20"/>
      <c r="N11" s="12">
        <f t="shared" si="2"/>
        <v>0</v>
      </c>
      <c r="O11" s="45" t="str">
        <f t="shared" si="3"/>
        <v/>
      </c>
      <c r="P11" s="15"/>
      <c r="Q11" s="15"/>
      <c r="R11" s="20"/>
      <c r="S11" s="12">
        <f>IF($A11="","",SUMIFS('Consumable Usage'!$E:$E,'Consumable Usage'!$A:$A,$A11,'Consumable Usage'!$D:$D,2))</f>
        <v>0</v>
      </c>
      <c r="T11" s="12">
        <f>IF($A11="","",SUMIFS('Nursing Charges'!$I:$I,'Nursing Charges'!$A:$A,$A11,'Nursing Charges'!$C:$C,2))</f>
        <v>0</v>
      </c>
      <c r="U11" s="12">
        <f>IF($A11="","",R11+(T11-SUMIFS('Nursing Charges'!$J:$J,'Nursing Charges'!$A:$A,$A11,'Nursing Charges'!$C:$C,2))+(S11-SUMIFS('Consumable Usage'!$F:$F,'Consumable Usage'!$A:$A,$A11,'Consumable Usage'!$D:$D,2)))</f>
        <v>0</v>
      </c>
      <c r="V11" s="12">
        <f t="shared" si="4"/>
        <v>0</v>
      </c>
      <c r="W11" s="20"/>
      <c r="X11" s="12">
        <f t="shared" si="5"/>
        <v>0</v>
      </c>
      <c r="Y11" s="45" t="str">
        <f t="shared" si="6"/>
        <v/>
      </c>
      <c r="Z11" s="15"/>
      <c r="AA11" s="15"/>
      <c r="AB11" s="20"/>
      <c r="AC11" s="12">
        <f>IF($A11="","",SUMIFS('Consumable Usage'!$E:$E,'Consumable Usage'!$A:$A,$A11,'Consumable Usage'!$D:$D,3))</f>
        <v>0</v>
      </c>
      <c r="AD11" s="12">
        <f>IF($A11="","",SUMIFS('Nursing Charges'!$I:$I,'Nursing Charges'!$A:$A,$A11,'Nursing Charges'!$C:$C,3))</f>
        <v>0</v>
      </c>
      <c r="AE11" s="12">
        <f>IF($A11="","",AB11+(AD11-SUMIFS('Nursing Charges'!$J:$J,'Nursing Charges'!$A:$A,$A11,'Nursing Charges'!$C:$C,3))+(AC11-SUMIFS('Consumable Usage'!$F:$F,'Consumable Usage'!$A:$A,$A11,'Consumable Usage'!$D:$D,3)))</f>
        <v>0</v>
      </c>
      <c r="AF11" s="12">
        <f t="shared" si="7"/>
        <v>0</v>
      </c>
      <c r="AG11" s="20"/>
      <c r="AH11" s="12">
        <f t="shared" si="8"/>
        <v>0</v>
      </c>
      <c r="AI11" s="45" t="str">
        <f t="shared" si="9"/>
        <v/>
      </c>
      <c r="AJ11" s="15"/>
      <c r="AK11" s="15"/>
      <c r="AL11" s="20"/>
      <c r="AM11" s="12">
        <f>IF($A11="","",SUMIFS('Consumable Usage'!$E:$E,'Consumable Usage'!$A:$A,$A11,'Consumable Usage'!$D:$D,4))</f>
        <v>0</v>
      </c>
      <c r="AN11" s="12">
        <f>IF($A11="","",SUMIFS('Nursing Charges'!$I:$I,'Nursing Charges'!$A:$A,$A11,'Nursing Charges'!$C:$C,4))</f>
        <v>0</v>
      </c>
      <c r="AO11" s="12">
        <f>IF($A11="","",AL11+(AN11-SUMIFS('Nursing Charges'!$J:$J,'Nursing Charges'!$A:$A,$A11,'Nursing Charges'!$C:$C,4))+(AM11-SUMIFS('Consumable Usage'!$F:$F,'Consumable Usage'!$A:$A,$A11,'Consumable Usage'!$D:$D,4)))</f>
        <v>0</v>
      </c>
      <c r="AP11" s="12">
        <f t="shared" si="10"/>
        <v>0</v>
      </c>
      <c r="AQ11" s="20"/>
      <c r="AR11" s="12">
        <f t="shared" si="11"/>
        <v>0</v>
      </c>
      <c r="AS11" s="45" t="str">
        <f t="shared" si="12"/>
        <v/>
      </c>
      <c r="AT11" s="15"/>
      <c r="AU11" s="15"/>
      <c r="AV11" s="20"/>
      <c r="AW11" s="12">
        <f>IF($A11="","",SUMIFS('Consumable Usage'!$E:$E,'Consumable Usage'!$A:$A,$A11,'Consumable Usage'!$D:$D,5))</f>
        <v>0</v>
      </c>
      <c r="AX11" s="12">
        <f>IF($A11="","",SUMIFS('Nursing Charges'!$I:$I,'Nursing Charges'!$A:$A,$A11,'Nursing Charges'!$C:$C,5))</f>
        <v>0</v>
      </c>
      <c r="AY11" s="12">
        <f>IF($A11="","",AV11+(AX11-SUMIFS('Nursing Charges'!$J:$J,'Nursing Charges'!$A:$A,$A11,'Nursing Charges'!$C:$C,5))+(AW11-SUMIFS('Consumable Usage'!$F:$F,'Consumable Usage'!$A:$A,$A11,'Consumable Usage'!$D:$D,5)))</f>
        <v>0</v>
      </c>
      <c r="AZ11" s="12">
        <f t="shared" si="13"/>
        <v>0</v>
      </c>
      <c r="BA11" s="20"/>
      <c r="BB11" s="12">
        <f t="shared" si="14"/>
        <v>0</v>
      </c>
      <c r="BC11" s="45" t="str">
        <f t="shared" si="15"/>
        <v/>
      </c>
      <c r="BD11" s="15"/>
      <c r="BE11" s="15"/>
      <c r="BF11" s="20"/>
      <c r="BG11" s="12">
        <f>IF($A11="","",SUMIFS('Consumable Usage'!$E:$E,'Consumable Usage'!$A:$A,$A11,'Consumable Usage'!$D:$D,6))</f>
        <v>0</v>
      </c>
      <c r="BH11" s="12">
        <f>IF($A11="","",SUMIFS('Nursing Charges'!$I:$I,'Nursing Charges'!$A:$A,$A11,'Nursing Charges'!$C:$C,6))</f>
        <v>0</v>
      </c>
      <c r="BI11" s="12">
        <f>IF($A11="","",BF11+(BH11-SUMIFS('Nursing Charges'!$J:$J,'Nursing Charges'!$A:$A,$A11,'Nursing Charges'!$C:$C,6))+(BG11-SUMIFS('Consumable Usage'!$F:$F,'Consumable Usage'!$A:$A,$A11,'Consumable Usage'!$D:$D,6)))</f>
        <v>0</v>
      </c>
      <c r="BJ11" s="12">
        <f t="shared" si="16"/>
        <v>0</v>
      </c>
      <c r="BK11" s="20"/>
      <c r="BL11" s="12">
        <f t="shared" si="17"/>
        <v>0</v>
      </c>
      <c r="BM11" s="45" t="str">
        <f t="shared" si="18"/>
        <v/>
      </c>
      <c r="BN11" s="15"/>
      <c r="BO11" s="15"/>
      <c r="BP11" s="20"/>
      <c r="BQ11" s="12">
        <f>IF($A11="","",SUMIFS('Consumable Usage'!$E:$E,'Consumable Usage'!$A:$A,$A11,'Consumable Usage'!$D:$D,7))</f>
        <v>0</v>
      </c>
      <c r="BR11" s="12">
        <f>IF($A11="","",SUMIFS('Nursing Charges'!$I:$I,'Nursing Charges'!$A:$A,$A11,'Nursing Charges'!$C:$C,7))</f>
        <v>0</v>
      </c>
      <c r="BS11" s="12">
        <f>IF($A11="","",BP11+(BR11-SUMIFS('Nursing Charges'!$J:$J,'Nursing Charges'!$A:$A,$A11,'Nursing Charges'!$C:$C,7))+(BQ11-SUMIFS('Consumable Usage'!$F:$F,'Consumable Usage'!$A:$A,$A11,'Consumable Usage'!$D:$D,7)))</f>
        <v>0</v>
      </c>
      <c r="BT11" s="12">
        <f t="shared" si="19"/>
        <v>0</v>
      </c>
      <c r="BU11" s="20"/>
      <c r="BV11" s="12">
        <f t="shared" si="20"/>
        <v>0</v>
      </c>
      <c r="BW11" s="45" t="str">
        <f t="shared" si="21"/>
        <v/>
      </c>
      <c r="BX11" s="15"/>
      <c r="BY11" s="15"/>
      <c r="BZ11" s="20"/>
      <c r="CA11" s="12">
        <f>IF($A11="","",SUMIFS('Consumable Usage'!$E:$E,'Consumable Usage'!$A:$A,$A11,'Consumable Usage'!$D:$D,8))</f>
        <v>0</v>
      </c>
      <c r="CB11" s="12">
        <f>IF($A11="","",SUMIFS('Nursing Charges'!$I:$I,'Nursing Charges'!$A:$A,$A11,'Nursing Charges'!$C:$C,8))</f>
        <v>0</v>
      </c>
      <c r="CC11" s="12">
        <f>IF($A11="","",BZ11+(CB11-SUMIFS('Nursing Charges'!$J:$J,'Nursing Charges'!$A:$A,$A11,'Nursing Charges'!$C:$C,8))+(CA11-SUMIFS('Consumable Usage'!$F:$F,'Consumable Usage'!$A:$A,$A11,'Consumable Usage'!$D:$D,8)))</f>
        <v>0</v>
      </c>
      <c r="CD11" s="12">
        <f t="shared" si="22"/>
        <v>0</v>
      </c>
      <c r="CE11" s="20"/>
      <c r="CF11" s="12">
        <f t="shared" si="23"/>
        <v>0</v>
      </c>
      <c r="CG11" s="45" t="str">
        <f t="shared" si="24"/>
        <v/>
      </c>
      <c r="CH11" s="15"/>
      <c r="CI11" s="15"/>
      <c r="CJ11" s="20"/>
      <c r="CK11" s="12">
        <f>IF($A11="","",SUMIFS('Consumable Usage'!$E:$E,'Consumable Usage'!$A:$A,$A11,'Consumable Usage'!$D:$D,9))</f>
        <v>0</v>
      </c>
      <c r="CL11" s="12">
        <f>IF($A11="","",SUMIFS('Nursing Charges'!$I:$I,'Nursing Charges'!$A:$A,$A11,'Nursing Charges'!$C:$C,9))</f>
        <v>0</v>
      </c>
      <c r="CM11" s="12">
        <f>IF($A11="","",CJ11+(CL11-SUMIFS('Nursing Charges'!$J:$J,'Nursing Charges'!$A:$A,$A11,'Nursing Charges'!$C:$C,9))+(CK11-SUMIFS('Consumable Usage'!$F:$F,'Consumable Usage'!$A:$A,$A11,'Consumable Usage'!$D:$D,9)))</f>
        <v>0</v>
      </c>
      <c r="CN11" s="12">
        <f t="shared" si="25"/>
        <v>0</v>
      </c>
      <c r="CO11" s="20"/>
      <c r="CP11" s="12">
        <f t="shared" si="26"/>
        <v>0</v>
      </c>
      <c r="CQ11" s="45" t="str">
        <f t="shared" si="27"/>
        <v/>
      </c>
      <c r="CR11" s="15"/>
      <c r="CS11" s="15"/>
      <c r="CT11" s="20"/>
      <c r="CU11" s="12">
        <f>IF($A11="","",SUMIFS('Consumable Usage'!$E:$E,'Consumable Usage'!$A:$A,$A11,'Consumable Usage'!$D:$D,10))</f>
        <v>0</v>
      </c>
      <c r="CV11" s="12">
        <f>IF($A11="","",SUMIFS('Nursing Charges'!$I:$I,'Nursing Charges'!$A:$A,$A11,'Nursing Charges'!$C:$C,10))</f>
        <v>0</v>
      </c>
      <c r="CW11" s="12">
        <f>IF($A11="","",CT11+(CV11-SUMIFS('Nursing Charges'!$J:$J,'Nursing Charges'!$A:$A,$A11,'Nursing Charges'!$C:$C,10))+(CU11-SUMIFS('Consumable Usage'!$F:$F,'Consumable Usage'!$A:$A,$A11,'Consumable Usage'!$D:$D,10)))</f>
        <v>0</v>
      </c>
      <c r="CX11" s="12">
        <f t="shared" si="28"/>
        <v>0</v>
      </c>
      <c r="CY11" s="20"/>
      <c r="CZ11" s="12">
        <f t="shared" si="29"/>
        <v>0</v>
      </c>
      <c r="DA11" s="45" t="str">
        <f t="shared" si="30"/>
        <v/>
      </c>
      <c r="DB11" s="15"/>
      <c r="DC11" s="15"/>
      <c r="DD11" s="20"/>
      <c r="DE11" s="12">
        <f>IF($A11="","",SUMIFS('Consumable Usage'!$E:$E,'Consumable Usage'!$A:$A,$A11,'Consumable Usage'!$D:$D,11))</f>
        <v>0</v>
      </c>
      <c r="DF11" s="12">
        <f>IF($A11="","",SUMIFS('Nursing Charges'!$I:$I,'Nursing Charges'!$A:$A,$A11,'Nursing Charges'!$C:$C,11))</f>
        <v>0</v>
      </c>
      <c r="DG11" s="12">
        <f>IF($A11="","",DD11+(DF11-SUMIFS('Nursing Charges'!$J:$J,'Nursing Charges'!$A:$A,$A11,'Nursing Charges'!$C:$C,11))+(DE11-SUMIFS('Consumable Usage'!$F:$F,'Consumable Usage'!$A:$A,$A11,'Consumable Usage'!$D:$D,11)))</f>
        <v>0</v>
      </c>
      <c r="DH11" s="12">
        <f t="shared" si="31"/>
        <v>0</v>
      </c>
      <c r="DI11" s="20"/>
      <c r="DJ11" s="12">
        <f t="shared" si="32"/>
        <v>0</v>
      </c>
      <c r="DK11" s="45" t="str">
        <f t="shared" si="33"/>
        <v/>
      </c>
      <c r="DL11" s="15"/>
      <c r="DM11" s="15"/>
      <c r="DN11" s="20"/>
      <c r="DO11" s="12">
        <f>IF($A11="","",SUMIFS('Consumable Usage'!$E:$E,'Consumable Usage'!$A:$A,$A11,'Consumable Usage'!$D:$D,12))</f>
        <v>0</v>
      </c>
      <c r="DP11" s="12">
        <f>IF($A11="","",SUMIFS('Nursing Charges'!$I:$I,'Nursing Charges'!$A:$A,$A11,'Nursing Charges'!$C:$C,12))</f>
        <v>0</v>
      </c>
      <c r="DQ11" s="12">
        <f>IF($A11="","",DN11+(DP11-SUMIFS('Nursing Charges'!$J:$J,'Nursing Charges'!$A:$A,$A11,'Nursing Charges'!$C:$C,12))+(DO11-SUMIFS('Consumable Usage'!$F:$F,'Consumable Usage'!$A:$A,$A11,'Consumable Usage'!$D:$D,12)))</f>
        <v>0</v>
      </c>
      <c r="DR11" s="12">
        <f t="shared" si="34"/>
        <v>0</v>
      </c>
      <c r="DS11" s="20"/>
      <c r="DT11" s="12">
        <f t="shared" si="35"/>
        <v>0</v>
      </c>
      <c r="DU11" s="45" t="str">
        <f t="shared" si="36"/>
        <v/>
      </c>
      <c r="DV11" s="15"/>
      <c r="DW11" s="15"/>
      <c r="DX11" s="20"/>
      <c r="DY11" s="12">
        <f>IF($A11="","",SUMIFS('Consumable Usage'!$E:$E,'Consumable Usage'!$A:$A,$A11,'Consumable Usage'!$D:$D,13))</f>
        <v>0</v>
      </c>
      <c r="DZ11" s="12">
        <f>IF($A11="","",SUMIFS('Nursing Charges'!$I:$I,'Nursing Charges'!$A:$A,$A11,'Nursing Charges'!$C:$C,13))</f>
        <v>0</v>
      </c>
      <c r="EA11" s="12">
        <f>IF($A11="","",DX11+(DZ11-SUMIFS('Nursing Charges'!$J:$J,'Nursing Charges'!$A:$A,$A11,'Nursing Charges'!$C:$C,13))+(DY11-SUMIFS('Consumable Usage'!$F:$F,'Consumable Usage'!$A:$A,$A11,'Consumable Usage'!$D:$D,13)))</f>
        <v>0</v>
      </c>
      <c r="EB11" s="12">
        <f t="shared" si="37"/>
        <v>0</v>
      </c>
      <c r="EC11" s="20"/>
      <c r="ED11" s="12">
        <f t="shared" si="38"/>
        <v>0</v>
      </c>
      <c r="EE11" s="45" t="str">
        <f t="shared" si="39"/>
        <v/>
      </c>
      <c r="EF11" s="15"/>
      <c r="EG11" s="15"/>
      <c r="EH11" s="20"/>
      <c r="EI11" s="12">
        <f>IF($A11="","",SUMIFS('Consumable Usage'!$E:$E,'Consumable Usage'!$A:$A,$A11,'Consumable Usage'!$D:$D,14))</f>
        <v>0</v>
      </c>
      <c r="EJ11" s="12">
        <f>IF($A11="","",SUMIFS('Nursing Charges'!$I:$I,'Nursing Charges'!$A:$A,$A11,'Nursing Charges'!$C:$C,14))</f>
        <v>0</v>
      </c>
      <c r="EK11" s="12">
        <f>IF($A11="","",EH11+(EJ11-SUMIFS('Nursing Charges'!$J:$J,'Nursing Charges'!$A:$A,$A11,'Nursing Charges'!$C:$C,14))+(EI11-SUMIFS('Consumable Usage'!$F:$F,'Consumable Usage'!$A:$A,$A11,'Consumable Usage'!$D:$D,14)))</f>
        <v>0</v>
      </c>
      <c r="EL11" s="12">
        <f t="shared" si="40"/>
        <v>0</v>
      </c>
      <c r="EM11" s="20"/>
      <c r="EN11" s="12">
        <f t="shared" si="41"/>
        <v>0</v>
      </c>
      <c r="EO11" s="45" t="str">
        <f t="shared" si="42"/>
        <v/>
      </c>
      <c r="EP11" s="15"/>
      <c r="EQ11" s="15"/>
      <c r="ER11" s="20"/>
      <c r="ES11" s="12">
        <f>IF($A11="","",SUMIFS('Consumable Usage'!$E:$E,'Consumable Usage'!$A:$A,$A11,'Consumable Usage'!$D:$D,15))</f>
        <v>0</v>
      </c>
      <c r="ET11" s="12">
        <f>IF($A11="","",SUMIFS('Nursing Charges'!$I:$I,'Nursing Charges'!$A:$A,$A11,'Nursing Charges'!$C:$C,15))</f>
        <v>0</v>
      </c>
      <c r="EU11" s="12">
        <f>IF($A11="","",ER11+(ET11-SUMIFS('Nursing Charges'!$J:$J,'Nursing Charges'!$A:$A,$A11,'Nursing Charges'!$C:$C,15))+(ES11-SUMIFS('Consumable Usage'!$F:$F,'Consumable Usage'!$A:$A,$A11,'Consumable Usage'!$D:$D,15)))</f>
        <v>0</v>
      </c>
      <c r="EV11" s="12">
        <f t="shared" si="43"/>
        <v>0</v>
      </c>
      <c r="EW11" s="20"/>
      <c r="EX11" s="12">
        <f t="shared" si="44"/>
        <v>0</v>
      </c>
      <c r="EY11" s="45" t="str">
        <f t="shared" si="45"/>
        <v/>
      </c>
      <c r="EZ11" s="15"/>
      <c r="FA11" s="15"/>
      <c r="FB11" s="20"/>
      <c r="FC11" s="12">
        <f>IF($A11="","",SUMIFS('Consumable Usage'!$E:$E,'Consumable Usage'!$A:$A,$A11,'Consumable Usage'!$D:$D,16))</f>
        <v>0</v>
      </c>
      <c r="FD11" s="12">
        <f>IF($A11="","",SUMIFS('Nursing Charges'!$I:$I,'Nursing Charges'!$A:$A,$A11,'Nursing Charges'!$C:$C,16))</f>
        <v>0</v>
      </c>
      <c r="FE11" s="12">
        <f>IF($A11="","",FB11+(FD11-SUMIFS('Nursing Charges'!$J:$J,'Nursing Charges'!$A:$A,$A11,'Nursing Charges'!$C:$C,16))+(FC11-SUMIFS('Consumable Usage'!$F:$F,'Consumable Usage'!$A:$A,$A11,'Consumable Usage'!$D:$D,16)))</f>
        <v>0</v>
      </c>
      <c r="FF11" s="12">
        <f t="shared" si="46"/>
        <v>0</v>
      </c>
      <c r="FG11" s="20"/>
      <c r="FH11" s="12">
        <f t="shared" si="47"/>
        <v>0</v>
      </c>
      <c r="FI11" s="45" t="str">
        <f t="shared" si="48"/>
        <v/>
      </c>
      <c r="FJ11" s="53"/>
      <c r="FK11" s="53"/>
      <c r="FL11" s="63"/>
      <c r="FM11" s="63">
        <f>IF($A11="","",SUMIFS('Consumable Usage'!$E:$E,'Consumable Usage'!$A:$A,$A11,'Consumable Usage'!$D:$D,16))</f>
        <v>0</v>
      </c>
      <c r="FN11" s="63">
        <f>IF($A11="","",SUMIFS('Nursing Charges'!$I:$I,'Nursing Charges'!$A:$A,$A11,'Nursing Charges'!$C:$C,16))</f>
        <v>0</v>
      </c>
      <c r="FO11" s="63">
        <f>IF($A11="","",FL11+(FN11-SUMIFS('Nursing Charges'!$J:$J,'Nursing Charges'!$A:$A,$A11,'Nursing Charges'!$C:$C,16))+(FM11-SUMIFS('Consumable Usage'!$F:$F,'Consumable Usage'!$A:$A,$A11,'Consumable Usage'!$D:$D,16)))</f>
        <v>0</v>
      </c>
      <c r="FP11" s="63">
        <f t="shared" si="49"/>
        <v>0</v>
      </c>
      <c r="FQ11" s="63"/>
      <c r="FR11" s="63">
        <f t="shared" si="50"/>
        <v>0</v>
      </c>
      <c r="FS11" s="53" t="str">
        <f t="shared" si="51"/>
        <v/>
      </c>
    </row>
    <row r="12" ht="15.0" customHeight="1">
      <c r="A12" s="41" t="s">
        <v>68</v>
      </c>
      <c r="B12" s="42" t="s">
        <v>155</v>
      </c>
      <c r="C12" s="41" t="s">
        <v>156</v>
      </c>
      <c r="D12" s="43" t="s">
        <v>157</v>
      </c>
      <c r="E12" s="44" t="s">
        <v>158</v>
      </c>
      <c r="F12" s="42"/>
      <c r="G12" s="15"/>
      <c r="H12" s="20"/>
      <c r="I12" s="12">
        <f>IF($A12="","",SUMIFS('Consumable Usage'!$E:$E,'Consumable Usage'!$A:$A,$A12,'Consumable Usage'!$D:$D,1))</f>
        <v>0</v>
      </c>
      <c r="J12" s="12">
        <f>IF($A12="","",SUMIFS('Nursing Charges'!$I:$I,'Nursing Charges'!$A:$A,$A12,'Nursing Charges'!$C:$C,1))</f>
        <v>3500</v>
      </c>
      <c r="K12" s="12">
        <f>IF($A12="","",H12+(J12-SUMIFS('Nursing Charges'!$J:$J,'Nursing Charges'!$A:$A,$A12,'Nursing Charges'!$C:$C,1))+(I12-SUMIFS('Consumable Usage'!$F:$F,'Consumable Usage'!$A:$A,$A12,'Consumable Usage'!$D:$D,1)))</f>
        <v>3500</v>
      </c>
      <c r="L12" s="12">
        <f t="shared" si="1"/>
        <v>3500</v>
      </c>
      <c r="M12" s="20"/>
      <c r="N12" s="12">
        <f t="shared" si="2"/>
        <v>3500</v>
      </c>
      <c r="O12" s="45" t="str">
        <f t="shared" si="3"/>
        <v/>
      </c>
      <c r="P12" s="15"/>
      <c r="Q12" s="15"/>
      <c r="R12" s="20"/>
      <c r="S12" s="12">
        <f>IF($A12="","",SUMIFS('Consumable Usage'!$E:$E,'Consumable Usage'!$A:$A,$A12,'Consumable Usage'!$D:$D,2))</f>
        <v>0</v>
      </c>
      <c r="T12" s="12">
        <f>IF($A12="","",SUMIFS('Nursing Charges'!$I:$I,'Nursing Charges'!$A:$A,$A12,'Nursing Charges'!$C:$C,2))</f>
        <v>0</v>
      </c>
      <c r="U12" s="12">
        <f>IF($A12="","",R12+(T12-SUMIFS('Nursing Charges'!$J:$J,'Nursing Charges'!$A:$A,$A12,'Nursing Charges'!$C:$C,2))+(S12-SUMIFS('Consumable Usage'!$F:$F,'Consumable Usage'!$A:$A,$A12,'Consumable Usage'!$D:$D,2)))</f>
        <v>0</v>
      </c>
      <c r="V12" s="12">
        <f t="shared" si="4"/>
        <v>0</v>
      </c>
      <c r="W12" s="20"/>
      <c r="X12" s="12">
        <f t="shared" si="5"/>
        <v>0</v>
      </c>
      <c r="Y12" s="45" t="str">
        <f t="shared" si="6"/>
        <v/>
      </c>
      <c r="Z12" s="15"/>
      <c r="AA12" s="15"/>
      <c r="AB12" s="20"/>
      <c r="AC12" s="12">
        <f>IF($A12="","",SUMIFS('Consumable Usage'!$E:$E,'Consumable Usage'!$A:$A,$A12,'Consumable Usage'!$D:$D,3))</f>
        <v>0</v>
      </c>
      <c r="AD12" s="12">
        <f>IF($A12="","",SUMIFS('Nursing Charges'!$I:$I,'Nursing Charges'!$A:$A,$A12,'Nursing Charges'!$C:$C,3))</f>
        <v>0</v>
      </c>
      <c r="AE12" s="12">
        <f>IF($A12="","",AB12+(AD12-SUMIFS('Nursing Charges'!$J:$J,'Nursing Charges'!$A:$A,$A12,'Nursing Charges'!$C:$C,3))+(AC12-SUMIFS('Consumable Usage'!$F:$F,'Consumable Usage'!$A:$A,$A12,'Consumable Usage'!$D:$D,3)))</f>
        <v>0</v>
      </c>
      <c r="AF12" s="12">
        <f t="shared" si="7"/>
        <v>0</v>
      </c>
      <c r="AG12" s="20"/>
      <c r="AH12" s="12">
        <f t="shared" si="8"/>
        <v>0</v>
      </c>
      <c r="AI12" s="45" t="str">
        <f t="shared" si="9"/>
        <v/>
      </c>
      <c r="AJ12" s="15"/>
      <c r="AK12" s="15"/>
      <c r="AL12" s="20"/>
      <c r="AM12" s="12">
        <f>IF($A12="","",SUMIFS('Consumable Usage'!$E:$E,'Consumable Usage'!$A:$A,$A12,'Consumable Usage'!$D:$D,4))</f>
        <v>0</v>
      </c>
      <c r="AN12" s="12">
        <f>IF($A12="","",SUMIFS('Nursing Charges'!$I:$I,'Nursing Charges'!$A:$A,$A12,'Nursing Charges'!$C:$C,4))</f>
        <v>0</v>
      </c>
      <c r="AO12" s="12">
        <f>IF($A12="","",AL12+(AN12-SUMIFS('Nursing Charges'!$J:$J,'Nursing Charges'!$A:$A,$A12,'Nursing Charges'!$C:$C,4))+(AM12-SUMIFS('Consumable Usage'!$F:$F,'Consumable Usage'!$A:$A,$A12,'Consumable Usage'!$D:$D,4)))</f>
        <v>0</v>
      </c>
      <c r="AP12" s="12">
        <f t="shared" si="10"/>
        <v>0</v>
      </c>
      <c r="AQ12" s="20"/>
      <c r="AR12" s="12">
        <f t="shared" si="11"/>
        <v>0</v>
      </c>
      <c r="AS12" s="45" t="str">
        <f t="shared" si="12"/>
        <v/>
      </c>
      <c r="AT12" s="15"/>
      <c r="AU12" s="15"/>
      <c r="AV12" s="20"/>
      <c r="AW12" s="12">
        <f>IF($A12="","",SUMIFS('Consumable Usage'!$E:$E,'Consumable Usage'!$A:$A,$A12,'Consumable Usage'!$D:$D,5))</f>
        <v>0</v>
      </c>
      <c r="AX12" s="12">
        <f>IF($A12="","",SUMIFS('Nursing Charges'!$I:$I,'Nursing Charges'!$A:$A,$A12,'Nursing Charges'!$C:$C,5))</f>
        <v>0</v>
      </c>
      <c r="AY12" s="12">
        <f>IF($A12="","",AV12+(AX12-SUMIFS('Nursing Charges'!$J:$J,'Nursing Charges'!$A:$A,$A12,'Nursing Charges'!$C:$C,5))+(AW12-SUMIFS('Consumable Usage'!$F:$F,'Consumable Usage'!$A:$A,$A12,'Consumable Usage'!$D:$D,5)))</f>
        <v>0</v>
      </c>
      <c r="AZ12" s="12">
        <f t="shared" si="13"/>
        <v>0</v>
      </c>
      <c r="BA12" s="20"/>
      <c r="BB12" s="12">
        <f t="shared" si="14"/>
        <v>0</v>
      </c>
      <c r="BC12" s="45" t="str">
        <f t="shared" si="15"/>
        <v/>
      </c>
      <c r="BD12" s="15"/>
      <c r="BE12" s="15"/>
      <c r="BF12" s="20"/>
      <c r="BG12" s="12">
        <f>IF($A12="","",SUMIFS('Consumable Usage'!$E:$E,'Consumable Usage'!$A:$A,$A12,'Consumable Usage'!$D:$D,6))</f>
        <v>0</v>
      </c>
      <c r="BH12" s="12">
        <f>IF($A12="","",SUMIFS('Nursing Charges'!$I:$I,'Nursing Charges'!$A:$A,$A12,'Nursing Charges'!$C:$C,6))</f>
        <v>0</v>
      </c>
      <c r="BI12" s="12">
        <f>IF($A12="","",BF12+(BH12-SUMIFS('Nursing Charges'!$J:$J,'Nursing Charges'!$A:$A,$A12,'Nursing Charges'!$C:$C,6))+(BG12-SUMIFS('Consumable Usage'!$F:$F,'Consumable Usage'!$A:$A,$A12,'Consumable Usage'!$D:$D,6)))</f>
        <v>0</v>
      </c>
      <c r="BJ12" s="12">
        <f t="shared" si="16"/>
        <v>0</v>
      </c>
      <c r="BK12" s="20"/>
      <c r="BL12" s="12">
        <f t="shared" si="17"/>
        <v>0</v>
      </c>
      <c r="BM12" s="45" t="str">
        <f t="shared" si="18"/>
        <v/>
      </c>
      <c r="BN12" s="15"/>
      <c r="BO12" s="15"/>
      <c r="BP12" s="20"/>
      <c r="BQ12" s="12">
        <f>IF($A12="","",SUMIFS('Consumable Usage'!$E:$E,'Consumable Usage'!$A:$A,$A12,'Consumable Usage'!$D:$D,7))</f>
        <v>0</v>
      </c>
      <c r="BR12" s="12">
        <f>IF($A12="","",SUMIFS('Nursing Charges'!$I:$I,'Nursing Charges'!$A:$A,$A12,'Nursing Charges'!$C:$C,7))</f>
        <v>0</v>
      </c>
      <c r="BS12" s="12">
        <f>IF($A12="","",BP12+(BR12-SUMIFS('Nursing Charges'!$J:$J,'Nursing Charges'!$A:$A,$A12,'Nursing Charges'!$C:$C,7))+(BQ12-SUMIFS('Consumable Usage'!$F:$F,'Consumable Usage'!$A:$A,$A12,'Consumable Usage'!$D:$D,7)))</f>
        <v>0</v>
      </c>
      <c r="BT12" s="12">
        <f t="shared" si="19"/>
        <v>0</v>
      </c>
      <c r="BU12" s="20"/>
      <c r="BV12" s="12">
        <f t="shared" si="20"/>
        <v>0</v>
      </c>
      <c r="BW12" s="45" t="str">
        <f t="shared" si="21"/>
        <v/>
      </c>
      <c r="BX12" s="15"/>
      <c r="BY12" s="15"/>
      <c r="BZ12" s="20"/>
      <c r="CA12" s="12">
        <f>IF($A12="","",SUMIFS('Consumable Usage'!$E:$E,'Consumable Usage'!$A:$A,$A12,'Consumable Usage'!$D:$D,8))</f>
        <v>0</v>
      </c>
      <c r="CB12" s="12">
        <f>IF($A12="","",SUMIFS('Nursing Charges'!$I:$I,'Nursing Charges'!$A:$A,$A12,'Nursing Charges'!$C:$C,8))</f>
        <v>0</v>
      </c>
      <c r="CC12" s="12">
        <f>IF($A12="","",BZ12+(CB12-SUMIFS('Nursing Charges'!$J:$J,'Nursing Charges'!$A:$A,$A12,'Nursing Charges'!$C:$C,8))+(CA12-SUMIFS('Consumable Usage'!$F:$F,'Consumable Usage'!$A:$A,$A12,'Consumable Usage'!$D:$D,8)))</f>
        <v>0</v>
      </c>
      <c r="CD12" s="12">
        <f t="shared" si="22"/>
        <v>0</v>
      </c>
      <c r="CE12" s="20"/>
      <c r="CF12" s="12">
        <f t="shared" si="23"/>
        <v>0</v>
      </c>
      <c r="CG12" s="45" t="str">
        <f t="shared" si="24"/>
        <v/>
      </c>
      <c r="CH12" s="15"/>
      <c r="CI12" s="15"/>
      <c r="CJ12" s="20"/>
      <c r="CK12" s="12">
        <f>IF($A12="","",SUMIFS('Consumable Usage'!$E:$E,'Consumable Usage'!$A:$A,$A12,'Consumable Usage'!$D:$D,9))</f>
        <v>0</v>
      </c>
      <c r="CL12" s="12">
        <f>IF($A12="","",SUMIFS('Nursing Charges'!$I:$I,'Nursing Charges'!$A:$A,$A12,'Nursing Charges'!$C:$C,9))</f>
        <v>0</v>
      </c>
      <c r="CM12" s="12">
        <f>IF($A12="","",CJ12+(CL12-SUMIFS('Nursing Charges'!$J:$J,'Nursing Charges'!$A:$A,$A12,'Nursing Charges'!$C:$C,9))+(CK12-SUMIFS('Consumable Usage'!$F:$F,'Consumable Usage'!$A:$A,$A12,'Consumable Usage'!$D:$D,9)))</f>
        <v>0</v>
      </c>
      <c r="CN12" s="12">
        <f t="shared" si="25"/>
        <v>0</v>
      </c>
      <c r="CO12" s="20"/>
      <c r="CP12" s="12">
        <f t="shared" si="26"/>
        <v>0</v>
      </c>
      <c r="CQ12" s="45" t="str">
        <f t="shared" si="27"/>
        <v/>
      </c>
      <c r="CR12" s="15"/>
      <c r="CS12" s="15"/>
      <c r="CT12" s="20"/>
      <c r="CU12" s="12">
        <f>IF($A12="","",SUMIFS('Consumable Usage'!$E:$E,'Consumable Usage'!$A:$A,$A12,'Consumable Usage'!$D:$D,10))</f>
        <v>0</v>
      </c>
      <c r="CV12" s="12">
        <f>IF($A12="","",SUMIFS('Nursing Charges'!$I:$I,'Nursing Charges'!$A:$A,$A12,'Nursing Charges'!$C:$C,10))</f>
        <v>0</v>
      </c>
      <c r="CW12" s="12">
        <f>IF($A12="","",CT12+(CV12-SUMIFS('Nursing Charges'!$J:$J,'Nursing Charges'!$A:$A,$A12,'Nursing Charges'!$C:$C,10))+(CU12-SUMIFS('Consumable Usage'!$F:$F,'Consumable Usage'!$A:$A,$A12,'Consumable Usage'!$D:$D,10)))</f>
        <v>0</v>
      </c>
      <c r="CX12" s="12">
        <f t="shared" si="28"/>
        <v>0</v>
      </c>
      <c r="CY12" s="20"/>
      <c r="CZ12" s="12">
        <f t="shared" si="29"/>
        <v>0</v>
      </c>
      <c r="DA12" s="45" t="str">
        <f t="shared" si="30"/>
        <v/>
      </c>
      <c r="DB12" s="15"/>
      <c r="DC12" s="15"/>
      <c r="DD12" s="20"/>
      <c r="DE12" s="12">
        <f>IF($A12="","",SUMIFS('Consumable Usage'!$E:$E,'Consumable Usage'!$A:$A,$A12,'Consumable Usage'!$D:$D,11))</f>
        <v>0</v>
      </c>
      <c r="DF12" s="12">
        <f>IF($A12="","",SUMIFS('Nursing Charges'!$I:$I,'Nursing Charges'!$A:$A,$A12,'Nursing Charges'!$C:$C,11))</f>
        <v>0</v>
      </c>
      <c r="DG12" s="12">
        <f>IF($A12="","",DD12+(DF12-SUMIFS('Nursing Charges'!$J:$J,'Nursing Charges'!$A:$A,$A12,'Nursing Charges'!$C:$C,11))+(DE12-SUMIFS('Consumable Usage'!$F:$F,'Consumable Usage'!$A:$A,$A12,'Consumable Usage'!$D:$D,11)))</f>
        <v>0</v>
      </c>
      <c r="DH12" s="12">
        <f t="shared" si="31"/>
        <v>0</v>
      </c>
      <c r="DI12" s="20"/>
      <c r="DJ12" s="12">
        <f t="shared" si="32"/>
        <v>0</v>
      </c>
      <c r="DK12" s="45" t="str">
        <f t="shared" si="33"/>
        <v/>
      </c>
      <c r="DL12" s="15"/>
      <c r="DM12" s="15"/>
      <c r="DN12" s="20"/>
      <c r="DO12" s="12">
        <f>IF($A12="","",SUMIFS('Consumable Usage'!$E:$E,'Consumable Usage'!$A:$A,$A12,'Consumable Usage'!$D:$D,12))</f>
        <v>0</v>
      </c>
      <c r="DP12" s="12">
        <f>IF($A12="","",SUMIFS('Nursing Charges'!$I:$I,'Nursing Charges'!$A:$A,$A12,'Nursing Charges'!$C:$C,12))</f>
        <v>0</v>
      </c>
      <c r="DQ12" s="12">
        <f>IF($A12="","",DN12+(DP12-SUMIFS('Nursing Charges'!$J:$J,'Nursing Charges'!$A:$A,$A12,'Nursing Charges'!$C:$C,12))+(DO12-SUMIFS('Consumable Usage'!$F:$F,'Consumable Usage'!$A:$A,$A12,'Consumable Usage'!$D:$D,12)))</f>
        <v>0</v>
      </c>
      <c r="DR12" s="12">
        <f t="shared" si="34"/>
        <v>0</v>
      </c>
      <c r="DS12" s="20"/>
      <c r="DT12" s="12">
        <f t="shared" si="35"/>
        <v>0</v>
      </c>
      <c r="DU12" s="45" t="str">
        <f t="shared" si="36"/>
        <v/>
      </c>
      <c r="DV12" s="15"/>
      <c r="DW12" s="15"/>
      <c r="DX12" s="20"/>
      <c r="DY12" s="12">
        <f>IF($A12="","",SUMIFS('Consumable Usage'!$E:$E,'Consumable Usage'!$A:$A,$A12,'Consumable Usage'!$D:$D,13))</f>
        <v>0</v>
      </c>
      <c r="DZ12" s="12">
        <f>IF($A12="","",SUMIFS('Nursing Charges'!$I:$I,'Nursing Charges'!$A:$A,$A12,'Nursing Charges'!$C:$C,13))</f>
        <v>0</v>
      </c>
      <c r="EA12" s="12">
        <f>IF($A12="","",DX12+(DZ12-SUMIFS('Nursing Charges'!$J:$J,'Nursing Charges'!$A:$A,$A12,'Nursing Charges'!$C:$C,13))+(DY12-SUMIFS('Consumable Usage'!$F:$F,'Consumable Usage'!$A:$A,$A12,'Consumable Usage'!$D:$D,13)))</f>
        <v>0</v>
      </c>
      <c r="EB12" s="12">
        <f t="shared" si="37"/>
        <v>0</v>
      </c>
      <c r="EC12" s="20"/>
      <c r="ED12" s="12">
        <f t="shared" si="38"/>
        <v>0</v>
      </c>
      <c r="EE12" s="45" t="str">
        <f t="shared" si="39"/>
        <v/>
      </c>
      <c r="EF12" s="15"/>
      <c r="EG12" s="15"/>
      <c r="EH12" s="20"/>
      <c r="EI12" s="12">
        <f>IF($A12="","",SUMIFS('Consumable Usage'!$E:$E,'Consumable Usage'!$A:$A,$A12,'Consumable Usage'!$D:$D,14))</f>
        <v>0</v>
      </c>
      <c r="EJ12" s="12">
        <f>IF($A12="","",SUMIFS('Nursing Charges'!$I:$I,'Nursing Charges'!$A:$A,$A12,'Nursing Charges'!$C:$C,14))</f>
        <v>0</v>
      </c>
      <c r="EK12" s="12">
        <f>IF($A12="","",EH12+(EJ12-SUMIFS('Nursing Charges'!$J:$J,'Nursing Charges'!$A:$A,$A12,'Nursing Charges'!$C:$C,14))+(EI12-SUMIFS('Consumable Usage'!$F:$F,'Consumable Usage'!$A:$A,$A12,'Consumable Usage'!$D:$D,14)))</f>
        <v>0</v>
      </c>
      <c r="EL12" s="12">
        <f t="shared" si="40"/>
        <v>0</v>
      </c>
      <c r="EM12" s="20"/>
      <c r="EN12" s="12">
        <f t="shared" si="41"/>
        <v>0</v>
      </c>
      <c r="EO12" s="45" t="str">
        <f t="shared" si="42"/>
        <v/>
      </c>
      <c r="EP12" s="15"/>
      <c r="EQ12" s="15"/>
      <c r="ER12" s="20"/>
      <c r="ES12" s="12">
        <f>IF($A12="","",SUMIFS('Consumable Usage'!$E:$E,'Consumable Usage'!$A:$A,$A12,'Consumable Usage'!$D:$D,15))</f>
        <v>0</v>
      </c>
      <c r="ET12" s="12">
        <f>IF($A12="","",SUMIFS('Nursing Charges'!$I:$I,'Nursing Charges'!$A:$A,$A12,'Nursing Charges'!$C:$C,15))</f>
        <v>0</v>
      </c>
      <c r="EU12" s="12">
        <f>IF($A12="","",ER12+(ET12-SUMIFS('Nursing Charges'!$J:$J,'Nursing Charges'!$A:$A,$A12,'Nursing Charges'!$C:$C,15))+(ES12-SUMIFS('Consumable Usage'!$F:$F,'Consumable Usage'!$A:$A,$A12,'Consumable Usage'!$D:$D,15)))</f>
        <v>0</v>
      </c>
      <c r="EV12" s="12">
        <f t="shared" si="43"/>
        <v>0</v>
      </c>
      <c r="EW12" s="20"/>
      <c r="EX12" s="12">
        <f t="shared" si="44"/>
        <v>0</v>
      </c>
      <c r="EY12" s="45" t="str">
        <f t="shared" si="45"/>
        <v/>
      </c>
      <c r="EZ12" s="15"/>
      <c r="FA12" s="15"/>
      <c r="FB12" s="20"/>
      <c r="FC12" s="12">
        <f>IF($A12="","",SUMIFS('Consumable Usage'!$E:$E,'Consumable Usage'!$A:$A,$A12,'Consumable Usage'!$D:$D,16))</f>
        <v>0</v>
      </c>
      <c r="FD12" s="12">
        <f>IF($A12="","",SUMIFS('Nursing Charges'!$I:$I,'Nursing Charges'!$A:$A,$A12,'Nursing Charges'!$C:$C,16))</f>
        <v>0</v>
      </c>
      <c r="FE12" s="12">
        <f>IF($A12="","",FB12+(FD12-SUMIFS('Nursing Charges'!$J:$J,'Nursing Charges'!$A:$A,$A12,'Nursing Charges'!$C:$C,16))+(FC12-SUMIFS('Consumable Usage'!$F:$F,'Consumable Usage'!$A:$A,$A12,'Consumable Usage'!$D:$D,16)))</f>
        <v>0</v>
      </c>
      <c r="FF12" s="12">
        <f t="shared" si="46"/>
        <v>0</v>
      </c>
      <c r="FG12" s="20"/>
      <c r="FH12" s="12">
        <f t="shared" si="47"/>
        <v>0</v>
      </c>
      <c r="FI12" s="45" t="str">
        <f t="shared" si="48"/>
        <v/>
      </c>
      <c r="FJ12" s="53"/>
      <c r="FK12" s="53"/>
      <c r="FL12" s="63"/>
      <c r="FM12" s="63">
        <f>IF($A12="","",SUMIFS('Consumable Usage'!$E:$E,'Consumable Usage'!$A:$A,$A12,'Consumable Usage'!$D:$D,16))</f>
        <v>0</v>
      </c>
      <c r="FN12" s="63">
        <f>IF($A12="","",SUMIFS('Nursing Charges'!$I:$I,'Nursing Charges'!$A:$A,$A12,'Nursing Charges'!$C:$C,16))</f>
        <v>0</v>
      </c>
      <c r="FO12" s="63">
        <f>IF($A12="","",FL12+(FN12-SUMIFS('Nursing Charges'!$J:$J,'Nursing Charges'!$A:$A,$A12,'Nursing Charges'!$C:$C,16))+(FM12-SUMIFS('Consumable Usage'!$F:$F,'Consumable Usage'!$A:$A,$A12,'Consumable Usage'!$D:$D,16)))</f>
        <v>0</v>
      </c>
      <c r="FP12" s="63">
        <f t="shared" si="49"/>
        <v>0</v>
      </c>
      <c r="FQ12" s="63"/>
      <c r="FR12" s="63">
        <f t="shared" si="50"/>
        <v>0</v>
      </c>
      <c r="FS12" s="53" t="str">
        <f t="shared" si="51"/>
        <v/>
      </c>
    </row>
    <row r="13" ht="15.0" customHeight="1">
      <c r="A13" s="41" t="s">
        <v>165</v>
      </c>
      <c r="B13" s="42" t="s">
        <v>166</v>
      </c>
      <c r="C13" s="41" t="s">
        <v>167</v>
      </c>
      <c r="D13" s="43" t="s">
        <v>168</v>
      </c>
      <c r="E13" s="44" t="s">
        <v>169</v>
      </c>
      <c r="F13" s="42"/>
      <c r="G13" s="15"/>
      <c r="H13" s="20"/>
      <c r="I13" s="12">
        <f>IF($A13="","",SUMIFS('Consumable Usage'!$E:$E,'Consumable Usage'!$A:$A,$A13,'Consumable Usage'!$D:$D,1))</f>
        <v>0</v>
      </c>
      <c r="J13" s="12">
        <f>IF($A13="","",SUMIFS('Nursing Charges'!$I:$I,'Nursing Charges'!$A:$A,$A13,'Nursing Charges'!$C:$C,1))</f>
        <v>0</v>
      </c>
      <c r="K13" s="12">
        <f>IF($A13="","",H13+(J13-SUMIFS('Nursing Charges'!$J:$J,'Nursing Charges'!$A:$A,$A13,'Nursing Charges'!$C:$C,1))+(I13-SUMIFS('Consumable Usage'!$F:$F,'Consumable Usage'!$A:$A,$A13,'Consumable Usage'!$D:$D,1)))</f>
        <v>0</v>
      </c>
      <c r="L13" s="12">
        <f t="shared" si="1"/>
        <v>0</v>
      </c>
      <c r="M13" s="20"/>
      <c r="N13" s="12">
        <f t="shared" si="2"/>
        <v>0</v>
      </c>
      <c r="O13" s="45" t="str">
        <f t="shared" si="3"/>
        <v/>
      </c>
      <c r="P13" s="15"/>
      <c r="Q13" s="15"/>
      <c r="R13" s="20"/>
      <c r="S13" s="12">
        <f>IF($A13="","",SUMIFS('Consumable Usage'!$E:$E,'Consumable Usage'!$A:$A,$A13,'Consumable Usage'!$D:$D,2))</f>
        <v>0</v>
      </c>
      <c r="T13" s="12">
        <f>IF($A13="","",SUMIFS('Nursing Charges'!$I:$I,'Nursing Charges'!$A:$A,$A13,'Nursing Charges'!$C:$C,2))</f>
        <v>0</v>
      </c>
      <c r="U13" s="12">
        <f>IF($A13="","",R13+(T13-SUMIFS('Nursing Charges'!$J:$J,'Nursing Charges'!$A:$A,$A13,'Nursing Charges'!$C:$C,2))+(S13-SUMIFS('Consumable Usage'!$F:$F,'Consumable Usage'!$A:$A,$A13,'Consumable Usage'!$D:$D,2)))</f>
        <v>0</v>
      </c>
      <c r="V13" s="12">
        <f t="shared" si="4"/>
        <v>0</v>
      </c>
      <c r="W13" s="20"/>
      <c r="X13" s="12">
        <f t="shared" si="5"/>
        <v>0</v>
      </c>
      <c r="Y13" s="45" t="str">
        <f t="shared" si="6"/>
        <v/>
      </c>
      <c r="Z13" s="15"/>
      <c r="AA13" s="15"/>
      <c r="AB13" s="20"/>
      <c r="AC13" s="12">
        <f>IF($A13="","",SUMIFS('Consumable Usage'!$E:$E,'Consumable Usage'!$A:$A,$A13,'Consumable Usage'!$D:$D,3))</f>
        <v>0</v>
      </c>
      <c r="AD13" s="12">
        <f>IF($A13="","",SUMIFS('Nursing Charges'!$I:$I,'Nursing Charges'!$A:$A,$A13,'Nursing Charges'!$C:$C,3))</f>
        <v>0</v>
      </c>
      <c r="AE13" s="12">
        <f>IF($A13="","",AB13+(AD13-SUMIFS('Nursing Charges'!$J:$J,'Nursing Charges'!$A:$A,$A13,'Nursing Charges'!$C:$C,3))+(AC13-SUMIFS('Consumable Usage'!$F:$F,'Consumable Usage'!$A:$A,$A13,'Consumable Usage'!$D:$D,3)))</f>
        <v>0</v>
      </c>
      <c r="AF13" s="12">
        <f t="shared" si="7"/>
        <v>0</v>
      </c>
      <c r="AG13" s="20"/>
      <c r="AH13" s="12">
        <f t="shared" si="8"/>
        <v>0</v>
      </c>
      <c r="AI13" s="45" t="str">
        <f t="shared" si="9"/>
        <v/>
      </c>
      <c r="AJ13" s="15"/>
      <c r="AK13" s="15"/>
      <c r="AL13" s="20"/>
      <c r="AM13" s="12">
        <f>IF($A13="","",SUMIFS('Consumable Usage'!$E:$E,'Consumable Usage'!$A:$A,$A13,'Consumable Usage'!$D:$D,4))</f>
        <v>0</v>
      </c>
      <c r="AN13" s="12">
        <f>IF($A13="","",SUMIFS('Nursing Charges'!$I:$I,'Nursing Charges'!$A:$A,$A13,'Nursing Charges'!$C:$C,4))</f>
        <v>0</v>
      </c>
      <c r="AO13" s="12">
        <f>IF($A13="","",AL13+(AN13-SUMIFS('Nursing Charges'!$J:$J,'Nursing Charges'!$A:$A,$A13,'Nursing Charges'!$C:$C,4))+(AM13-SUMIFS('Consumable Usage'!$F:$F,'Consumable Usage'!$A:$A,$A13,'Consumable Usage'!$D:$D,4)))</f>
        <v>0</v>
      </c>
      <c r="AP13" s="12">
        <f t="shared" si="10"/>
        <v>0</v>
      </c>
      <c r="AQ13" s="20"/>
      <c r="AR13" s="12">
        <f t="shared" si="11"/>
        <v>0</v>
      </c>
      <c r="AS13" s="45" t="str">
        <f t="shared" si="12"/>
        <v/>
      </c>
      <c r="AT13" s="15"/>
      <c r="AU13" s="15"/>
      <c r="AV13" s="20"/>
      <c r="AW13" s="12">
        <f>IF($A13="","",SUMIFS('Consumable Usage'!$E:$E,'Consumable Usage'!$A:$A,$A13,'Consumable Usage'!$D:$D,5))</f>
        <v>0</v>
      </c>
      <c r="AX13" s="12">
        <f>IF($A13="","",SUMIFS('Nursing Charges'!$I:$I,'Nursing Charges'!$A:$A,$A13,'Nursing Charges'!$C:$C,5))</f>
        <v>0</v>
      </c>
      <c r="AY13" s="12">
        <f>IF($A13="","",AV13+(AX13-SUMIFS('Nursing Charges'!$J:$J,'Nursing Charges'!$A:$A,$A13,'Nursing Charges'!$C:$C,5))+(AW13-SUMIFS('Consumable Usage'!$F:$F,'Consumable Usage'!$A:$A,$A13,'Consumable Usage'!$D:$D,5)))</f>
        <v>0</v>
      </c>
      <c r="AZ13" s="12">
        <f t="shared" si="13"/>
        <v>0</v>
      </c>
      <c r="BA13" s="20"/>
      <c r="BB13" s="12">
        <f t="shared" si="14"/>
        <v>0</v>
      </c>
      <c r="BC13" s="45" t="str">
        <f t="shared" si="15"/>
        <v/>
      </c>
      <c r="BD13" s="15"/>
      <c r="BE13" s="15"/>
      <c r="BF13" s="20"/>
      <c r="BG13" s="12">
        <f>IF($A13="","",SUMIFS('Consumable Usage'!$E:$E,'Consumable Usage'!$A:$A,$A13,'Consumable Usage'!$D:$D,6))</f>
        <v>0</v>
      </c>
      <c r="BH13" s="12">
        <f>IF($A13="","",SUMIFS('Nursing Charges'!$I:$I,'Nursing Charges'!$A:$A,$A13,'Nursing Charges'!$C:$C,6))</f>
        <v>0</v>
      </c>
      <c r="BI13" s="12">
        <f>IF($A13="","",BF13+(BH13-SUMIFS('Nursing Charges'!$J:$J,'Nursing Charges'!$A:$A,$A13,'Nursing Charges'!$C:$C,6))+(BG13-SUMIFS('Consumable Usage'!$F:$F,'Consumable Usage'!$A:$A,$A13,'Consumable Usage'!$D:$D,6)))</f>
        <v>0</v>
      </c>
      <c r="BJ13" s="12">
        <f t="shared" si="16"/>
        <v>0</v>
      </c>
      <c r="BK13" s="20"/>
      <c r="BL13" s="12">
        <f t="shared" si="17"/>
        <v>0</v>
      </c>
      <c r="BM13" s="45" t="str">
        <f t="shared" si="18"/>
        <v/>
      </c>
      <c r="BN13" s="15"/>
      <c r="BO13" s="15"/>
      <c r="BP13" s="20"/>
      <c r="BQ13" s="12">
        <f>IF($A13="","",SUMIFS('Consumable Usage'!$E:$E,'Consumable Usage'!$A:$A,$A13,'Consumable Usage'!$D:$D,7))</f>
        <v>0</v>
      </c>
      <c r="BR13" s="12">
        <f>IF($A13="","",SUMIFS('Nursing Charges'!$I:$I,'Nursing Charges'!$A:$A,$A13,'Nursing Charges'!$C:$C,7))</f>
        <v>0</v>
      </c>
      <c r="BS13" s="12">
        <f>IF($A13="","",BP13+(BR13-SUMIFS('Nursing Charges'!$J:$J,'Nursing Charges'!$A:$A,$A13,'Nursing Charges'!$C:$C,7))+(BQ13-SUMIFS('Consumable Usage'!$F:$F,'Consumable Usage'!$A:$A,$A13,'Consumable Usage'!$D:$D,7)))</f>
        <v>0</v>
      </c>
      <c r="BT13" s="12">
        <f t="shared" si="19"/>
        <v>0</v>
      </c>
      <c r="BU13" s="20"/>
      <c r="BV13" s="12">
        <f t="shared" si="20"/>
        <v>0</v>
      </c>
      <c r="BW13" s="45" t="str">
        <f t="shared" si="21"/>
        <v/>
      </c>
      <c r="BX13" s="15"/>
      <c r="BY13" s="15"/>
      <c r="BZ13" s="20"/>
      <c r="CA13" s="12">
        <f>IF($A13="","",SUMIFS('Consumable Usage'!$E:$E,'Consumable Usage'!$A:$A,$A13,'Consumable Usage'!$D:$D,8))</f>
        <v>0</v>
      </c>
      <c r="CB13" s="12">
        <f>IF($A13="","",SUMIFS('Nursing Charges'!$I:$I,'Nursing Charges'!$A:$A,$A13,'Nursing Charges'!$C:$C,8))</f>
        <v>0</v>
      </c>
      <c r="CC13" s="12">
        <f>IF($A13="","",BZ13+(CB13-SUMIFS('Nursing Charges'!$J:$J,'Nursing Charges'!$A:$A,$A13,'Nursing Charges'!$C:$C,8))+(CA13-SUMIFS('Consumable Usage'!$F:$F,'Consumable Usage'!$A:$A,$A13,'Consumable Usage'!$D:$D,8)))</f>
        <v>0</v>
      </c>
      <c r="CD13" s="12">
        <f t="shared" si="22"/>
        <v>0</v>
      </c>
      <c r="CE13" s="20"/>
      <c r="CF13" s="12">
        <f t="shared" si="23"/>
        <v>0</v>
      </c>
      <c r="CG13" s="45" t="str">
        <f t="shared" si="24"/>
        <v/>
      </c>
      <c r="CH13" s="15"/>
      <c r="CI13" s="15"/>
      <c r="CJ13" s="20"/>
      <c r="CK13" s="12">
        <f>IF($A13="","",SUMIFS('Consumable Usage'!$E:$E,'Consumable Usage'!$A:$A,$A13,'Consumable Usage'!$D:$D,9))</f>
        <v>0</v>
      </c>
      <c r="CL13" s="12">
        <f>IF($A13="","",SUMIFS('Nursing Charges'!$I:$I,'Nursing Charges'!$A:$A,$A13,'Nursing Charges'!$C:$C,9))</f>
        <v>0</v>
      </c>
      <c r="CM13" s="12">
        <f>IF($A13="","",CJ13+(CL13-SUMIFS('Nursing Charges'!$J:$J,'Nursing Charges'!$A:$A,$A13,'Nursing Charges'!$C:$C,9))+(CK13-SUMIFS('Consumable Usage'!$F:$F,'Consumable Usage'!$A:$A,$A13,'Consumable Usage'!$D:$D,9)))</f>
        <v>0</v>
      </c>
      <c r="CN13" s="12">
        <f t="shared" si="25"/>
        <v>0</v>
      </c>
      <c r="CO13" s="20"/>
      <c r="CP13" s="12">
        <f t="shared" si="26"/>
        <v>0</v>
      </c>
      <c r="CQ13" s="45" t="str">
        <f t="shared" si="27"/>
        <v/>
      </c>
      <c r="CR13" s="15"/>
      <c r="CS13" s="15"/>
      <c r="CT13" s="20"/>
      <c r="CU13" s="12">
        <f>IF($A13="","",SUMIFS('Consumable Usage'!$E:$E,'Consumable Usage'!$A:$A,$A13,'Consumable Usage'!$D:$D,10))</f>
        <v>0</v>
      </c>
      <c r="CV13" s="12">
        <f>IF($A13="","",SUMIFS('Nursing Charges'!$I:$I,'Nursing Charges'!$A:$A,$A13,'Nursing Charges'!$C:$C,10))</f>
        <v>0</v>
      </c>
      <c r="CW13" s="12">
        <f>IF($A13="","",CT13+(CV13-SUMIFS('Nursing Charges'!$J:$J,'Nursing Charges'!$A:$A,$A13,'Nursing Charges'!$C:$C,10))+(CU13-SUMIFS('Consumable Usage'!$F:$F,'Consumable Usage'!$A:$A,$A13,'Consumable Usage'!$D:$D,10)))</f>
        <v>0</v>
      </c>
      <c r="CX13" s="12">
        <f t="shared" si="28"/>
        <v>0</v>
      </c>
      <c r="CY13" s="20"/>
      <c r="CZ13" s="12">
        <f t="shared" si="29"/>
        <v>0</v>
      </c>
      <c r="DA13" s="45" t="str">
        <f t="shared" si="30"/>
        <v/>
      </c>
      <c r="DB13" s="15"/>
      <c r="DC13" s="15"/>
      <c r="DD13" s="20"/>
      <c r="DE13" s="12">
        <f>IF($A13="","",SUMIFS('Consumable Usage'!$E:$E,'Consumable Usage'!$A:$A,$A13,'Consumable Usage'!$D:$D,11))</f>
        <v>0</v>
      </c>
      <c r="DF13" s="12">
        <f>IF($A13="","",SUMIFS('Nursing Charges'!$I:$I,'Nursing Charges'!$A:$A,$A13,'Nursing Charges'!$C:$C,11))</f>
        <v>0</v>
      </c>
      <c r="DG13" s="12">
        <f>IF($A13="","",DD13+(DF13-SUMIFS('Nursing Charges'!$J:$J,'Nursing Charges'!$A:$A,$A13,'Nursing Charges'!$C:$C,11))+(DE13-SUMIFS('Consumable Usage'!$F:$F,'Consumable Usage'!$A:$A,$A13,'Consumable Usage'!$D:$D,11)))</f>
        <v>0</v>
      </c>
      <c r="DH13" s="12">
        <f t="shared" si="31"/>
        <v>0</v>
      </c>
      <c r="DI13" s="20"/>
      <c r="DJ13" s="12">
        <f t="shared" si="32"/>
        <v>0</v>
      </c>
      <c r="DK13" s="45" t="str">
        <f t="shared" si="33"/>
        <v/>
      </c>
      <c r="DL13" s="15"/>
      <c r="DM13" s="15"/>
      <c r="DN13" s="20"/>
      <c r="DO13" s="12">
        <f>IF($A13="","",SUMIFS('Consumable Usage'!$E:$E,'Consumable Usage'!$A:$A,$A13,'Consumable Usage'!$D:$D,12))</f>
        <v>0</v>
      </c>
      <c r="DP13" s="12">
        <f>IF($A13="","",SUMIFS('Nursing Charges'!$I:$I,'Nursing Charges'!$A:$A,$A13,'Nursing Charges'!$C:$C,12))</f>
        <v>0</v>
      </c>
      <c r="DQ13" s="12">
        <f>IF($A13="","",DN13+(DP13-SUMIFS('Nursing Charges'!$J:$J,'Nursing Charges'!$A:$A,$A13,'Nursing Charges'!$C:$C,12))+(DO13-SUMIFS('Consumable Usage'!$F:$F,'Consumable Usage'!$A:$A,$A13,'Consumable Usage'!$D:$D,12)))</f>
        <v>0</v>
      </c>
      <c r="DR13" s="12">
        <f t="shared" si="34"/>
        <v>0</v>
      </c>
      <c r="DS13" s="20"/>
      <c r="DT13" s="12">
        <f t="shared" si="35"/>
        <v>0</v>
      </c>
      <c r="DU13" s="45" t="str">
        <f t="shared" si="36"/>
        <v/>
      </c>
      <c r="DV13" s="15"/>
      <c r="DW13" s="15"/>
      <c r="DX13" s="20"/>
      <c r="DY13" s="12">
        <f>IF($A13="","",SUMIFS('Consumable Usage'!$E:$E,'Consumable Usage'!$A:$A,$A13,'Consumable Usage'!$D:$D,13))</f>
        <v>0</v>
      </c>
      <c r="DZ13" s="12">
        <f>IF($A13="","",SUMIFS('Nursing Charges'!$I:$I,'Nursing Charges'!$A:$A,$A13,'Nursing Charges'!$C:$C,13))</f>
        <v>0</v>
      </c>
      <c r="EA13" s="12">
        <f>IF($A13="","",DX13+(DZ13-SUMIFS('Nursing Charges'!$J:$J,'Nursing Charges'!$A:$A,$A13,'Nursing Charges'!$C:$C,13))+(DY13-SUMIFS('Consumable Usage'!$F:$F,'Consumable Usage'!$A:$A,$A13,'Consumable Usage'!$D:$D,13)))</f>
        <v>0</v>
      </c>
      <c r="EB13" s="12">
        <f t="shared" si="37"/>
        <v>0</v>
      </c>
      <c r="EC13" s="20"/>
      <c r="ED13" s="12">
        <f t="shared" si="38"/>
        <v>0</v>
      </c>
      <c r="EE13" s="45" t="str">
        <f t="shared" si="39"/>
        <v/>
      </c>
      <c r="EF13" s="15"/>
      <c r="EG13" s="15"/>
      <c r="EH13" s="20"/>
      <c r="EI13" s="12">
        <f>IF($A13="","",SUMIFS('Consumable Usage'!$E:$E,'Consumable Usage'!$A:$A,$A13,'Consumable Usage'!$D:$D,14))</f>
        <v>0</v>
      </c>
      <c r="EJ13" s="12">
        <f>IF($A13="","",SUMIFS('Nursing Charges'!$I:$I,'Nursing Charges'!$A:$A,$A13,'Nursing Charges'!$C:$C,14))</f>
        <v>0</v>
      </c>
      <c r="EK13" s="12">
        <f>IF($A13="","",EH13+(EJ13-SUMIFS('Nursing Charges'!$J:$J,'Nursing Charges'!$A:$A,$A13,'Nursing Charges'!$C:$C,14))+(EI13-SUMIFS('Consumable Usage'!$F:$F,'Consumable Usage'!$A:$A,$A13,'Consumable Usage'!$D:$D,14)))</f>
        <v>0</v>
      </c>
      <c r="EL13" s="12">
        <f t="shared" si="40"/>
        <v>0</v>
      </c>
      <c r="EM13" s="20"/>
      <c r="EN13" s="12">
        <f t="shared" si="41"/>
        <v>0</v>
      </c>
      <c r="EO13" s="45" t="str">
        <f t="shared" si="42"/>
        <v/>
      </c>
      <c r="EP13" s="15"/>
      <c r="EQ13" s="15"/>
      <c r="ER13" s="20"/>
      <c r="ES13" s="12">
        <f>IF($A13="","",SUMIFS('Consumable Usage'!$E:$E,'Consumable Usage'!$A:$A,$A13,'Consumable Usage'!$D:$D,15))</f>
        <v>0</v>
      </c>
      <c r="ET13" s="12">
        <f>IF($A13="","",SUMIFS('Nursing Charges'!$I:$I,'Nursing Charges'!$A:$A,$A13,'Nursing Charges'!$C:$C,15))</f>
        <v>0</v>
      </c>
      <c r="EU13" s="12">
        <f>IF($A13="","",ER13+(ET13-SUMIFS('Nursing Charges'!$J:$J,'Nursing Charges'!$A:$A,$A13,'Nursing Charges'!$C:$C,15))+(ES13-SUMIFS('Consumable Usage'!$F:$F,'Consumable Usage'!$A:$A,$A13,'Consumable Usage'!$D:$D,15)))</f>
        <v>0</v>
      </c>
      <c r="EV13" s="12">
        <f t="shared" si="43"/>
        <v>0</v>
      </c>
      <c r="EW13" s="20"/>
      <c r="EX13" s="12">
        <f t="shared" si="44"/>
        <v>0</v>
      </c>
      <c r="EY13" s="45" t="str">
        <f t="shared" si="45"/>
        <v/>
      </c>
      <c r="EZ13" s="15"/>
      <c r="FA13" s="15"/>
      <c r="FB13" s="20"/>
      <c r="FC13" s="12">
        <f>IF($A13="","",SUMIFS('Consumable Usage'!$E:$E,'Consumable Usage'!$A:$A,$A13,'Consumable Usage'!$D:$D,16))</f>
        <v>0</v>
      </c>
      <c r="FD13" s="12">
        <f>IF($A13="","",SUMIFS('Nursing Charges'!$I:$I,'Nursing Charges'!$A:$A,$A13,'Nursing Charges'!$C:$C,16))</f>
        <v>0</v>
      </c>
      <c r="FE13" s="12">
        <f>IF($A13="","",FB13+(FD13-SUMIFS('Nursing Charges'!$J:$J,'Nursing Charges'!$A:$A,$A13,'Nursing Charges'!$C:$C,16))+(FC13-SUMIFS('Consumable Usage'!$F:$F,'Consumable Usage'!$A:$A,$A13,'Consumable Usage'!$D:$D,16)))</f>
        <v>0</v>
      </c>
      <c r="FF13" s="12">
        <f t="shared" si="46"/>
        <v>0</v>
      </c>
      <c r="FG13" s="20"/>
      <c r="FH13" s="12">
        <f t="shared" si="47"/>
        <v>0</v>
      </c>
      <c r="FI13" s="45" t="str">
        <f t="shared" si="48"/>
        <v/>
      </c>
      <c r="FJ13" s="53"/>
      <c r="FK13" s="53"/>
      <c r="FL13" s="63"/>
      <c r="FM13" s="63">
        <f>IF($A13="","",SUMIFS('Consumable Usage'!$E:$E,'Consumable Usage'!$A:$A,$A13,'Consumable Usage'!$D:$D,16))</f>
        <v>0</v>
      </c>
      <c r="FN13" s="63">
        <f>IF($A13="","",SUMIFS('Nursing Charges'!$I:$I,'Nursing Charges'!$A:$A,$A13,'Nursing Charges'!$C:$C,16))</f>
        <v>0</v>
      </c>
      <c r="FO13" s="63">
        <f>IF($A13="","",FL13+(FN13-SUMIFS('Nursing Charges'!$J:$J,'Nursing Charges'!$A:$A,$A13,'Nursing Charges'!$C:$C,16))+(FM13-SUMIFS('Consumable Usage'!$F:$F,'Consumable Usage'!$A:$A,$A13,'Consumable Usage'!$D:$D,16)))</f>
        <v>0</v>
      </c>
      <c r="FP13" s="63">
        <f t="shared" si="49"/>
        <v>0</v>
      </c>
      <c r="FQ13" s="63"/>
      <c r="FR13" s="63">
        <f t="shared" si="50"/>
        <v>0</v>
      </c>
      <c r="FS13" s="53" t="str">
        <f t="shared" si="51"/>
        <v/>
      </c>
    </row>
    <row r="14" ht="15.0" customHeight="1">
      <c r="A14" s="65"/>
      <c r="B14" s="66" t="s">
        <v>170</v>
      </c>
      <c r="C14" s="65"/>
      <c r="D14" s="67"/>
      <c r="E14" s="67"/>
      <c r="F14" s="65"/>
      <c r="G14" s="15"/>
      <c r="H14" s="20"/>
      <c r="I14" s="12" t="str">
        <f>IF($A14="","",SUMIFS('Consumable Usage'!$E:$E,'Consumable Usage'!$A:$A,$A14,'Consumable Usage'!$D:$D,1))</f>
        <v/>
      </c>
      <c r="J14" s="12" t="str">
        <f>IF($A14="","",SUMIFS('Nursing Charges'!$I:$I,'Nursing Charges'!$A:$A,$A14,'Nursing Charges'!$C:$C,1))</f>
        <v/>
      </c>
      <c r="K14" s="12" t="str">
        <f>IF($A14="","",H14+(J14-SUMIFS('Nursing Charges'!$J:$J,'Nursing Charges'!$A:$A,$A14,'Nursing Charges'!$C:$C,1))+(I14-SUMIFS('Consumable Usage'!$F:$F,'Consumable Usage'!$A:$A,$A14,'Consumable Usage'!$D:$D,1)))</f>
        <v/>
      </c>
      <c r="L14" s="12" t="str">
        <f t="shared" si="1"/>
        <v/>
      </c>
      <c r="M14" s="20"/>
      <c r="N14" s="12" t="str">
        <f t="shared" si="2"/>
        <v/>
      </c>
      <c r="O14" s="45" t="str">
        <f t="shared" si="3"/>
        <v/>
      </c>
      <c r="P14" s="15"/>
      <c r="Q14" s="15"/>
      <c r="R14" s="20"/>
      <c r="S14" s="12" t="str">
        <f>IF($A14="","",SUMIFS('Consumable Usage'!$E:$E,'Consumable Usage'!$A:$A,$A14,'Consumable Usage'!$D:$D,2))</f>
        <v/>
      </c>
      <c r="T14" s="12" t="str">
        <f>IF($A14="","",SUMIFS('Nursing Charges'!$I:$I,'Nursing Charges'!$A:$A,$A14,'Nursing Charges'!$C:$C,2))</f>
        <v/>
      </c>
      <c r="U14" s="12" t="str">
        <f>IF($A14="","",R14+(T14-SUMIFS('Nursing Charges'!$J:$J,'Nursing Charges'!$A:$A,$A14,'Nursing Charges'!$C:$C,2))+(S14-SUMIFS('Consumable Usage'!$F:$F,'Consumable Usage'!$A:$A,$A14,'Consumable Usage'!$D:$D,2)))</f>
        <v/>
      </c>
      <c r="V14" s="12" t="str">
        <f t="shared" si="4"/>
        <v/>
      </c>
      <c r="W14" s="20"/>
      <c r="X14" s="12" t="str">
        <f t="shared" si="5"/>
        <v/>
      </c>
      <c r="Y14" s="45" t="str">
        <f t="shared" si="6"/>
        <v/>
      </c>
      <c r="Z14" s="15"/>
      <c r="AA14" s="15"/>
      <c r="AB14" s="20"/>
      <c r="AC14" s="12" t="str">
        <f>IF($A14="","",SUMIFS('Consumable Usage'!$E:$E,'Consumable Usage'!$A:$A,$A14,'Consumable Usage'!$D:$D,3))</f>
        <v/>
      </c>
      <c r="AD14" s="12" t="str">
        <f>IF($A14="","",SUMIFS('Nursing Charges'!$I:$I,'Nursing Charges'!$A:$A,$A14,'Nursing Charges'!$C:$C,3))</f>
        <v/>
      </c>
      <c r="AE14" s="12" t="str">
        <f>IF($A14="","",AB14+(AD14-SUMIFS('Nursing Charges'!$J:$J,'Nursing Charges'!$A:$A,$A14,'Nursing Charges'!$C:$C,3))+(AC14-SUMIFS('Consumable Usage'!$F:$F,'Consumable Usage'!$A:$A,$A14,'Consumable Usage'!$D:$D,3)))</f>
        <v/>
      </c>
      <c r="AF14" s="12" t="str">
        <f t="shared" si="7"/>
        <v/>
      </c>
      <c r="AG14" s="20"/>
      <c r="AH14" s="12" t="str">
        <f t="shared" si="8"/>
        <v/>
      </c>
      <c r="AI14" s="45" t="str">
        <f t="shared" si="9"/>
        <v/>
      </c>
      <c r="AJ14" s="15"/>
      <c r="AK14" s="15"/>
      <c r="AL14" s="20"/>
      <c r="AM14" s="12" t="str">
        <f>IF($A14="","",SUMIFS('Consumable Usage'!$E:$E,'Consumable Usage'!$A:$A,$A14,'Consumable Usage'!$D:$D,4))</f>
        <v/>
      </c>
      <c r="AN14" s="12" t="str">
        <f>IF($A14="","",SUMIFS('Nursing Charges'!$I:$I,'Nursing Charges'!$A:$A,$A14,'Nursing Charges'!$C:$C,4))</f>
        <v/>
      </c>
      <c r="AO14" s="12" t="str">
        <f>IF($A14="","",AL14+(AN14-SUMIFS('Nursing Charges'!$J:$J,'Nursing Charges'!$A:$A,$A14,'Nursing Charges'!$C:$C,4))+(AM14-SUMIFS('Consumable Usage'!$F:$F,'Consumable Usage'!$A:$A,$A14,'Consumable Usage'!$D:$D,4)))</f>
        <v/>
      </c>
      <c r="AP14" s="12" t="str">
        <f t="shared" si="10"/>
        <v/>
      </c>
      <c r="AQ14" s="20"/>
      <c r="AR14" s="12" t="str">
        <f t="shared" si="11"/>
        <v/>
      </c>
      <c r="AS14" s="45" t="str">
        <f t="shared" si="12"/>
        <v/>
      </c>
      <c r="AT14" s="15"/>
      <c r="AU14" s="15"/>
      <c r="AV14" s="20"/>
      <c r="AW14" s="12" t="str">
        <f>IF($A14="","",SUMIFS('Consumable Usage'!$E:$E,'Consumable Usage'!$A:$A,$A14,'Consumable Usage'!$D:$D,5))</f>
        <v/>
      </c>
      <c r="AX14" s="12" t="str">
        <f>IF($A14="","",SUMIFS('Nursing Charges'!$I:$I,'Nursing Charges'!$A:$A,$A14,'Nursing Charges'!$C:$C,5))</f>
        <v/>
      </c>
      <c r="AY14" s="12" t="str">
        <f>IF($A14="","",AV14+(AX14-SUMIFS('Nursing Charges'!$J:$J,'Nursing Charges'!$A:$A,$A14,'Nursing Charges'!$C:$C,5))+(AW14-SUMIFS('Consumable Usage'!$F:$F,'Consumable Usage'!$A:$A,$A14,'Consumable Usage'!$D:$D,5)))</f>
        <v/>
      </c>
      <c r="AZ14" s="12" t="str">
        <f t="shared" si="13"/>
        <v/>
      </c>
      <c r="BA14" s="20"/>
      <c r="BB14" s="12" t="str">
        <f t="shared" si="14"/>
        <v/>
      </c>
      <c r="BC14" s="45" t="str">
        <f t="shared" si="15"/>
        <v/>
      </c>
      <c r="BD14" s="15"/>
      <c r="BE14" s="15"/>
      <c r="BF14" s="20"/>
      <c r="BG14" s="12" t="str">
        <f>IF($A14="","",SUMIFS('Consumable Usage'!$E:$E,'Consumable Usage'!$A:$A,$A14,'Consumable Usage'!$D:$D,6))</f>
        <v/>
      </c>
      <c r="BH14" s="12" t="str">
        <f>IF($A14="","",SUMIFS('Nursing Charges'!$I:$I,'Nursing Charges'!$A:$A,$A14,'Nursing Charges'!$C:$C,6))</f>
        <v/>
      </c>
      <c r="BI14" s="12" t="str">
        <f>IF($A14="","",BF14+(BH14-SUMIFS('Nursing Charges'!$J:$J,'Nursing Charges'!$A:$A,$A14,'Nursing Charges'!$C:$C,6))+(BG14-SUMIFS('Consumable Usage'!$F:$F,'Consumable Usage'!$A:$A,$A14,'Consumable Usage'!$D:$D,6)))</f>
        <v/>
      </c>
      <c r="BJ14" s="12" t="str">
        <f t="shared" si="16"/>
        <v/>
      </c>
      <c r="BK14" s="20"/>
      <c r="BL14" s="12" t="str">
        <f t="shared" si="17"/>
        <v/>
      </c>
      <c r="BM14" s="45" t="str">
        <f t="shared" si="18"/>
        <v/>
      </c>
      <c r="BN14" s="15"/>
      <c r="BO14" s="15"/>
      <c r="BP14" s="20"/>
      <c r="BQ14" s="12" t="str">
        <f>IF($A14="","",SUMIFS('Consumable Usage'!$E:$E,'Consumable Usage'!$A:$A,$A14,'Consumable Usage'!$D:$D,7))</f>
        <v/>
      </c>
      <c r="BR14" s="12" t="str">
        <f>IF($A14="","",SUMIFS('Nursing Charges'!$I:$I,'Nursing Charges'!$A:$A,$A14,'Nursing Charges'!$C:$C,7))</f>
        <v/>
      </c>
      <c r="BS14" s="12" t="str">
        <f>IF($A14="","",BP14+(BR14-SUMIFS('Nursing Charges'!$J:$J,'Nursing Charges'!$A:$A,$A14,'Nursing Charges'!$C:$C,7))+(BQ14-SUMIFS('Consumable Usage'!$F:$F,'Consumable Usage'!$A:$A,$A14,'Consumable Usage'!$D:$D,7)))</f>
        <v/>
      </c>
      <c r="BT14" s="12" t="str">
        <f t="shared" si="19"/>
        <v/>
      </c>
      <c r="BU14" s="20"/>
      <c r="BV14" s="12" t="str">
        <f t="shared" si="20"/>
        <v/>
      </c>
      <c r="BW14" s="45" t="str">
        <f t="shared" si="21"/>
        <v/>
      </c>
      <c r="BX14" s="15"/>
      <c r="BY14" s="15"/>
      <c r="BZ14" s="20"/>
      <c r="CA14" s="12" t="str">
        <f>IF($A14="","",SUMIFS('Consumable Usage'!$E:$E,'Consumable Usage'!$A:$A,$A14,'Consumable Usage'!$D:$D,8))</f>
        <v/>
      </c>
      <c r="CB14" s="12" t="str">
        <f>IF($A14="","",SUMIFS('Nursing Charges'!$I:$I,'Nursing Charges'!$A:$A,$A14,'Nursing Charges'!$C:$C,8))</f>
        <v/>
      </c>
      <c r="CC14" s="12" t="str">
        <f>IF($A14="","",BZ14+(CB14-SUMIFS('Nursing Charges'!$J:$J,'Nursing Charges'!$A:$A,$A14,'Nursing Charges'!$C:$C,8))+(CA14-SUMIFS('Consumable Usage'!$F:$F,'Consumable Usage'!$A:$A,$A14,'Consumable Usage'!$D:$D,8)))</f>
        <v/>
      </c>
      <c r="CD14" s="12" t="str">
        <f t="shared" si="22"/>
        <v/>
      </c>
      <c r="CE14" s="20"/>
      <c r="CF14" s="12" t="str">
        <f t="shared" si="23"/>
        <v/>
      </c>
      <c r="CG14" s="45" t="str">
        <f t="shared" si="24"/>
        <v/>
      </c>
      <c r="CH14" s="15"/>
      <c r="CI14" s="15"/>
      <c r="CJ14" s="20"/>
      <c r="CK14" s="12" t="str">
        <f>IF($A14="","",SUMIFS('Consumable Usage'!$E:$E,'Consumable Usage'!$A:$A,$A14,'Consumable Usage'!$D:$D,9))</f>
        <v/>
      </c>
      <c r="CL14" s="12" t="str">
        <f>IF($A14="","",SUMIFS('Nursing Charges'!$I:$I,'Nursing Charges'!$A:$A,$A14,'Nursing Charges'!$C:$C,9))</f>
        <v/>
      </c>
      <c r="CM14" s="12" t="str">
        <f>IF($A14="","",CJ14+(CL14-SUMIFS('Nursing Charges'!$J:$J,'Nursing Charges'!$A:$A,$A14,'Nursing Charges'!$C:$C,9))+(CK14-SUMIFS('Consumable Usage'!$F:$F,'Consumable Usage'!$A:$A,$A14,'Consumable Usage'!$D:$D,9)))</f>
        <v/>
      </c>
      <c r="CN14" s="12" t="str">
        <f t="shared" si="25"/>
        <v/>
      </c>
      <c r="CO14" s="20"/>
      <c r="CP14" s="12" t="str">
        <f t="shared" si="26"/>
        <v/>
      </c>
      <c r="CQ14" s="45" t="str">
        <f t="shared" si="27"/>
        <v/>
      </c>
      <c r="CR14" s="15"/>
      <c r="CS14" s="15"/>
      <c r="CT14" s="20"/>
      <c r="CU14" s="12" t="str">
        <f>IF($A14="","",SUMIFS('Consumable Usage'!$E:$E,'Consumable Usage'!$A:$A,$A14,'Consumable Usage'!$D:$D,10))</f>
        <v/>
      </c>
      <c r="CV14" s="12" t="str">
        <f>IF($A14="","",SUMIFS('Nursing Charges'!$I:$I,'Nursing Charges'!$A:$A,$A14,'Nursing Charges'!$C:$C,10))</f>
        <v/>
      </c>
      <c r="CW14" s="12" t="str">
        <f>IF($A14="","",CT14+(CV14-SUMIFS('Nursing Charges'!$J:$J,'Nursing Charges'!$A:$A,$A14,'Nursing Charges'!$C:$C,10))+(CU14-SUMIFS('Consumable Usage'!$F:$F,'Consumable Usage'!$A:$A,$A14,'Consumable Usage'!$D:$D,10)))</f>
        <v/>
      </c>
      <c r="CX14" s="12" t="str">
        <f t="shared" si="28"/>
        <v/>
      </c>
      <c r="CY14" s="20"/>
      <c r="CZ14" s="12" t="str">
        <f t="shared" si="29"/>
        <v/>
      </c>
      <c r="DA14" s="45" t="str">
        <f t="shared" si="30"/>
        <v/>
      </c>
      <c r="DB14" s="15"/>
      <c r="DC14" s="15"/>
      <c r="DD14" s="20"/>
      <c r="DE14" s="12" t="str">
        <f>IF($A14="","",SUMIFS('Consumable Usage'!$E:$E,'Consumable Usage'!$A:$A,$A14,'Consumable Usage'!$D:$D,11))</f>
        <v/>
      </c>
      <c r="DF14" s="12" t="str">
        <f>IF($A14="","",SUMIFS('Nursing Charges'!$I:$I,'Nursing Charges'!$A:$A,$A14,'Nursing Charges'!$C:$C,11))</f>
        <v/>
      </c>
      <c r="DG14" s="12" t="str">
        <f>IF($A14="","",DD14+(DF14-SUMIFS('Nursing Charges'!$J:$J,'Nursing Charges'!$A:$A,$A14,'Nursing Charges'!$C:$C,11))+(DE14-SUMIFS('Consumable Usage'!$F:$F,'Consumable Usage'!$A:$A,$A14,'Consumable Usage'!$D:$D,11)))</f>
        <v/>
      </c>
      <c r="DH14" s="12" t="str">
        <f t="shared" si="31"/>
        <v/>
      </c>
      <c r="DI14" s="20"/>
      <c r="DJ14" s="12" t="str">
        <f t="shared" si="32"/>
        <v/>
      </c>
      <c r="DK14" s="45" t="str">
        <f t="shared" si="33"/>
        <v/>
      </c>
      <c r="DL14" s="15"/>
      <c r="DM14" s="15"/>
      <c r="DN14" s="20"/>
      <c r="DO14" s="12" t="str">
        <f>IF($A14="","",SUMIFS('Consumable Usage'!$E:$E,'Consumable Usage'!$A:$A,$A14,'Consumable Usage'!$D:$D,12))</f>
        <v/>
      </c>
      <c r="DP14" s="12" t="str">
        <f>IF($A14="","",SUMIFS('Nursing Charges'!$I:$I,'Nursing Charges'!$A:$A,$A14,'Nursing Charges'!$C:$C,12))</f>
        <v/>
      </c>
      <c r="DQ14" s="12" t="str">
        <f>IF($A14="","",DN14+(DP14-SUMIFS('Nursing Charges'!$J:$J,'Nursing Charges'!$A:$A,$A14,'Nursing Charges'!$C:$C,12))+(DO14-SUMIFS('Consumable Usage'!$F:$F,'Consumable Usage'!$A:$A,$A14,'Consumable Usage'!$D:$D,12)))</f>
        <v/>
      </c>
      <c r="DR14" s="12" t="str">
        <f t="shared" si="34"/>
        <v/>
      </c>
      <c r="DS14" s="20"/>
      <c r="DT14" s="12" t="str">
        <f t="shared" si="35"/>
        <v/>
      </c>
      <c r="DU14" s="45" t="str">
        <f t="shared" si="36"/>
        <v/>
      </c>
      <c r="DV14" s="15"/>
      <c r="DW14" s="15"/>
      <c r="DX14" s="20"/>
      <c r="DY14" s="12" t="str">
        <f>IF($A14="","",SUMIFS('Consumable Usage'!$E:$E,'Consumable Usage'!$A:$A,$A14,'Consumable Usage'!$D:$D,13))</f>
        <v/>
      </c>
      <c r="DZ14" s="12" t="str">
        <f>IF($A14="","",SUMIFS('Nursing Charges'!$I:$I,'Nursing Charges'!$A:$A,$A14,'Nursing Charges'!$C:$C,13))</f>
        <v/>
      </c>
      <c r="EA14" s="12" t="str">
        <f>IF($A14="","",DX14+(DZ14-SUMIFS('Nursing Charges'!$J:$J,'Nursing Charges'!$A:$A,$A14,'Nursing Charges'!$C:$C,13))+(DY14-SUMIFS('Consumable Usage'!$F:$F,'Consumable Usage'!$A:$A,$A14,'Consumable Usage'!$D:$D,13)))</f>
        <v/>
      </c>
      <c r="EB14" s="12" t="str">
        <f t="shared" si="37"/>
        <v/>
      </c>
      <c r="EC14" s="20"/>
      <c r="ED14" s="12" t="str">
        <f t="shared" si="38"/>
        <v/>
      </c>
      <c r="EE14" s="45" t="str">
        <f t="shared" si="39"/>
        <v/>
      </c>
      <c r="EF14" s="15"/>
      <c r="EG14" s="15"/>
      <c r="EH14" s="20"/>
      <c r="EI14" s="12" t="str">
        <f>IF($A14="","",SUMIFS('Consumable Usage'!$E:$E,'Consumable Usage'!$A:$A,$A14,'Consumable Usage'!$D:$D,14))</f>
        <v/>
      </c>
      <c r="EJ14" s="12" t="str">
        <f>IF($A14="","",SUMIFS('Nursing Charges'!$I:$I,'Nursing Charges'!$A:$A,$A14,'Nursing Charges'!$C:$C,14))</f>
        <v/>
      </c>
      <c r="EK14" s="12" t="str">
        <f>IF($A14="","",EH14+(EJ14-SUMIFS('Nursing Charges'!$J:$J,'Nursing Charges'!$A:$A,$A14,'Nursing Charges'!$C:$C,14))+(EI14-SUMIFS('Consumable Usage'!$F:$F,'Consumable Usage'!$A:$A,$A14,'Consumable Usage'!$D:$D,14)))</f>
        <v/>
      </c>
      <c r="EL14" s="12" t="str">
        <f t="shared" si="40"/>
        <v/>
      </c>
      <c r="EM14" s="20"/>
      <c r="EN14" s="12" t="str">
        <f t="shared" si="41"/>
        <v/>
      </c>
      <c r="EO14" s="45" t="str">
        <f t="shared" si="42"/>
        <v/>
      </c>
      <c r="EP14" s="15"/>
      <c r="EQ14" s="15"/>
      <c r="ER14" s="20"/>
      <c r="ES14" s="12" t="str">
        <f>IF($A14="","",SUMIFS('Consumable Usage'!$E:$E,'Consumable Usage'!$A:$A,$A14,'Consumable Usage'!$D:$D,15))</f>
        <v/>
      </c>
      <c r="ET14" s="12" t="str">
        <f>IF($A14="","",SUMIFS('Nursing Charges'!$I:$I,'Nursing Charges'!$A:$A,$A14,'Nursing Charges'!$C:$C,15))</f>
        <v/>
      </c>
      <c r="EU14" s="12" t="str">
        <f>IF($A14="","",ER14+(ET14-SUMIFS('Nursing Charges'!$J:$J,'Nursing Charges'!$A:$A,$A14,'Nursing Charges'!$C:$C,15))+(ES14-SUMIFS('Consumable Usage'!$F:$F,'Consumable Usage'!$A:$A,$A14,'Consumable Usage'!$D:$D,15)))</f>
        <v/>
      </c>
      <c r="EV14" s="12" t="str">
        <f t="shared" si="43"/>
        <v/>
      </c>
      <c r="EW14" s="20"/>
      <c r="EX14" s="12" t="str">
        <f t="shared" si="44"/>
        <v/>
      </c>
      <c r="EY14" s="45" t="str">
        <f t="shared" si="45"/>
        <v/>
      </c>
      <c r="EZ14" s="15"/>
      <c r="FA14" s="15"/>
      <c r="FB14" s="20"/>
      <c r="FC14" s="12" t="str">
        <f>IF($A14="","",SUMIFS('Consumable Usage'!$E:$E,'Consumable Usage'!$A:$A,$A14,'Consumable Usage'!$D:$D,16))</f>
        <v/>
      </c>
      <c r="FD14" s="12" t="str">
        <f>IF($A14="","",SUMIFS('Nursing Charges'!$I:$I,'Nursing Charges'!$A:$A,$A14,'Nursing Charges'!$C:$C,16))</f>
        <v/>
      </c>
      <c r="FE14" s="12" t="str">
        <f>IF($A14="","",FB14+(FD14-SUMIFS('Nursing Charges'!$J:$J,'Nursing Charges'!$A:$A,$A14,'Nursing Charges'!$C:$C,16))+(FC14-SUMIFS('Consumable Usage'!$F:$F,'Consumable Usage'!$A:$A,$A14,'Consumable Usage'!$D:$D,16)))</f>
        <v/>
      </c>
      <c r="FF14" s="12" t="str">
        <f t="shared" si="46"/>
        <v/>
      </c>
      <c r="FG14" s="20"/>
      <c r="FH14" s="12" t="str">
        <f t="shared" si="47"/>
        <v/>
      </c>
      <c r="FI14" s="45" t="str">
        <f t="shared" si="48"/>
        <v/>
      </c>
      <c r="FJ14" s="53"/>
      <c r="FK14" s="53"/>
      <c r="FL14" s="63"/>
      <c r="FM14" s="63" t="str">
        <f>IF($A14="","",SUMIFS('Consumable Usage'!$E:$E,'Consumable Usage'!$A:$A,$A14,'Consumable Usage'!$D:$D,16))</f>
        <v/>
      </c>
      <c r="FN14" s="63" t="str">
        <f>IF($A14="","",SUMIFS('Nursing Charges'!$I:$I,'Nursing Charges'!$A:$A,$A14,'Nursing Charges'!$C:$C,16))</f>
        <v/>
      </c>
      <c r="FO14" s="63" t="str">
        <f>IF($A14="","",FL14+(FN14-SUMIFS('Nursing Charges'!$J:$J,'Nursing Charges'!$A:$A,$A14,'Nursing Charges'!$C:$C,16))+(FM14-SUMIFS('Consumable Usage'!$F:$F,'Consumable Usage'!$A:$A,$A14,'Consumable Usage'!$D:$D,16)))</f>
        <v/>
      </c>
      <c r="FP14" s="63" t="str">
        <f t="shared" si="49"/>
        <v/>
      </c>
      <c r="FQ14" s="63"/>
      <c r="FR14" s="63" t="str">
        <f t="shared" si="50"/>
        <v/>
      </c>
      <c r="FS14" s="53" t="str">
        <f t="shared" si="51"/>
        <v/>
      </c>
    </row>
    <row r="15" ht="15.0" customHeight="1">
      <c r="A15" s="68" t="s">
        <v>171</v>
      </c>
      <c r="B15" s="69" t="s">
        <v>172</v>
      </c>
      <c r="C15" s="68" t="s">
        <v>97</v>
      </c>
      <c r="D15" s="70" t="s">
        <v>173</v>
      </c>
      <c r="E15" s="71" t="s">
        <v>174</v>
      </c>
      <c r="F15" s="69"/>
      <c r="G15" s="15"/>
      <c r="H15" s="20"/>
      <c r="I15" s="12">
        <f>IF($A15="","",SUMIFS('Consumable Usage'!$E:$E,'Consumable Usage'!$A:$A,$A15,'Consumable Usage'!$D:$D,1))</f>
        <v>0</v>
      </c>
      <c r="J15" s="12">
        <f>IF($A15="","",SUMIFS('Nursing Charges'!$I:$I,'Nursing Charges'!$A:$A,$A15,'Nursing Charges'!$C:$C,1))</f>
        <v>0</v>
      </c>
      <c r="K15" s="12">
        <f>IF($A15="","",H15+(J15-SUMIFS('Nursing Charges'!$J:$J,'Nursing Charges'!$A:$A,$A15,'Nursing Charges'!$C:$C,1))+(I15-SUMIFS('Consumable Usage'!$F:$F,'Consumable Usage'!$A:$A,$A15,'Consumable Usage'!$D:$D,1)))</f>
        <v>0</v>
      </c>
      <c r="L15" s="12">
        <f t="shared" si="1"/>
        <v>0</v>
      </c>
      <c r="M15" s="20"/>
      <c r="N15" s="12">
        <f t="shared" si="2"/>
        <v>0</v>
      </c>
      <c r="O15" s="45" t="str">
        <f t="shared" si="3"/>
        <v/>
      </c>
      <c r="P15" s="15"/>
      <c r="Q15" s="15"/>
      <c r="R15" s="20"/>
      <c r="S15" s="12">
        <f>IF($A15="","",SUMIFS('Consumable Usage'!$E:$E,'Consumable Usage'!$A:$A,$A15,'Consumable Usage'!$D:$D,2))</f>
        <v>0</v>
      </c>
      <c r="T15" s="12">
        <f>IF($A15="","",SUMIFS('Nursing Charges'!$I:$I,'Nursing Charges'!$A:$A,$A15,'Nursing Charges'!$C:$C,2))</f>
        <v>0</v>
      </c>
      <c r="U15" s="12">
        <f>IF($A15="","",R15+(T15-SUMIFS('Nursing Charges'!$J:$J,'Nursing Charges'!$A:$A,$A15,'Nursing Charges'!$C:$C,2))+(S15-SUMIFS('Consumable Usage'!$F:$F,'Consumable Usage'!$A:$A,$A15,'Consumable Usage'!$D:$D,2)))</f>
        <v>0</v>
      </c>
      <c r="V15" s="12">
        <f t="shared" si="4"/>
        <v>0</v>
      </c>
      <c r="W15" s="20"/>
      <c r="X15" s="12">
        <f t="shared" si="5"/>
        <v>0</v>
      </c>
      <c r="Y15" s="45" t="str">
        <f t="shared" si="6"/>
        <v/>
      </c>
      <c r="Z15" s="15"/>
      <c r="AA15" s="15"/>
      <c r="AB15" s="20"/>
      <c r="AC15" s="12">
        <f>IF($A15="","",SUMIFS('Consumable Usage'!$E:$E,'Consumable Usage'!$A:$A,$A15,'Consumable Usage'!$D:$D,3))</f>
        <v>0</v>
      </c>
      <c r="AD15" s="12">
        <f>IF($A15="","",SUMIFS('Nursing Charges'!$I:$I,'Nursing Charges'!$A:$A,$A15,'Nursing Charges'!$C:$C,3))</f>
        <v>0</v>
      </c>
      <c r="AE15" s="12">
        <f>IF($A15="","",AB15+(AD15-SUMIFS('Nursing Charges'!$J:$J,'Nursing Charges'!$A:$A,$A15,'Nursing Charges'!$C:$C,3))+(AC15-SUMIFS('Consumable Usage'!$F:$F,'Consumable Usage'!$A:$A,$A15,'Consumable Usage'!$D:$D,3)))</f>
        <v>0</v>
      </c>
      <c r="AF15" s="12">
        <f t="shared" si="7"/>
        <v>0</v>
      </c>
      <c r="AG15" s="20"/>
      <c r="AH15" s="12">
        <f t="shared" si="8"/>
        <v>0</v>
      </c>
      <c r="AI15" s="45" t="str">
        <f t="shared" si="9"/>
        <v/>
      </c>
      <c r="AJ15" s="15"/>
      <c r="AK15" s="15"/>
      <c r="AL15" s="20"/>
      <c r="AM15" s="12">
        <f>IF($A15="","",SUMIFS('Consumable Usage'!$E:$E,'Consumable Usage'!$A:$A,$A15,'Consumable Usage'!$D:$D,4))</f>
        <v>0</v>
      </c>
      <c r="AN15" s="12">
        <f>IF($A15="","",SUMIFS('Nursing Charges'!$I:$I,'Nursing Charges'!$A:$A,$A15,'Nursing Charges'!$C:$C,4))</f>
        <v>0</v>
      </c>
      <c r="AO15" s="12">
        <f>IF($A15="","",AL15+(AN15-SUMIFS('Nursing Charges'!$J:$J,'Nursing Charges'!$A:$A,$A15,'Nursing Charges'!$C:$C,4))+(AM15-SUMIFS('Consumable Usage'!$F:$F,'Consumable Usage'!$A:$A,$A15,'Consumable Usage'!$D:$D,4)))</f>
        <v>0</v>
      </c>
      <c r="AP15" s="12">
        <f t="shared" si="10"/>
        <v>0</v>
      </c>
      <c r="AQ15" s="20"/>
      <c r="AR15" s="12">
        <f t="shared" si="11"/>
        <v>0</v>
      </c>
      <c r="AS15" s="45" t="str">
        <f t="shared" si="12"/>
        <v/>
      </c>
      <c r="AT15" s="15"/>
      <c r="AU15" s="15"/>
      <c r="AV15" s="20"/>
      <c r="AW15" s="12">
        <f>IF($A15="","",SUMIFS('Consumable Usage'!$E:$E,'Consumable Usage'!$A:$A,$A15,'Consumable Usage'!$D:$D,5))</f>
        <v>0</v>
      </c>
      <c r="AX15" s="12">
        <f>IF($A15="","",SUMIFS('Nursing Charges'!$I:$I,'Nursing Charges'!$A:$A,$A15,'Nursing Charges'!$C:$C,5))</f>
        <v>0</v>
      </c>
      <c r="AY15" s="12">
        <f>IF($A15="","",AV15+(AX15-SUMIFS('Nursing Charges'!$J:$J,'Nursing Charges'!$A:$A,$A15,'Nursing Charges'!$C:$C,5))+(AW15-SUMIFS('Consumable Usage'!$F:$F,'Consumable Usage'!$A:$A,$A15,'Consumable Usage'!$D:$D,5)))</f>
        <v>0</v>
      </c>
      <c r="AZ15" s="12">
        <f t="shared" si="13"/>
        <v>0</v>
      </c>
      <c r="BA15" s="20"/>
      <c r="BB15" s="12">
        <f t="shared" si="14"/>
        <v>0</v>
      </c>
      <c r="BC15" s="45" t="str">
        <f t="shared" si="15"/>
        <v/>
      </c>
      <c r="BD15" s="15"/>
      <c r="BE15" s="15"/>
      <c r="BF15" s="20"/>
      <c r="BG15" s="12">
        <f>IF($A15="","",SUMIFS('Consumable Usage'!$E:$E,'Consumable Usage'!$A:$A,$A15,'Consumable Usage'!$D:$D,6))</f>
        <v>0</v>
      </c>
      <c r="BH15" s="12">
        <f>IF($A15="","",SUMIFS('Nursing Charges'!$I:$I,'Nursing Charges'!$A:$A,$A15,'Nursing Charges'!$C:$C,6))</f>
        <v>0</v>
      </c>
      <c r="BI15" s="12">
        <f>IF($A15="","",BF15+(BH15-SUMIFS('Nursing Charges'!$J:$J,'Nursing Charges'!$A:$A,$A15,'Nursing Charges'!$C:$C,6))+(BG15-SUMIFS('Consumable Usage'!$F:$F,'Consumable Usage'!$A:$A,$A15,'Consumable Usage'!$D:$D,6)))</f>
        <v>0</v>
      </c>
      <c r="BJ15" s="12">
        <f t="shared" si="16"/>
        <v>0</v>
      </c>
      <c r="BK15" s="20"/>
      <c r="BL15" s="12">
        <f t="shared" si="17"/>
        <v>0</v>
      </c>
      <c r="BM15" s="45" t="str">
        <f t="shared" si="18"/>
        <v/>
      </c>
      <c r="BN15" s="15"/>
      <c r="BO15" s="15"/>
      <c r="BP15" s="20"/>
      <c r="BQ15" s="12">
        <f>IF($A15="","",SUMIFS('Consumable Usage'!$E:$E,'Consumable Usage'!$A:$A,$A15,'Consumable Usage'!$D:$D,7))</f>
        <v>0</v>
      </c>
      <c r="BR15" s="12">
        <f>IF($A15="","",SUMIFS('Nursing Charges'!$I:$I,'Nursing Charges'!$A:$A,$A15,'Nursing Charges'!$C:$C,7))</f>
        <v>0</v>
      </c>
      <c r="BS15" s="12">
        <f>IF($A15="","",BP15+(BR15-SUMIFS('Nursing Charges'!$J:$J,'Nursing Charges'!$A:$A,$A15,'Nursing Charges'!$C:$C,7))+(BQ15-SUMIFS('Consumable Usage'!$F:$F,'Consumable Usage'!$A:$A,$A15,'Consumable Usage'!$D:$D,7)))</f>
        <v>0</v>
      </c>
      <c r="BT15" s="12">
        <f t="shared" si="19"/>
        <v>0</v>
      </c>
      <c r="BU15" s="20"/>
      <c r="BV15" s="12">
        <f t="shared" si="20"/>
        <v>0</v>
      </c>
      <c r="BW15" s="45" t="str">
        <f t="shared" si="21"/>
        <v/>
      </c>
      <c r="BX15" s="15"/>
      <c r="BY15" s="15"/>
      <c r="BZ15" s="20"/>
      <c r="CA15" s="12">
        <f>IF($A15="","",SUMIFS('Consumable Usage'!$E:$E,'Consumable Usage'!$A:$A,$A15,'Consumable Usage'!$D:$D,8))</f>
        <v>0</v>
      </c>
      <c r="CB15" s="12">
        <f>IF($A15="","",SUMIFS('Nursing Charges'!$I:$I,'Nursing Charges'!$A:$A,$A15,'Nursing Charges'!$C:$C,8))</f>
        <v>0</v>
      </c>
      <c r="CC15" s="12">
        <f>IF($A15="","",BZ15+(CB15-SUMIFS('Nursing Charges'!$J:$J,'Nursing Charges'!$A:$A,$A15,'Nursing Charges'!$C:$C,8))+(CA15-SUMIFS('Consumable Usage'!$F:$F,'Consumable Usage'!$A:$A,$A15,'Consumable Usage'!$D:$D,8)))</f>
        <v>0</v>
      </c>
      <c r="CD15" s="12">
        <f t="shared" si="22"/>
        <v>0</v>
      </c>
      <c r="CE15" s="20"/>
      <c r="CF15" s="12">
        <f t="shared" si="23"/>
        <v>0</v>
      </c>
      <c r="CG15" s="45" t="str">
        <f t="shared" si="24"/>
        <v/>
      </c>
      <c r="CH15" s="15"/>
      <c r="CI15" s="15"/>
      <c r="CJ15" s="20"/>
      <c r="CK15" s="12">
        <f>IF($A15="","",SUMIFS('Consumable Usage'!$E:$E,'Consumable Usage'!$A:$A,$A15,'Consumable Usage'!$D:$D,9))</f>
        <v>0</v>
      </c>
      <c r="CL15" s="12">
        <f>IF($A15="","",SUMIFS('Nursing Charges'!$I:$I,'Nursing Charges'!$A:$A,$A15,'Nursing Charges'!$C:$C,9))</f>
        <v>0</v>
      </c>
      <c r="CM15" s="12">
        <f>IF($A15="","",CJ15+(CL15-SUMIFS('Nursing Charges'!$J:$J,'Nursing Charges'!$A:$A,$A15,'Nursing Charges'!$C:$C,9))+(CK15-SUMIFS('Consumable Usage'!$F:$F,'Consumable Usage'!$A:$A,$A15,'Consumable Usage'!$D:$D,9)))</f>
        <v>0</v>
      </c>
      <c r="CN15" s="12">
        <f t="shared" si="25"/>
        <v>0</v>
      </c>
      <c r="CO15" s="20"/>
      <c r="CP15" s="12">
        <f t="shared" si="26"/>
        <v>0</v>
      </c>
      <c r="CQ15" s="45" t="str">
        <f t="shared" si="27"/>
        <v/>
      </c>
      <c r="CR15" s="15"/>
      <c r="CS15" s="15"/>
      <c r="CT15" s="20"/>
      <c r="CU15" s="12">
        <f>IF($A15="","",SUMIFS('Consumable Usage'!$E:$E,'Consumable Usage'!$A:$A,$A15,'Consumable Usage'!$D:$D,10))</f>
        <v>0</v>
      </c>
      <c r="CV15" s="12">
        <f>IF($A15="","",SUMIFS('Nursing Charges'!$I:$I,'Nursing Charges'!$A:$A,$A15,'Nursing Charges'!$C:$C,10))</f>
        <v>0</v>
      </c>
      <c r="CW15" s="12">
        <f>IF($A15="","",CT15+(CV15-SUMIFS('Nursing Charges'!$J:$J,'Nursing Charges'!$A:$A,$A15,'Nursing Charges'!$C:$C,10))+(CU15-SUMIFS('Consumable Usage'!$F:$F,'Consumable Usage'!$A:$A,$A15,'Consumable Usage'!$D:$D,10)))</f>
        <v>0</v>
      </c>
      <c r="CX15" s="12">
        <f t="shared" si="28"/>
        <v>0</v>
      </c>
      <c r="CY15" s="20"/>
      <c r="CZ15" s="12">
        <f t="shared" si="29"/>
        <v>0</v>
      </c>
      <c r="DA15" s="45" t="str">
        <f t="shared" si="30"/>
        <v/>
      </c>
      <c r="DB15" s="15"/>
      <c r="DC15" s="15"/>
      <c r="DD15" s="20"/>
      <c r="DE15" s="12">
        <f>IF($A15="","",SUMIFS('Consumable Usage'!$E:$E,'Consumable Usage'!$A:$A,$A15,'Consumable Usage'!$D:$D,11))</f>
        <v>0</v>
      </c>
      <c r="DF15" s="12">
        <f>IF($A15="","",SUMIFS('Nursing Charges'!$I:$I,'Nursing Charges'!$A:$A,$A15,'Nursing Charges'!$C:$C,11))</f>
        <v>0</v>
      </c>
      <c r="DG15" s="12">
        <f>IF($A15="","",DD15+(DF15-SUMIFS('Nursing Charges'!$J:$J,'Nursing Charges'!$A:$A,$A15,'Nursing Charges'!$C:$C,11))+(DE15-SUMIFS('Consumable Usage'!$F:$F,'Consumable Usage'!$A:$A,$A15,'Consumable Usage'!$D:$D,11)))</f>
        <v>0</v>
      </c>
      <c r="DH15" s="12">
        <f t="shared" si="31"/>
        <v>0</v>
      </c>
      <c r="DI15" s="20"/>
      <c r="DJ15" s="12">
        <f t="shared" si="32"/>
        <v>0</v>
      </c>
      <c r="DK15" s="45" t="str">
        <f t="shared" si="33"/>
        <v/>
      </c>
      <c r="DL15" s="15"/>
      <c r="DM15" s="15"/>
      <c r="DN15" s="20"/>
      <c r="DO15" s="12">
        <f>IF($A15="","",SUMIFS('Consumable Usage'!$E:$E,'Consumable Usage'!$A:$A,$A15,'Consumable Usage'!$D:$D,12))</f>
        <v>0</v>
      </c>
      <c r="DP15" s="12">
        <f>IF($A15="","",SUMIFS('Nursing Charges'!$I:$I,'Nursing Charges'!$A:$A,$A15,'Nursing Charges'!$C:$C,12))</f>
        <v>0</v>
      </c>
      <c r="DQ15" s="12">
        <f>IF($A15="","",DN15+(DP15-SUMIFS('Nursing Charges'!$J:$J,'Nursing Charges'!$A:$A,$A15,'Nursing Charges'!$C:$C,12))+(DO15-SUMIFS('Consumable Usage'!$F:$F,'Consumable Usage'!$A:$A,$A15,'Consumable Usage'!$D:$D,12)))</f>
        <v>0</v>
      </c>
      <c r="DR15" s="12">
        <f t="shared" si="34"/>
        <v>0</v>
      </c>
      <c r="DS15" s="20"/>
      <c r="DT15" s="12">
        <f t="shared" si="35"/>
        <v>0</v>
      </c>
      <c r="DU15" s="45" t="str">
        <f t="shared" si="36"/>
        <v/>
      </c>
      <c r="DV15" s="15"/>
      <c r="DW15" s="15"/>
      <c r="DX15" s="20"/>
      <c r="DY15" s="12">
        <f>IF($A15="","",SUMIFS('Consumable Usage'!$E:$E,'Consumable Usage'!$A:$A,$A15,'Consumable Usage'!$D:$D,13))</f>
        <v>0</v>
      </c>
      <c r="DZ15" s="12">
        <f>IF($A15="","",SUMIFS('Nursing Charges'!$I:$I,'Nursing Charges'!$A:$A,$A15,'Nursing Charges'!$C:$C,13))</f>
        <v>0</v>
      </c>
      <c r="EA15" s="12">
        <f>IF($A15="","",DX15+(DZ15-SUMIFS('Nursing Charges'!$J:$J,'Nursing Charges'!$A:$A,$A15,'Nursing Charges'!$C:$C,13))+(DY15-SUMIFS('Consumable Usage'!$F:$F,'Consumable Usage'!$A:$A,$A15,'Consumable Usage'!$D:$D,13)))</f>
        <v>0</v>
      </c>
      <c r="EB15" s="12">
        <f t="shared" si="37"/>
        <v>0</v>
      </c>
      <c r="EC15" s="20"/>
      <c r="ED15" s="12">
        <f t="shared" si="38"/>
        <v>0</v>
      </c>
      <c r="EE15" s="45" t="str">
        <f t="shared" si="39"/>
        <v/>
      </c>
      <c r="EF15" s="15"/>
      <c r="EG15" s="15"/>
      <c r="EH15" s="20"/>
      <c r="EI15" s="12">
        <f>IF($A15="","",SUMIFS('Consumable Usage'!$E:$E,'Consumable Usage'!$A:$A,$A15,'Consumable Usage'!$D:$D,14))</f>
        <v>0</v>
      </c>
      <c r="EJ15" s="12">
        <f>IF($A15="","",SUMIFS('Nursing Charges'!$I:$I,'Nursing Charges'!$A:$A,$A15,'Nursing Charges'!$C:$C,14))</f>
        <v>0</v>
      </c>
      <c r="EK15" s="12">
        <f>IF($A15="","",EH15+(EJ15-SUMIFS('Nursing Charges'!$J:$J,'Nursing Charges'!$A:$A,$A15,'Nursing Charges'!$C:$C,14))+(EI15-SUMIFS('Consumable Usage'!$F:$F,'Consumable Usage'!$A:$A,$A15,'Consumable Usage'!$D:$D,14)))</f>
        <v>0</v>
      </c>
      <c r="EL15" s="12">
        <f t="shared" si="40"/>
        <v>0</v>
      </c>
      <c r="EM15" s="20"/>
      <c r="EN15" s="12">
        <f t="shared" si="41"/>
        <v>0</v>
      </c>
      <c r="EO15" s="45" t="str">
        <f t="shared" si="42"/>
        <v/>
      </c>
      <c r="EP15" s="15"/>
      <c r="EQ15" s="15"/>
      <c r="ER15" s="20"/>
      <c r="ES15" s="12">
        <f>IF($A15="","",SUMIFS('Consumable Usage'!$E:$E,'Consumable Usage'!$A:$A,$A15,'Consumable Usage'!$D:$D,15))</f>
        <v>0</v>
      </c>
      <c r="ET15" s="12">
        <f>IF($A15="","",SUMIFS('Nursing Charges'!$I:$I,'Nursing Charges'!$A:$A,$A15,'Nursing Charges'!$C:$C,15))</f>
        <v>0</v>
      </c>
      <c r="EU15" s="12">
        <f>IF($A15="","",ER15+(ET15-SUMIFS('Nursing Charges'!$J:$J,'Nursing Charges'!$A:$A,$A15,'Nursing Charges'!$C:$C,15))+(ES15-SUMIFS('Consumable Usage'!$F:$F,'Consumable Usage'!$A:$A,$A15,'Consumable Usage'!$D:$D,15)))</f>
        <v>0</v>
      </c>
      <c r="EV15" s="12">
        <f t="shared" si="43"/>
        <v>0</v>
      </c>
      <c r="EW15" s="20"/>
      <c r="EX15" s="12">
        <f t="shared" si="44"/>
        <v>0</v>
      </c>
      <c r="EY15" s="45" t="str">
        <f t="shared" si="45"/>
        <v/>
      </c>
      <c r="EZ15" s="15"/>
      <c r="FA15" s="15"/>
      <c r="FB15" s="20"/>
      <c r="FC15" s="12">
        <f>IF($A15="","",SUMIFS('Consumable Usage'!$E:$E,'Consumable Usage'!$A:$A,$A15,'Consumable Usage'!$D:$D,16))</f>
        <v>0</v>
      </c>
      <c r="FD15" s="12">
        <f>IF($A15="","",SUMIFS('Nursing Charges'!$I:$I,'Nursing Charges'!$A:$A,$A15,'Nursing Charges'!$C:$C,16))</f>
        <v>0</v>
      </c>
      <c r="FE15" s="12">
        <f>IF($A15="","",FB15+(FD15-SUMIFS('Nursing Charges'!$J:$J,'Nursing Charges'!$A:$A,$A15,'Nursing Charges'!$C:$C,16))+(FC15-SUMIFS('Consumable Usage'!$F:$F,'Consumable Usage'!$A:$A,$A15,'Consumable Usage'!$D:$D,16)))</f>
        <v>0</v>
      </c>
      <c r="FF15" s="12">
        <f t="shared" si="46"/>
        <v>0</v>
      </c>
      <c r="FG15" s="20"/>
      <c r="FH15" s="12">
        <f t="shared" si="47"/>
        <v>0</v>
      </c>
      <c r="FI15" s="45" t="str">
        <f t="shared" si="48"/>
        <v/>
      </c>
      <c r="FJ15" s="53"/>
      <c r="FK15" s="53"/>
      <c r="FL15" s="63"/>
      <c r="FM15" s="63">
        <f>IF($A15="","",SUMIFS('Consumable Usage'!$E:$E,'Consumable Usage'!$A:$A,$A15,'Consumable Usage'!$D:$D,16))</f>
        <v>0</v>
      </c>
      <c r="FN15" s="63">
        <f>IF($A15="","",SUMIFS('Nursing Charges'!$I:$I,'Nursing Charges'!$A:$A,$A15,'Nursing Charges'!$C:$C,16))</f>
        <v>0</v>
      </c>
      <c r="FO15" s="63">
        <f>IF($A15="","",FL15+(FN15-SUMIFS('Nursing Charges'!$J:$J,'Nursing Charges'!$A:$A,$A15,'Nursing Charges'!$C:$C,16))+(FM15-SUMIFS('Consumable Usage'!$F:$F,'Consumable Usage'!$A:$A,$A15,'Consumable Usage'!$D:$D,16)))</f>
        <v>0</v>
      </c>
      <c r="FP15" s="63">
        <f t="shared" si="49"/>
        <v>0</v>
      </c>
      <c r="FQ15" s="63"/>
      <c r="FR15" s="63">
        <f t="shared" si="50"/>
        <v>0</v>
      </c>
      <c r="FS15" s="53" t="str">
        <f t="shared" si="51"/>
        <v/>
      </c>
    </row>
    <row r="16" ht="15.0" customHeight="1">
      <c r="A16" s="41" t="s">
        <v>175</v>
      </c>
      <c r="B16" s="42" t="s">
        <v>176</v>
      </c>
      <c r="C16" s="41" t="s">
        <v>167</v>
      </c>
      <c r="D16" s="43" t="s">
        <v>177</v>
      </c>
      <c r="E16" s="44" t="s">
        <v>178</v>
      </c>
      <c r="F16" s="42"/>
      <c r="G16" s="15"/>
      <c r="H16" s="20"/>
      <c r="I16" s="12">
        <f>IF($A16="","",SUMIFS('Consumable Usage'!$E:$E,'Consumable Usage'!$A:$A,$A16,'Consumable Usage'!$D:$D,1))</f>
        <v>0</v>
      </c>
      <c r="J16" s="12">
        <f>IF($A16="","",SUMIFS('Nursing Charges'!$I:$I,'Nursing Charges'!$A:$A,$A16,'Nursing Charges'!$C:$C,1))</f>
        <v>0</v>
      </c>
      <c r="K16" s="12">
        <f>IF($A16="","",H16+(J16-SUMIFS('Nursing Charges'!$J:$J,'Nursing Charges'!$A:$A,$A16,'Nursing Charges'!$C:$C,1))+(I16-SUMIFS('Consumable Usage'!$F:$F,'Consumable Usage'!$A:$A,$A16,'Consumable Usage'!$D:$D,1)))</f>
        <v>0</v>
      </c>
      <c r="L16" s="12">
        <f t="shared" si="1"/>
        <v>0</v>
      </c>
      <c r="M16" s="20"/>
      <c r="N16" s="12">
        <f t="shared" si="2"/>
        <v>0</v>
      </c>
      <c r="O16" s="45" t="str">
        <f t="shared" si="3"/>
        <v/>
      </c>
      <c r="P16" s="15"/>
      <c r="Q16" s="15"/>
      <c r="R16" s="20"/>
      <c r="S16" s="12">
        <f>IF($A16="","",SUMIFS('Consumable Usage'!$E:$E,'Consumable Usage'!$A:$A,$A16,'Consumable Usage'!$D:$D,2))</f>
        <v>0</v>
      </c>
      <c r="T16" s="12">
        <f>IF($A16="","",SUMIFS('Nursing Charges'!$I:$I,'Nursing Charges'!$A:$A,$A16,'Nursing Charges'!$C:$C,2))</f>
        <v>0</v>
      </c>
      <c r="U16" s="12">
        <f>IF($A16="","",R16+(T16-SUMIFS('Nursing Charges'!$J:$J,'Nursing Charges'!$A:$A,$A16,'Nursing Charges'!$C:$C,2))+(S16-SUMIFS('Consumable Usage'!$F:$F,'Consumable Usage'!$A:$A,$A16,'Consumable Usage'!$D:$D,2)))</f>
        <v>0</v>
      </c>
      <c r="V16" s="12">
        <f t="shared" si="4"/>
        <v>0</v>
      </c>
      <c r="W16" s="20"/>
      <c r="X16" s="12">
        <f t="shared" si="5"/>
        <v>0</v>
      </c>
      <c r="Y16" s="45" t="str">
        <f t="shared" si="6"/>
        <v/>
      </c>
      <c r="Z16" s="15"/>
      <c r="AA16" s="15"/>
      <c r="AB16" s="20"/>
      <c r="AC16" s="12">
        <f>IF($A16="","",SUMIFS('Consumable Usage'!$E:$E,'Consumable Usage'!$A:$A,$A16,'Consumable Usage'!$D:$D,3))</f>
        <v>0</v>
      </c>
      <c r="AD16" s="12">
        <f>IF($A16="","",SUMIFS('Nursing Charges'!$I:$I,'Nursing Charges'!$A:$A,$A16,'Nursing Charges'!$C:$C,3))</f>
        <v>0</v>
      </c>
      <c r="AE16" s="12">
        <f>IF($A16="","",AB16+(AD16-SUMIFS('Nursing Charges'!$J:$J,'Nursing Charges'!$A:$A,$A16,'Nursing Charges'!$C:$C,3))+(AC16-SUMIFS('Consumable Usage'!$F:$F,'Consumable Usage'!$A:$A,$A16,'Consumable Usage'!$D:$D,3)))</f>
        <v>0</v>
      </c>
      <c r="AF16" s="12">
        <f t="shared" si="7"/>
        <v>0</v>
      </c>
      <c r="AG16" s="20"/>
      <c r="AH16" s="12">
        <f t="shared" si="8"/>
        <v>0</v>
      </c>
      <c r="AI16" s="45" t="str">
        <f t="shared" si="9"/>
        <v/>
      </c>
      <c r="AJ16" s="15"/>
      <c r="AK16" s="15"/>
      <c r="AL16" s="20"/>
      <c r="AM16" s="12">
        <f>IF($A16="","",SUMIFS('Consumable Usage'!$E:$E,'Consumable Usage'!$A:$A,$A16,'Consumable Usage'!$D:$D,4))</f>
        <v>0</v>
      </c>
      <c r="AN16" s="12">
        <f>IF($A16="","",SUMIFS('Nursing Charges'!$I:$I,'Nursing Charges'!$A:$A,$A16,'Nursing Charges'!$C:$C,4))</f>
        <v>0</v>
      </c>
      <c r="AO16" s="12">
        <f>IF($A16="","",AL16+(AN16-SUMIFS('Nursing Charges'!$J:$J,'Nursing Charges'!$A:$A,$A16,'Nursing Charges'!$C:$C,4))+(AM16-SUMIFS('Consumable Usage'!$F:$F,'Consumable Usage'!$A:$A,$A16,'Consumable Usage'!$D:$D,4)))</f>
        <v>0</v>
      </c>
      <c r="AP16" s="12">
        <f t="shared" si="10"/>
        <v>0</v>
      </c>
      <c r="AQ16" s="20"/>
      <c r="AR16" s="12">
        <f t="shared" si="11"/>
        <v>0</v>
      </c>
      <c r="AS16" s="45" t="str">
        <f t="shared" si="12"/>
        <v/>
      </c>
      <c r="AT16" s="15"/>
      <c r="AU16" s="15"/>
      <c r="AV16" s="20"/>
      <c r="AW16" s="12">
        <f>IF($A16="","",SUMIFS('Consumable Usage'!$E:$E,'Consumable Usage'!$A:$A,$A16,'Consumable Usage'!$D:$D,5))</f>
        <v>0</v>
      </c>
      <c r="AX16" s="12">
        <f>IF($A16="","",SUMIFS('Nursing Charges'!$I:$I,'Nursing Charges'!$A:$A,$A16,'Nursing Charges'!$C:$C,5))</f>
        <v>0</v>
      </c>
      <c r="AY16" s="12">
        <f>IF($A16="","",AV16+(AX16-SUMIFS('Nursing Charges'!$J:$J,'Nursing Charges'!$A:$A,$A16,'Nursing Charges'!$C:$C,5))+(AW16-SUMIFS('Consumable Usage'!$F:$F,'Consumable Usage'!$A:$A,$A16,'Consumable Usage'!$D:$D,5)))</f>
        <v>0</v>
      </c>
      <c r="AZ16" s="12">
        <f t="shared" si="13"/>
        <v>0</v>
      </c>
      <c r="BA16" s="20"/>
      <c r="BB16" s="12">
        <f t="shared" si="14"/>
        <v>0</v>
      </c>
      <c r="BC16" s="45" t="str">
        <f t="shared" si="15"/>
        <v/>
      </c>
      <c r="BD16" s="15"/>
      <c r="BE16" s="15"/>
      <c r="BF16" s="20"/>
      <c r="BG16" s="12">
        <f>IF($A16="","",SUMIFS('Consumable Usage'!$E:$E,'Consumable Usage'!$A:$A,$A16,'Consumable Usage'!$D:$D,6))</f>
        <v>0</v>
      </c>
      <c r="BH16" s="12">
        <f>IF($A16="","",SUMIFS('Nursing Charges'!$I:$I,'Nursing Charges'!$A:$A,$A16,'Nursing Charges'!$C:$C,6))</f>
        <v>0</v>
      </c>
      <c r="BI16" s="12">
        <f>IF($A16="","",BF16+(BH16-SUMIFS('Nursing Charges'!$J:$J,'Nursing Charges'!$A:$A,$A16,'Nursing Charges'!$C:$C,6))+(BG16-SUMIFS('Consumable Usage'!$F:$F,'Consumable Usage'!$A:$A,$A16,'Consumable Usage'!$D:$D,6)))</f>
        <v>0</v>
      </c>
      <c r="BJ16" s="12">
        <f t="shared" si="16"/>
        <v>0</v>
      </c>
      <c r="BK16" s="20"/>
      <c r="BL16" s="12">
        <f t="shared" si="17"/>
        <v>0</v>
      </c>
      <c r="BM16" s="45" t="str">
        <f t="shared" si="18"/>
        <v/>
      </c>
      <c r="BN16" s="15"/>
      <c r="BO16" s="15"/>
      <c r="BP16" s="20"/>
      <c r="BQ16" s="12">
        <f>IF($A16="","",SUMIFS('Consumable Usage'!$E:$E,'Consumable Usage'!$A:$A,$A16,'Consumable Usage'!$D:$D,7))</f>
        <v>0</v>
      </c>
      <c r="BR16" s="12">
        <f>IF($A16="","",SUMIFS('Nursing Charges'!$I:$I,'Nursing Charges'!$A:$A,$A16,'Nursing Charges'!$C:$C,7))</f>
        <v>0</v>
      </c>
      <c r="BS16" s="12">
        <f>IF($A16="","",BP16+(BR16-SUMIFS('Nursing Charges'!$J:$J,'Nursing Charges'!$A:$A,$A16,'Nursing Charges'!$C:$C,7))+(BQ16-SUMIFS('Consumable Usage'!$F:$F,'Consumable Usage'!$A:$A,$A16,'Consumable Usage'!$D:$D,7)))</f>
        <v>0</v>
      </c>
      <c r="BT16" s="12">
        <f t="shared" si="19"/>
        <v>0</v>
      </c>
      <c r="BU16" s="20"/>
      <c r="BV16" s="12">
        <f t="shared" si="20"/>
        <v>0</v>
      </c>
      <c r="BW16" s="45" t="str">
        <f t="shared" si="21"/>
        <v/>
      </c>
      <c r="BX16" s="15"/>
      <c r="BY16" s="15"/>
      <c r="BZ16" s="20"/>
      <c r="CA16" s="12">
        <f>IF($A16="","",SUMIFS('Consumable Usage'!$E:$E,'Consumable Usage'!$A:$A,$A16,'Consumable Usage'!$D:$D,8))</f>
        <v>0</v>
      </c>
      <c r="CB16" s="12">
        <f>IF($A16="","",SUMIFS('Nursing Charges'!$I:$I,'Nursing Charges'!$A:$A,$A16,'Nursing Charges'!$C:$C,8))</f>
        <v>0</v>
      </c>
      <c r="CC16" s="12">
        <f>IF($A16="","",BZ16+(CB16-SUMIFS('Nursing Charges'!$J:$J,'Nursing Charges'!$A:$A,$A16,'Nursing Charges'!$C:$C,8))+(CA16-SUMIFS('Consumable Usage'!$F:$F,'Consumable Usage'!$A:$A,$A16,'Consumable Usage'!$D:$D,8)))</f>
        <v>0</v>
      </c>
      <c r="CD16" s="12">
        <f t="shared" si="22"/>
        <v>0</v>
      </c>
      <c r="CE16" s="20"/>
      <c r="CF16" s="12">
        <f t="shared" si="23"/>
        <v>0</v>
      </c>
      <c r="CG16" s="45" t="str">
        <f t="shared" si="24"/>
        <v/>
      </c>
      <c r="CH16" s="15"/>
      <c r="CI16" s="15"/>
      <c r="CJ16" s="20"/>
      <c r="CK16" s="12">
        <f>IF($A16="","",SUMIFS('Consumable Usage'!$E:$E,'Consumable Usage'!$A:$A,$A16,'Consumable Usage'!$D:$D,9))</f>
        <v>0</v>
      </c>
      <c r="CL16" s="12">
        <f>IF($A16="","",SUMIFS('Nursing Charges'!$I:$I,'Nursing Charges'!$A:$A,$A16,'Nursing Charges'!$C:$C,9))</f>
        <v>0</v>
      </c>
      <c r="CM16" s="12">
        <f>IF($A16="","",CJ16+(CL16-SUMIFS('Nursing Charges'!$J:$J,'Nursing Charges'!$A:$A,$A16,'Nursing Charges'!$C:$C,9))+(CK16-SUMIFS('Consumable Usage'!$F:$F,'Consumable Usage'!$A:$A,$A16,'Consumable Usage'!$D:$D,9)))</f>
        <v>0</v>
      </c>
      <c r="CN16" s="12">
        <f t="shared" si="25"/>
        <v>0</v>
      </c>
      <c r="CO16" s="20"/>
      <c r="CP16" s="12">
        <f t="shared" si="26"/>
        <v>0</v>
      </c>
      <c r="CQ16" s="45" t="str">
        <f t="shared" si="27"/>
        <v/>
      </c>
      <c r="CR16" s="15"/>
      <c r="CS16" s="15"/>
      <c r="CT16" s="20"/>
      <c r="CU16" s="12">
        <f>IF($A16="","",SUMIFS('Consumable Usage'!$E:$E,'Consumable Usage'!$A:$A,$A16,'Consumable Usage'!$D:$D,10))</f>
        <v>0</v>
      </c>
      <c r="CV16" s="12">
        <f>IF($A16="","",SUMIFS('Nursing Charges'!$I:$I,'Nursing Charges'!$A:$A,$A16,'Nursing Charges'!$C:$C,10))</f>
        <v>0</v>
      </c>
      <c r="CW16" s="12">
        <f>IF($A16="","",CT16+(CV16-SUMIFS('Nursing Charges'!$J:$J,'Nursing Charges'!$A:$A,$A16,'Nursing Charges'!$C:$C,10))+(CU16-SUMIFS('Consumable Usage'!$F:$F,'Consumable Usage'!$A:$A,$A16,'Consumable Usage'!$D:$D,10)))</f>
        <v>0</v>
      </c>
      <c r="CX16" s="12">
        <f t="shared" si="28"/>
        <v>0</v>
      </c>
      <c r="CY16" s="20"/>
      <c r="CZ16" s="12">
        <f t="shared" si="29"/>
        <v>0</v>
      </c>
      <c r="DA16" s="45" t="str">
        <f t="shared" si="30"/>
        <v/>
      </c>
      <c r="DB16" s="15"/>
      <c r="DC16" s="15"/>
      <c r="DD16" s="20"/>
      <c r="DE16" s="12">
        <f>IF($A16="","",SUMIFS('Consumable Usage'!$E:$E,'Consumable Usage'!$A:$A,$A16,'Consumable Usage'!$D:$D,11))</f>
        <v>0</v>
      </c>
      <c r="DF16" s="12">
        <f>IF($A16="","",SUMIFS('Nursing Charges'!$I:$I,'Nursing Charges'!$A:$A,$A16,'Nursing Charges'!$C:$C,11))</f>
        <v>0</v>
      </c>
      <c r="DG16" s="12">
        <f>IF($A16="","",DD16+(DF16-SUMIFS('Nursing Charges'!$J:$J,'Nursing Charges'!$A:$A,$A16,'Nursing Charges'!$C:$C,11))+(DE16-SUMIFS('Consumable Usage'!$F:$F,'Consumable Usage'!$A:$A,$A16,'Consumable Usage'!$D:$D,11)))</f>
        <v>0</v>
      </c>
      <c r="DH16" s="12">
        <f t="shared" si="31"/>
        <v>0</v>
      </c>
      <c r="DI16" s="20"/>
      <c r="DJ16" s="12">
        <f t="shared" si="32"/>
        <v>0</v>
      </c>
      <c r="DK16" s="45" t="str">
        <f t="shared" si="33"/>
        <v/>
      </c>
      <c r="DL16" s="15"/>
      <c r="DM16" s="15"/>
      <c r="DN16" s="20"/>
      <c r="DO16" s="12">
        <f>IF($A16="","",SUMIFS('Consumable Usage'!$E:$E,'Consumable Usage'!$A:$A,$A16,'Consumable Usage'!$D:$D,12))</f>
        <v>0</v>
      </c>
      <c r="DP16" s="12">
        <f>IF($A16="","",SUMIFS('Nursing Charges'!$I:$I,'Nursing Charges'!$A:$A,$A16,'Nursing Charges'!$C:$C,12))</f>
        <v>0</v>
      </c>
      <c r="DQ16" s="12">
        <f>IF($A16="","",DN16+(DP16-SUMIFS('Nursing Charges'!$J:$J,'Nursing Charges'!$A:$A,$A16,'Nursing Charges'!$C:$C,12))+(DO16-SUMIFS('Consumable Usage'!$F:$F,'Consumable Usage'!$A:$A,$A16,'Consumable Usage'!$D:$D,12)))</f>
        <v>0</v>
      </c>
      <c r="DR16" s="12">
        <f t="shared" si="34"/>
        <v>0</v>
      </c>
      <c r="DS16" s="20"/>
      <c r="DT16" s="12">
        <f t="shared" si="35"/>
        <v>0</v>
      </c>
      <c r="DU16" s="45" t="str">
        <f t="shared" si="36"/>
        <v/>
      </c>
      <c r="DV16" s="15"/>
      <c r="DW16" s="15"/>
      <c r="DX16" s="20"/>
      <c r="DY16" s="12">
        <f>IF($A16="","",SUMIFS('Consumable Usage'!$E:$E,'Consumable Usage'!$A:$A,$A16,'Consumable Usage'!$D:$D,13))</f>
        <v>0</v>
      </c>
      <c r="DZ16" s="12">
        <f>IF($A16="","",SUMIFS('Nursing Charges'!$I:$I,'Nursing Charges'!$A:$A,$A16,'Nursing Charges'!$C:$C,13))</f>
        <v>0</v>
      </c>
      <c r="EA16" s="12">
        <f>IF($A16="","",DX16+(DZ16-SUMIFS('Nursing Charges'!$J:$J,'Nursing Charges'!$A:$A,$A16,'Nursing Charges'!$C:$C,13))+(DY16-SUMIFS('Consumable Usage'!$F:$F,'Consumable Usage'!$A:$A,$A16,'Consumable Usage'!$D:$D,13)))</f>
        <v>0</v>
      </c>
      <c r="EB16" s="12">
        <f t="shared" si="37"/>
        <v>0</v>
      </c>
      <c r="EC16" s="20"/>
      <c r="ED16" s="12">
        <f t="shared" si="38"/>
        <v>0</v>
      </c>
      <c r="EE16" s="45" t="str">
        <f t="shared" si="39"/>
        <v/>
      </c>
      <c r="EF16" s="15"/>
      <c r="EG16" s="15"/>
      <c r="EH16" s="20"/>
      <c r="EI16" s="12">
        <f>IF($A16="","",SUMIFS('Consumable Usage'!$E:$E,'Consumable Usage'!$A:$A,$A16,'Consumable Usage'!$D:$D,14))</f>
        <v>0</v>
      </c>
      <c r="EJ16" s="12">
        <f>IF($A16="","",SUMIFS('Nursing Charges'!$I:$I,'Nursing Charges'!$A:$A,$A16,'Nursing Charges'!$C:$C,14))</f>
        <v>0</v>
      </c>
      <c r="EK16" s="12">
        <f>IF($A16="","",EH16+(EJ16-SUMIFS('Nursing Charges'!$J:$J,'Nursing Charges'!$A:$A,$A16,'Nursing Charges'!$C:$C,14))+(EI16-SUMIFS('Consumable Usage'!$F:$F,'Consumable Usage'!$A:$A,$A16,'Consumable Usage'!$D:$D,14)))</f>
        <v>0</v>
      </c>
      <c r="EL16" s="12">
        <f t="shared" si="40"/>
        <v>0</v>
      </c>
      <c r="EM16" s="20"/>
      <c r="EN16" s="12">
        <f t="shared" si="41"/>
        <v>0</v>
      </c>
      <c r="EO16" s="45" t="str">
        <f t="shared" si="42"/>
        <v/>
      </c>
      <c r="EP16" s="15"/>
      <c r="EQ16" s="15"/>
      <c r="ER16" s="20"/>
      <c r="ES16" s="12">
        <f>IF($A16="","",SUMIFS('Consumable Usage'!$E:$E,'Consumable Usage'!$A:$A,$A16,'Consumable Usage'!$D:$D,15))</f>
        <v>0</v>
      </c>
      <c r="ET16" s="12">
        <f>IF($A16="","",SUMIFS('Nursing Charges'!$I:$I,'Nursing Charges'!$A:$A,$A16,'Nursing Charges'!$C:$C,15))</f>
        <v>0</v>
      </c>
      <c r="EU16" s="12">
        <f>IF($A16="","",ER16+(ET16-SUMIFS('Nursing Charges'!$J:$J,'Nursing Charges'!$A:$A,$A16,'Nursing Charges'!$C:$C,15))+(ES16-SUMIFS('Consumable Usage'!$F:$F,'Consumable Usage'!$A:$A,$A16,'Consumable Usage'!$D:$D,15)))</f>
        <v>0</v>
      </c>
      <c r="EV16" s="12">
        <f t="shared" si="43"/>
        <v>0</v>
      </c>
      <c r="EW16" s="20"/>
      <c r="EX16" s="12">
        <f t="shared" si="44"/>
        <v>0</v>
      </c>
      <c r="EY16" s="45" t="str">
        <f t="shared" si="45"/>
        <v/>
      </c>
      <c r="EZ16" s="15"/>
      <c r="FA16" s="15"/>
      <c r="FB16" s="20"/>
      <c r="FC16" s="12">
        <f>IF($A16="","",SUMIFS('Consumable Usage'!$E:$E,'Consumable Usage'!$A:$A,$A16,'Consumable Usage'!$D:$D,16))</f>
        <v>0</v>
      </c>
      <c r="FD16" s="12">
        <f>IF($A16="","",SUMIFS('Nursing Charges'!$I:$I,'Nursing Charges'!$A:$A,$A16,'Nursing Charges'!$C:$C,16))</f>
        <v>0</v>
      </c>
      <c r="FE16" s="12">
        <f>IF($A16="","",FB16+(FD16-SUMIFS('Nursing Charges'!$J:$J,'Nursing Charges'!$A:$A,$A16,'Nursing Charges'!$C:$C,16))+(FC16-SUMIFS('Consumable Usage'!$F:$F,'Consumable Usage'!$A:$A,$A16,'Consumable Usage'!$D:$D,16)))</f>
        <v>0</v>
      </c>
      <c r="FF16" s="12">
        <f t="shared" si="46"/>
        <v>0</v>
      </c>
      <c r="FG16" s="20"/>
      <c r="FH16" s="12">
        <f t="shared" si="47"/>
        <v>0</v>
      </c>
      <c r="FI16" s="45" t="str">
        <f t="shared" si="48"/>
        <v/>
      </c>
      <c r="FJ16" s="53"/>
      <c r="FK16" s="53"/>
      <c r="FL16" s="63"/>
      <c r="FM16" s="63">
        <f>IF($A16="","",SUMIFS('Consumable Usage'!$E:$E,'Consumable Usage'!$A:$A,$A16,'Consumable Usage'!$D:$D,16))</f>
        <v>0</v>
      </c>
      <c r="FN16" s="63">
        <f>IF($A16="","",SUMIFS('Nursing Charges'!$I:$I,'Nursing Charges'!$A:$A,$A16,'Nursing Charges'!$C:$C,16))</f>
        <v>0</v>
      </c>
      <c r="FO16" s="63">
        <f>IF($A16="","",FL16+(FN16-SUMIFS('Nursing Charges'!$J:$J,'Nursing Charges'!$A:$A,$A16,'Nursing Charges'!$C:$C,16))+(FM16-SUMIFS('Consumable Usage'!$F:$F,'Consumable Usage'!$A:$A,$A16,'Consumable Usage'!$D:$D,16)))</f>
        <v>0</v>
      </c>
      <c r="FP16" s="63">
        <f t="shared" si="49"/>
        <v>0</v>
      </c>
      <c r="FQ16" s="63"/>
      <c r="FR16" s="63">
        <f t="shared" si="50"/>
        <v>0</v>
      </c>
      <c r="FS16" s="53" t="str">
        <f t="shared" si="51"/>
        <v/>
      </c>
    </row>
    <row r="17" ht="15.0" customHeight="1">
      <c r="A17" s="41" t="s">
        <v>179</v>
      </c>
      <c r="B17" s="42" t="s">
        <v>180</v>
      </c>
      <c r="C17" s="41" t="s">
        <v>181</v>
      </c>
      <c r="D17" s="72"/>
      <c r="E17" s="44" t="s">
        <v>182</v>
      </c>
      <c r="F17" s="42"/>
      <c r="G17" s="15"/>
      <c r="H17" s="20"/>
      <c r="I17" s="12">
        <f>IF($A17="","",SUMIFS('Consumable Usage'!$E:$E,'Consumable Usage'!$A:$A,$A17,'Consumable Usage'!$D:$D,1))</f>
        <v>0</v>
      </c>
      <c r="J17" s="12">
        <f>IF($A17="","",SUMIFS('Nursing Charges'!$I:$I,'Nursing Charges'!$A:$A,$A17,'Nursing Charges'!$C:$C,1))</f>
        <v>0</v>
      </c>
      <c r="K17" s="12">
        <f>IF($A17="","",H17+(J17-SUMIFS('Nursing Charges'!$J:$J,'Nursing Charges'!$A:$A,$A17,'Nursing Charges'!$C:$C,1))+(I17-SUMIFS('Consumable Usage'!$F:$F,'Consumable Usage'!$A:$A,$A17,'Consumable Usage'!$D:$D,1)))</f>
        <v>0</v>
      </c>
      <c r="L17" s="12">
        <f t="shared" si="1"/>
        <v>0</v>
      </c>
      <c r="M17" s="20"/>
      <c r="N17" s="12">
        <f t="shared" si="2"/>
        <v>0</v>
      </c>
      <c r="O17" s="45" t="str">
        <f t="shared" si="3"/>
        <v/>
      </c>
      <c r="P17" s="15"/>
      <c r="Q17" s="15"/>
      <c r="R17" s="20"/>
      <c r="S17" s="12">
        <f>IF($A17="","",SUMIFS('Consumable Usage'!$E:$E,'Consumable Usage'!$A:$A,$A17,'Consumable Usage'!$D:$D,2))</f>
        <v>0</v>
      </c>
      <c r="T17" s="12">
        <f>IF($A17="","",SUMIFS('Nursing Charges'!$I:$I,'Nursing Charges'!$A:$A,$A17,'Nursing Charges'!$C:$C,2))</f>
        <v>0</v>
      </c>
      <c r="U17" s="12">
        <f>IF($A17="","",R17+(T17-SUMIFS('Nursing Charges'!$J:$J,'Nursing Charges'!$A:$A,$A17,'Nursing Charges'!$C:$C,2))+(S17-SUMIFS('Consumable Usage'!$F:$F,'Consumable Usage'!$A:$A,$A17,'Consumable Usage'!$D:$D,2)))</f>
        <v>0</v>
      </c>
      <c r="V17" s="12">
        <f t="shared" si="4"/>
        <v>0</v>
      </c>
      <c r="W17" s="20"/>
      <c r="X17" s="12">
        <f t="shared" si="5"/>
        <v>0</v>
      </c>
      <c r="Y17" s="45" t="str">
        <f t="shared" si="6"/>
        <v/>
      </c>
      <c r="Z17" s="15"/>
      <c r="AA17" s="15"/>
      <c r="AB17" s="20"/>
      <c r="AC17" s="12">
        <f>IF($A17="","",SUMIFS('Consumable Usage'!$E:$E,'Consumable Usage'!$A:$A,$A17,'Consumable Usage'!$D:$D,3))</f>
        <v>0</v>
      </c>
      <c r="AD17" s="12">
        <f>IF($A17="","",SUMIFS('Nursing Charges'!$I:$I,'Nursing Charges'!$A:$A,$A17,'Nursing Charges'!$C:$C,3))</f>
        <v>0</v>
      </c>
      <c r="AE17" s="12">
        <f>IF($A17="","",AB17+(AD17-SUMIFS('Nursing Charges'!$J:$J,'Nursing Charges'!$A:$A,$A17,'Nursing Charges'!$C:$C,3))+(AC17-SUMIFS('Consumable Usage'!$F:$F,'Consumable Usage'!$A:$A,$A17,'Consumable Usage'!$D:$D,3)))</f>
        <v>0</v>
      </c>
      <c r="AF17" s="12">
        <f t="shared" si="7"/>
        <v>0</v>
      </c>
      <c r="AG17" s="20"/>
      <c r="AH17" s="12">
        <f t="shared" si="8"/>
        <v>0</v>
      </c>
      <c r="AI17" s="45" t="str">
        <f t="shared" si="9"/>
        <v/>
      </c>
      <c r="AJ17" s="15"/>
      <c r="AK17" s="15"/>
      <c r="AL17" s="20"/>
      <c r="AM17" s="12">
        <f>IF($A17="","",SUMIFS('Consumable Usage'!$E:$E,'Consumable Usage'!$A:$A,$A17,'Consumable Usage'!$D:$D,4))</f>
        <v>0</v>
      </c>
      <c r="AN17" s="12">
        <f>IF($A17="","",SUMIFS('Nursing Charges'!$I:$I,'Nursing Charges'!$A:$A,$A17,'Nursing Charges'!$C:$C,4))</f>
        <v>0</v>
      </c>
      <c r="AO17" s="12">
        <f>IF($A17="","",AL17+(AN17-SUMIFS('Nursing Charges'!$J:$J,'Nursing Charges'!$A:$A,$A17,'Nursing Charges'!$C:$C,4))+(AM17-SUMIFS('Consumable Usage'!$F:$F,'Consumable Usage'!$A:$A,$A17,'Consumable Usage'!$D:$D,4)))</f>
        <v>0</v>
      </c>
      <c r="AP17" s="12">
        <f t="shared" si="10"/>
        <v>0</v>
      </c>
      <c r="AQ17" s="20"/>
      <c r="AR17" s="12">
        <f t="shared" si="11"/>
        <v>0</v>
      </c>
      <c r="AS17" s="45" t="str">
        <f t="shared" si="12"/>
        <v/>
      </c>
      <c r="AT17" s="15"/>
      <c r="AU17" s="15"/>
      <c r="AV17" s="20"/>
      <c r="AW17" s="12">
        <f>IF($A17="","",SUMIFS('Consumable Usage'!$E:$E,'Consumable Usage'!$A:$A,$A17,'Consumable Usage'!$D:$D,5))</f>
        <v>0</v>
      </c>
      <c r="AX17" s="12">
        <f>IF($A17="","",SUMIFS('Nursing Charges'!$I:$I,'Nursing Charges'!$A:$A,$A17,'Nursing Charges'!$C:$C,5))</f>
        <v>0</v>
      </c>
      <c r="AY17" s="12">
        <f>IF($A17="","",AV17+(AX17-SUMIFS('Nursing Charges'!$J:$J,'Nursing Charges'!$A:$A,$A17,'Nursing Charges'!$C:$C,5))+(AW17-SUMIFS('Consumable Usage'!$F:$F,'Consumable Usage'!$A:$A,$A17,'Consumable Usage'!$D:$D,5)))</f>
        <v>0</v>
      </c>
      <c r="AZ17" s="12">
        <f t="shared" si="13"/>
        <v>0</v>
      </c>
      <c r="BA17" s="20"/>
      <c r="BB17" s="12">
        <f t="shared" si="14"/>
        <v>0</v>
      </c>
      <c r="BC17" s="45" t="str">
        <f t="shared" si="15"/>
        <v/>
      </c>
      <c r="BD17" s="15"/>
      <c r="BE17" s="15"/>
      <c r="BF17" s="20"/>
      <c r="BG17" s="12">
        <f>IF($A17="","",SUMIFS('Consumable Usage'!$E:$E,'Consumable Usage'!$A:$A,$A17,'Consumable Usage'!$D:$D,6))</f>
        <v>0</v>
      </c>
      <c r="BH17" s="12">
        <f>IF($A17="","",SUMIFS('Nursing Charges'!$I:$I,'Nursing Charges'!$A:$A,$A17,'Nursing Charges'!$C:$C,6))</f>
        <v>0</v>
      </c>
      <c r="BI17" s="12">
        <f>IF($A17="","",BF17+(BH17-SUMIFS('Nursing Charges'!$J:$J,'Nursing Charges'!$A:$A,$A17,'Nursing Charges'!$C:$C,6))+(BG17-SUMIFS('Consumable Usage'!$F:$F,'Consumable Usage'!$A:$A,$A17,'Consumable Usage'!$D:$D,6)))</f>
        <v>0</v>
      </c>
      <c r="BJ17" s="12">
        <f t="shared" si="16"/>
        <v>0</v>
      </c>
      <c r="BK17" s="20"/>
      <c r="BL17" s="12">
        <f t="shared" si="17"/>
        <v>0</v>
      </c>
      <c r="BM17" s="45" t="str">
        <f t="shared" si="18"/>
        <v/>
      </c>
      <c r="BN17" s="15"/>
      <c r="BO17" s="15"/>
      <c r="BP17" s="20"/>
      <c r="BQ17" s="12">
        <f>IF($A17="","",SUMIFS('Consumable Usage'!$E:$E,'Consumable Usage'!$A:$A,$A17,'Consumable Usage'!$D:$D,7))</f>
        <v>0</v>
      </c>
      <c r="BR17" s="12">
        <f>IF($A17="","",SUMIFS('Nursing Charges'!$I:$I,'Nursing Charges'!$A:$A,$A17,'Nursing Charges'!$C:$C,7))</f>
        <v>0</v>
      </c>
      <c r="BS17" s="12">
        <f>IF($A17="","",BP17+(BR17-SUMIFS('Nursing Charges'!$J:$J,'Nursing Charges'!$A:$A,$A17,'Nursing Charges'!$C:$C,7))+(BQ17-SUMIFS('Consumable Usage'!$F:$F,'Consumable Usage'!$A:$A,$A17,'Consumable Usage'!$D:$D,7)))</f>
        <v>0</v>
      </c>
      <c r="BT17" s="12">
        <f t="shared" si="19"/>
        <v>0</v>
      </c>
      <c r="BU17" s="20"/>
      <c r="BV17" s="12">
        <f t="shared" si="20"/>
        <v>0</v>
      </c>
      <c r="BW17" s="45" t="str">
        <f t="shared" si="21"/>
        <v/>
      </c>
      <c r="BX17" s="15"/>
      <c r="BY17" s="15"/>
      <c r="BZ17" s="20"/>
      <c r="CA17" s="12">
        <f>IF($A17="","",SUMIFS('Consumable Usage'!$E:$E,'Consumable Usage'!$A:$A,$A17,'Consumable Usage'!$D:$D,8))</f>
        <v>0</v>
      </c>
      <c r="CB17" s="12">
        <f>IF($A17="","",SUMIFS('Nursing Charges'!$I:$I,'Nursing Charges'!$A:$A,$A17,'Nursing Charges'!$C:$C,8))</f>
        <v>0</v>
      </c>
      <c r="CC17" s="12">
        <f>IF($A17="","",BZ17+(CB17-SUMIFS('Nursing Charges'!$J:$J,'Nursing Charges'!$A:$A,$A17,'Nursing Charges'!$C:$C,8))+(CA17-SUMIFS('Consumable Usage'!$F:$F,'Consumable Usage'!$A:$A,$A17,'Consumable Usage'!$D:$D,8)))</f>
        <v>0</v>
      </c>
      <c r="CD17" s="12">
        <f t="shared" si="22"/>
        <v>0</v>
      </c>
      <c r="CE17" s="20"/>
      <c r="CF17" s="12">
        <f t="shared" si="23"/>
        <v>0</v>
      </c>
      <c r="CG17" s="45" t="str">
        <f t="shared" si="24"/>
        <v/>
      </c>
      <c r="CH17" s="15"/>
      <c r="CI17" s="15"/>
      <c r="CJ17" s="20"/>
      <c r="CK17" s="12">
        <f>IF($A17="","",SUMIFS('Consumable Usage'!$E:$E,'Consumable Usage'!$A:$A,$A17,'Consumable Usage'!$D:$D,9))</f>
        <v>0</v>
      </c>
      <c r="CL17" s="12">
        <f>IF($A17="","",SUMIFS('Nursing Charges'!$I:$I,'Nursing Charges'!$A:$A,$A17,'Nursing Charges'!$C:$C,9))</f>
        <v>0</v>
      </c>
      <c r="CM17" s="12">
        <f>IF($A17="","",CJ17+(CL17-SUMIFS('Nursing Charges'!$J:$J,'Nursing Charges'!$A:$A,$A17,'Nursing Charges'!$C:$C,9))+(CK17-SUMIFS('Consumable Usage'!$F:$F,'Consumable Usage'!$A:$A,$A17,'Consumable Usage'!$D:$D,9)))</f>
        <v>0</v>
      </c>
      <c r="CN17" s="12">
        <f t="shared" si="25"/>
        <v>0</v>
      </c>
      <c r="CO17" s="20"/>
      <c r="CP17" s="12">
        <f t="shared" si="26"/>
        <v>0</v>
      </c>
      <c r="CQ17" s="45" t="str">
        <f t="shared" si="27"/>
        <v/>
      </c>
      <c r="CR17" s="15"/>
      <c r="CS17" s="15"/>
      <c r="CT17" s="20"/>
      <c r="CU17" s="12">
        <f>IF($A17="","",SUMIFS('Consumable Usage'!$E:$E,'Consumable Usage'!$A:$A,$A17,'Consumable Usage'!$D:$D,10))</f>
        <v>0</v>
      </c>
      <c r="CV17" s="12">
        <f>IF($A17="","",SUMIFS('Nursing Charges'!$I:$I,'Nursing Charges'!$A:$A,$A17,'Nursing Charges'!$C:$C,10))</f>
        <v>0</v>
      </c>
      <c r="CW17" s="12">
        <f>IF($A17="","",CT17+(CV17-SUMIFS('Nursing Charges'!$J:$J,'Nursing Charges'!$A:$A,$A17,'Nursing Charges'!$C:$C,10))+(CU17-SUMIFS('Consumable Usage'!$F:$F,'Consumable Usage'!$A:$A,$A17,'Consumable Usage'!$D:$D,10)))</f>
        <v>0</v>
      </c>
      <c r="CX17" s="12">
        <f t="shared" si="28"/>
        <v>0</v>
      </c>
      <c r="CY17" s="20"/>
      <c r="CZ17" s="12">
        <f t="shared" si="29"/>
        <v>0</v>
      </c>
      <c r="DA17" s="45" t="str">
        <f t="shared" si="30"/>
        <v/>
      </c>
      <c r="DB17" s="15"/>
      <c r="DC17" s="15"/>
      <c r="DD17" s="20"/>
      <c r="DE17" s="12">
        <f>IF($A17="","",SUMIFS('Consumable Usage'!$E:$E,'Consumable Usage'!$A:$A,$A17,'Consumable Usage'!$D:$D,11))</f>
        <v>0</v>
      </c>
      <c r="DF17" s="12">
        <f>IF($A17="","",SUMIFS('Nursing Charges'!$I:$I,'Nursing Charges'!$A:$A,$A17,'Nursing Charges'!$C:$C,11))</f>
        <v>0</v>
      </c>
      <c r="DG17" s="12">
        <f>IF($A17="","",DD17+(DF17-SUMIFS('Nursing Charges'!$J:$J,'Nursing Charges'!$A:$A,$A17,'Nursing Charges'!$C:$C,11))+(DE17-SUMIFS('Consumable Usage'!$F:$F,'Consumable Usage'!$A:$A,$A17,'Consumable Usage'!$D:$D,11)))</f>
        <v>0</v>
      </c>
      <c r="DH17" s="12">
        <f t="shared" si="31"/>
        <v>0</v>
      </c>
      <c r="DI17" s="20"/>
      <c r="DJ17" s="12">
        <f t="shared" si="32"/>
        <v>0</v>
      </c>
      <c r="DK17" s="45" t="str">
        <f t="shared" si="33"/>
        <v/>
      </c>
      <c r="DL17" s="15"/>
      <c r="DM17" s="15"/>
      <c r="DN17" s="20"/>
      <c r="DO17" s="12">
        <f>IF($A17="","",SUMIFS('Consumable Usage'!$E:$E,'Consumable Usage'!$A:$A,$A17,'Consumable Usage'!$D:$D,12))</f>
        <v>0</v>
      </c>
      <c r="DP17" s="12">
        <f>IF($A17="","",SUMIFS('Nursing Charges'!$I:$I,'Nursing Charges'!$A:$A,$A17,'Nursing Charges'!$C:$C,12))</f>
        <v>0</v>
      </c>
      <c r="DQ17" s="12">
        <f>IF($A17="","",DN17+(DP17-SUMIFS('Nursing Charges'!$J:$J,'Nursing Charges'!$A:$A,$A17,'Nursing Charges'!$C:$C,12))+(DO17-SUMIFS('Consumable Usage'!$F:$F,'Consumable Usage'!$A:$A,$A17,'Consumable Usage'!$D:$D,12)))</f>
        <v>0</v>
      </c>
      <c r="DR17" s="12">
        <f t="shared" si="34"/>
        <v>0</v>
      </c>
      <c r="DS17" s="20"/>
      <c r="DT17" s="12">
        <f t="shared" si="35"/>
        <v>0</v>
      </c>
      <c r="DU17" s="45" t="str">
        <f t="shared" si="36"/>
        <v/>
      </c>
      <c r="DV17" s="15"/>
      <c r="DW17" s="15"/>
      <c r="DX17" s="20"/>
      <c r="DY17" s="12">
        <f>IF($A17="","",SUMIFS('Consumable Usage'!$E:$E,'Consumable Usage'!$A:$A,$A17,'Consumable Usage'!$D:$D,13))</f>
        <v>0</v>
      </c>
      <c r="DZ17" s="12">
        <f>IF($A17="","",SUMIFS('Nursing Charges'!$I:$I,'Nursing Charges'!$A:$A,$A17,'Nursing Charges'!$C:$C,13))</f>
        <v>0</v>
      </c>
      <c r="EA17" s="12">
        <f>IF($A17="","",DX17+(DZ17-SUMIFS('Nursing Charges'!$J:$J,'Nursing Charges'!$A:$A,$A17,'Nursing Charges'!$C:$C,13))+(DY17-SUMIFS('Consumable Usage'!$F:$F,'Consumable Usage'!$A:$A,$A17,'Consumable Usage'!$D:$D,13)))</f>
        <v>0</v>
      </c>
      <c r="EB17" s="12">
        <f t="shared" si="37"/>
        <v>0</v>
      </c>
      <c r="EC17" s="20"/>
      <c r="ED17" s="12">
        <f t="shared" si="38"/>
        <v>0</v>
      </c>
      <c r="EE17" s="45" t="str">
        <f t="shared" si="39"/>
        <v/>
      </c>
      <c r="EF17" s="15"/>
      <c r="EG17" s="15"/>
      <c r="EH17" s="20"/>
      <c r="EI17" s="12">
        <f>IF($A17="","",SUMIFS('Consumable Usage'!$E:$E,'Consumable Usage'!$A:$A,$A17,'Consumable Usage'!$D:$D,14))</f>
        <v>0</v>
      </c>
      <c r="EJ17" s="12">
        <f>IF($A17="","",SUMIFS('Nursing Charges'!$I:$I,'Nursing Charges'!$A:$A,$A17,'Nursing Charges'!$C:$C,14))</f>
        <v>0</v>
      </c>
      <c r="EK17" s="12">
        <f>IF($A17="","",EH17+(EJ17-SUMIFS('Nursing Charges'!$J:$J,'Nursing Charges'!$A:$A,$A17,'Nursing Charges'!$C:$C,14))+(EI17-SUMIFS('Consumable Usage'!$F:$F,'Consumable Usage'!$A:$A,$A17,'Consumable Usage'!$D:$D,14)))</f>
        <v>0</v>
      </c>
      <c r="EL17" s="12">
        <f t="shared" si="40"/>
        <v>0</v>
      </c>
      <c r="EM17" s="20"/>
      <c r="EN17" s="12">
        <f t="shared" si="41"/>
        <v>0</v>
      </c>
      <c r="EO17" s="45" t="str">
        <f t="shared" si="42"/>
        <v/>
      </c>
      <c r="EP17" s="15"/>
      <c r="EQ17" s="15"/>
      <c r="ER17" s="20"/>
      <c r="ES17" s="12">
        <f>IF($A17="","",SUMIFS('Consumable Usage'!$E:$E,'Consumable Usage'!$A:$A,$A17,'Consumable Usage'!$D:$D,15))</f>
        <v>0</v>
      </c>
      <c r="ET17" s="12">
        <f>IF($A17="","",SUMIFS('Nursing Charges'!$I:$I,'Nursing Charges'!$A:$A,$A17,'Nursing Charges'!$C:$C,15))</f>
        <v>0</v>
      </c>
      <c r="EU17" s="12">
        <f>IF($A17="","",ER17+(ET17-SUMIFS('Nursing Charges'!$J:$J,'Nursing Charges'!$A:$A,$A17,'Nursing Charges'!$C:$C,15))+(ES17-SUMIFS('Consumable Usage'!$F:$F,'Consumable Usage'!$A:$A,$A17,'Consumable Usage'!$D:$D,15)))</f>
        <v>0</v>
      </c>
      <c r="EV17" s="12">
        <f t="shared" si="43"/>
        <v>0</v>
      </c>
      <c r="EW17" s="20"/>
      <c r="EX17" s="12">
        <f t="shared" si="44"/>
        <v>0</v>
      </c>
      <c r="EY17" s="45" t="str">
        <f t="shared" si="45"/>
        <v/>
      </c>
      <c r="EZ17" s="15"/>
      <c r="FA17" s="15"/>
      <c r="FB17" s="20"/>
      <c r="FC17" s="12">
        <f>IF($A17="","",SUMIFS('Consumable Usage'!$E:$E,'Consumable Usage'!$A:$A,$A17,'Consumable Usage'!$D:$D,16))</f>
        <v>0</v>
      </c>
      <c r="FD17" s="12">
        <f>IF($A17="","",SUMIFS('Nursing Charges'!$I:$I,'Nursing Charges'!$A:$A,$A17,'Nursing Charges'!$C:$C,16))</f>
        <v>0</v>
      </c>
      <c r="FE17" s="12">
        <f>IF($A17="","",FB17+(FD17-SUMIFS('Nursing Charges'!$J:$J,'Nursing Charges'!$A:$A,$A17,'Nursing Charges'!$C:$C,16))+(FC17-SUMIFS('Consumable Usage'!$F:$F,'Consumable Usage'!$A:$A,$A17,'Consumable Usage'!$D:$D,16)))</f>
        <v>0</v>
      </c>
      <c r="FF17" s="12">
        <f t="shared" si="46"/>
        <v>0</v>
      </c>
      <c r="FG17" s="20"/>
      <c r="FH17" s="12">
        <f t="shared" si="47"/>
        <v>0</v>
      </c>
      <c r="FI17" s="45" t="str">
        <f t="shared" si="48"/>
        <v/>
      </c>
      <c r="FJ17" s="53"/>
      <c r="FK17" s="53"/>
      <c r="FL17" s="63"/>
      <c r="FM17" s="63">
        <f>IF($A17="","",SUMIFS('Consumable Usage'!$E:$E,'Consumable Usage'!$A:$A,$A17,'Consumable Usage'!$D:$D,16))</f>
        <v>0</v>
      </c>
      <c r="FN17" s="63">
        <f>IF($A17="","",SUMIFS('Nursing Charges'!$I:$I,'Nursing Charges'!$A:$A,$A17,'Nursing Charges'!$C:$C,16))</f>
        <v>0</v>
      </c>
      <c r="FO17" s="63">
        <f>IF($A17="","",FL17+(FN17-SUMIFS('Nursing Charges'!$J:$J,'Nursing Charges'!$A:$A,$A17,'Nursing Charges'!$C:$C,16))+(FM17-SUMIFS('Consumable Usage'!$F:$F,'Consumable Usage'!$A:$A,$A17,'Consumable Usage'!$D:$D,16)))</f>
        <v>0</v>
      </c>
      <c r="FP17" s="63">
        <f t="shared" si="49"/>
        <v>0</v>
      </c>
      <c r="FQ17" s="63"/>
      <c r="FR17" s="63">
        <f t="shared" si="50"/>
        <v>0</v>
      </c>
      <c r="FS17" s="53" t="str">
        <f t="shared" si="51"/>
        <v/>
      </c>
    </row>
    <row r="18" ht="15.0" customHeight="1">
      <c r="A18" s="27" t="s">
        <v>183</v>
      </c>
      <c r="B18" s="28" t="s">
        <v>184</v>
      </c>
      <c r="C18" s="27" t="s">
        <v>185</v>
      </c>
      <c r="D18" s="29" t="s">
        <v>186</v>
      </c>
      <c r="E18" s="30" t="s">
        <v>187</v>
      </c>
      <c r="F18" s="28"/>
      <c r="G18" s="15"/>
      <c r="H18" s="20"/>
      <c r="I18" s="12">
        <f>IF($A18="","",SUMIFS('Consumable Usage'!$E:$E,'Consumable Usage'!$A:$A,$A18,'Consumable Usage'!$D:$D,1))</f>
        <v>0</v>
      </c>
      <c r="J18" s="12">
        <f>IF($A18="","",SUMIFS('Nursing Charges'!$I:$I,'Nursing Charges'!$A:$A,$A18,'Nursing Charges'!$C:$C,1))</f>
        <v>0</v>
      </c>
      <c r="K18" s="12">
        <f>IF($A18="","",H18+(J18-SUMIFS('Nursing Charges'!$J:$J,'Nursing Charges'!$A:$A,$A18,'Nursing Charges'!$C:$C,1))+(I18-SUMIFS('Consumable Usage'!$F:$F,'Consumable Usage'!$A:$A,$A18,'Consumable Usage'!$D:$D,1)))</f>
        <v>0</v>
      </c>
      <c r="L18" s="12">
        <f t="shared" si="1"/>
        <v>0</v>
      </c>
      <c r="M18" s="20"/>
      <c r="N18" s="12">
        <f t="shared" si="2"/>
        <v>0</v>
      </c>
      <c r="O18" s="45" t="str">
        <f t="shared" si="3"/>
        <v/>
      </c>
      <c r="P18" s="15"/>
      <c r="Q18" s="15"/>
      <c r="R18" s="20"/>
      <c r="S18" s="12">
        <f>IF($A18="","",SUMIFS('Consumable Usage'!$E:$E,'Consumable Usage'!$A:$A,$A18,'Consumable Usage'!$D:$D,2))</f>
        <v>0</v>
      </c>
      <c r="T18" s="12">
        <f>IF($A18="","",SUMIFS('Nursing Charges'!$I:$I,'Nursing Charges'!$A:$A,$A18,'Nursing Charges'!$C:$C,2))</f>
        <v>0</v>
      </c>
      <c r="U18" s="12">
        <f>IF($A18="","",R18+(T18-SUMIFS('Nursing Charges'!$J:$J,'Nursing Charges'!$A:$A,$A18,'Nursing Charges'!$C:$C,2))+(S18-SUMIFS('Consumable Usage'!$F:$F,'Consumable Usage'!$A:$A,$A18,'Consumable Usage'!$D:$D,2)))</f>
        <v>0</v>
      </c>
      <c r="V18" s="12">
        <f t="shared" si="4"/>
        <v>0</v>
      </c>
      <c r="W18" s="20"/>
      <c r="X18" s="12">
        <f t="shared" si="5"/>
        <v>0</v>
      </c>
      <c r="Y18" s="45" t="str">
        <f t="shared" si="6"/>
        <v/>
      </c>
      <c r="Z18" s="15"/>
      <c r="AA18" s="15"/>
      <c r="AB18" s="20"/>
      <c r="AC18" s="12">
        <f>IF($A18="","",SUMIFS('Consumable Usage'!$E:$E,'Consumable Usage'!$A:$A,$A18,'Consumable Usage'!$D:$D,3))</f>
        <v>0</v>
      </c>
      <c r="AD18" s="12">
        <f>IF($A18="","",SUMIFS('Nursing Charges'!$I:$I,'Nursing Charges'!$A:$A,$A18,'Nursing Charges'!$C:$C,3))</f>
        <v>0</v>
      </c>
      <c r="AE18" s="12">
        <f>IF($A18="","",AB18+(AD18-SUMIFS('Nursing Charges'!$J:$J,'Nursing Charges'!$A:$A,$A18,'Nursing Charges'!$C:$C,3))+(AC18-SUMIFS('Consumable Usage'!$F:$F,'Consumable Usage'!$A:$A,$A18,'Consumable Usage'!$D:$D,3)))</f>
        <v>0</v>
      </c>
      <c r="AF18" s="12">
        <f t="shared" si="7"/>
        <v>0</v>
      </c>
      <c r="AG18" s="20"/>
      <c r="AH18" s="12">
        <f t="shared" si="8"/>
        <v>0</v>
      </c>
      <c r="AI18" s="45" t="str">
        <f t="shared" si="9"/>
        <v/>
      </c>
      <c r="AJ18" s="15"/>
      <c r="AK18" s="15"/>
      <c r="AL18" s="20"/>
      <c r="AM18" s="12">
        <f>IF($A18="","",SUMIFS('Consumable Usage'!$E:$E,'Consumable Usage'!$A:$A,$A18,'Consumable Usage'!$D:$D,4))</f>
        <v>0</v>
      </c>
      <c r="AN18" s="12">
        <f>IF($A18="","",SUMIFS('Nursing Charges'!$I:$I,'Nursing Charges'!$A:$A,$A18,'Nursing Charges'!$C:$C,4))</f>
        <v>0</v>
      </c>
      <c r="AO18" s="12">
        <f>IF($A18="","",AL18+(AN18-SUMIFS('Nursing Charges'!$J:$J,'Nursing Charges'!$A:$A,$A18,'Nursing Charges'!$C:$C,4))+(AM18-SUMIFS('Consumable Usage'!$F:$F,'Consumable Usage'!$A:$A,$A18,'Consumable Usage'!$D:$D,4)))</f>
        <v>0</v>
      </c>
      <c r="AP18" s="12">
        <f t="shared" si="10"/>
        <v>0</v>
      </c>
      <c r="AQ18" s="20"/>
      <c r="AR18" s="12">
        <f t="shared" si="11"/>
        <v>0</v>
      </c>
      <c r="AS18" s="45" t="str">
        <f t="shared" si="12"/>
        <v/>
      </c>
      <c r="AT18" s="15"/>
      <c r="AU18" s="15"/>
      <c r="AV18" s="20"/>
      <c r="AW18" s="12">
        <f>IF($A18="","",SUMIFS('Consumable Usage'!$E:$E,'Consumable Usage'!$A:$A,$A18,'Consumable Usage'!$D:$D,5))</f>
        <v>0</v>
      </c>
      <c r="AX18" s="12">
        <f>IF($A18="","",SUMIFS('Nursing Charges'!$I:$I,'Nursing Charges'!$A:$A,$A18,'Nursing Charges'!$C:$C,5))</f>
        <v>0</v>
      </c>
      <c r="AY18" s="12">
        <f>IF($A18="","",AV18+(AX18-SUMIFS('Nursing Charges'!$J:$J,'Nursing Charges'!$A:$A,$A18,'Nursing Charges'!$C:$C,5))+(AW18-SUMIFS('Consumable Usage'!$F:$F,'Consumable Usage'!$A:$A,$A18,'Consumable Usage'!$D:$D,5)))</f>
        <v>0</v>
      </c>
      <c r="AZ18" s="12">
        <f t="shared" si="13"/>
        <v>0</v>
      </c>
      <c r="BA18" s="20"/>
      <c r="BB18" s="12">
        <f t="shared" si="14"/>
        <v>0</v>
      </c>
      <c r="BC18" s="45" t="str">
        <f t="shared" si="15"/>
        <v/>
      </c>
      <c r="BD18" s="15"/>
      <c r="BE18" s="15"/>
      <c r="BF18" s="20"/>
      <c r="BG18" s="12">
        <f>IF($A18="","",SUMIFS('Consumable Usage'!$E:$E,'Consumable Usage'!$A:$A,$A18,'Consumable Usage'!$D:$D,6))</f>
        <v>0</v>
      </c>
      <c r="BH18" s="12">
        <f>IF($A18="","",SUMIFS('Nursing Charges'!$I:$I,'Nursing Charges'!$A:$A,$A18,'Nursing Charges'!$C:$C,6))</f>
        <v>0</v>
      </c>
      <c r="BI18" s="12">
        <f>IF($A18="","",BF18+(BH18-SUMIFS('Nursing Charges'!$J:$J,'Nursing Charges'!$A:$A,$A18,'Nursing Charges'!$C:$C,6))+(BG18-SUMIFS('Consumable Usage'!$F:$F,'Consumable Usage'!$A:$A,$A18,'Consumable Usage'!$D:$D,6)))</f>
        <v>0</v>
      </c>
      <c r="BJ18" s="12">
        <f t="shared" si="16"/>
        <v>0</v>
      </c>
      <c r="BK18" s="20"/>
      <c r="BL18" s="12">
        <f t="shared" si="17"/>
        <v>0</v>
      </c>
      <c r="BM18" s="45" t="str">
        <f t="shared" si="18"/>
        <v/>
      </c>
      <c r="BN18" s="15"/>
      <c r="BO18" s="15"/>
      <c r="BP18" s="20"/>
      <c r="BQ18" s="12">
        <f>IF($A18="","",SUMIFS('Consumable Usage'!$E:$E,'Consumable Usage'!$A:$A,$A18,'Consumable Usage'!$D:$D,7))</f>
        <v>0</v>
      </c>
      <c r="BR18" s="12">
        <f>IF($A18="","",SUMIFS('Nursing Charges'!$I:$I,'Nursing Charges'!$A:$A,$A18,'Nursing Charges'!$C:$C,7))</f>
        <v>0</v>
      </c>
      <c r="BS18" s="12">
        <f>IF($A18="","",BP18+(BR18-SUMIFS('Nursing Charges'!$J:$J,'Nursing Charges'!$A:$A,$A18,'Nursing Charges'!$C:$C,7))+(BQ18-SUMIFS('Consumable Usage'!$F:$F,'Consumable Usage'!$A:$A,$A18,'Consumable Usage'!$D:$D,7)))</f>
        <v>0</v>
      </c>
      <c r="BT18" s="12">
        <f t="shared" si="19"/>
        <v>0</v>
      </c>
      <c r="BU18" s="20"/>
      <c r="BV18" s="12">
        <f t="shared" si="20"/>
        <v>0</v>
      </c>
      <c r="BW18" s="45" t="str">
        <f t="shared" si="21"/>
        <v/>
      </c>
      <c r="BX18" s="15"/>
      <c r="BY18" s="15"/>
      <c r="BZ18" s="20"/>
      <c r="CA18" s="12">
        <f>IF($A18="","",SUMIFS('Consumable Usage'!$E:$E,'Consumable Usage'!$A:$A,$A18,'Consumable Usage'!$D:$D,8))</f>
        <v>0</v>
      </c>
      <c r="CB18" s="12">
        <f>IF($A18="","",SUMIFS('Nursing Charges'!$I:$I,'Nursing Charges'!$A:$A,$A18,'Nursing Charges'!$C:$C,8))</f>
        <v>0</v>
      </c>
      <c r="CC18" s="12">
        <f>IF($A18="","",BZ18+(CB18-SUMIFS('Nursing Charges'!$J:$J,'Nursing Charges'!$A:$A,$A18,'Nursing Charges'!$C:$C,8))+(CA18-SUMIFS('Consumable Usage'!$F:$F,'Consumable Usage'!$A:$A,$A18,'Consumable Usage'!$D:$D,8)))</f>
        <v>0</v>
      </c>
      <c r="CD18" s="12">
        <f t="shared" si="22"/>
        <v>0</v>
      </c>
      <c r="CE18" s="20"/>
      <c r="CF18" s="12">
        <f t="shared" si="23"/>
        <v>0</v>
      </c>
      <c r="CG18" s="45" t="str">
        <f t="shared" si="24"/>
        <v/>
      </c>
      <c r="CH18" s="15"/>
      <c r="CI18" s="15"/>
      <c r="CJ18" s="20"/>
      <c r="CK18" s="12">
        <f>IF($A18="","",SUMIFS('Consumable Usage'!$E:$E,'Consumable Usage'!$A:$A,$A18,'Consumable Usage'!$D:$D,9))</f>
        <v>0</v>
      </c>
      <c r="CL18" s="12">
        <f>IF($A18="","",SUMIFS('Nursing Charges'!$I:$I,'Nursing Charges'!$A:$A,$A18,'Nursing Charges'!$C:$C,9))</f>
        <v>0</v>
      </c>
      <c r="CM18" s="12">
        <f>IF($A18="","",CJ18+(CL18-SUMIFS('Nursing Charges'!$J:$J,'Nursing Charges'!$A:$A,$A18,'Nursing Charges'!$C:$C,9))+(CK18-SUMIFS('Consumable Usage'!$F:$F,'Consumable Usage'!$A:$A,$A18,'Consumable Usage'!$D:$D,9)))</f>
        <v>0</v>
      </c>
      <c r="CN18" s="12">
        <f t="shared" si="25"/>
        <v>0</v>
      </c>
      <c r="CO18" s="20"/>
      <c r="CP18" s="12">
        <f t="shared" si="26"/>
        <v>0</v>
      </c>
      <c r="CQ18" s="45" t="str">
        <f t="shared" si="27"/>
        <v/>
      </c>
      <c r="CR18" s="15"/>
      <c r="CS18" s="15"/>
      <c r="CT18" s="20"/>
      <c r="CU18" s="12">
        <f>IF($A18="","",SUMIFS('Consumable Usage'!$E:$E,'Consumable Usage'!$A:$A,$A18,'Consumable Usage'!$D:$D,10))</f>
        <v>0</v>
      </c>
      <c r="CV18" s="12">
        <f>IF($A18="","",SUMIFS('Nursing Charges'!$I:$I,'Nursing Charges'!$A:$A,$A18,'Nursing Charges'!$C:$C,10))</f>
        <v>0</v>
      </c>
      <c r="CW18" s="12">
        <f>IF($A18="","",CT18+(CV18-SUMIFS('Nursing Charges'!$J:$J,'Nursing Charges'!$A:$A,$A18,'Nursing Charges'!$C:$C,10))+(CU18-SUMIFS('Consumable Usage'!$F:$F,'Consumable Usage'!$A:$A,$A18,'Consumable Usage'!$D:$D,10)))</f>
        <v>0</v>
      </c>
      <c r="CX18" s="12">
        <f t="shared" si="28"/>
        <v>0</v>
      </c>
      <c r="CY18" s="20"/>
      <c r="CZ18" s="12">
        <f t="shared" si="29"/>
        <v>0</v>
      </c>
      <c r="DA18" s="45" t="str">
        <f t="shared" si="30"/>
        <v/>
      </c>
      <c r="DB18" s="15"/>
      <c r="DC18" s="15"/>
      <c r="DD18" s="20"/>
      <c r="DE18" s="12">
        <f>IF($A18="","",SUMIFS('Consumable Usage'!$E:$E,'Consumable Usage'!$A:$A,$A18,'Consumable Usage'!$D:$D,11))</f>
        <v>0</v>
      </c>
      <c r="DF18" s="12">
        <f>IF($A18="","",SUMIFS('Nursing Charges'!$I:$I,'Nursing Charges'!$A:$A,$A18,'Nursing Charges'!$C:$C,11))</f>
        <v>0</v>
      </c>
      <c r="DG18" s="12">
        <f>IF($A18="","",DD18+(DF18-SUMIFS('Nursing Charges'!$J:$J,'Nursing Charges'!$A:$A,$A18,'Nursing Charges'!$C:$C,11))+(DE18-SUMIFS('Consumable Usage'!$F:$F,'Consumable Usage'!$A:$A,$A18,'Consumable Usage'!$D:$D,11)))</f>
        <v>0</v>
      </c>
      <c r="DH18" s="12">
        <f t="shared" si="31"/>
        <v>0</v>
      </c>
      <c r="DI18" s="20"/>
      <c r="DJ18" s="12">
        <f t="shared" si="32"/>
        <v>0</v>
      </c>
      <c r="DK18" s="45" t="str">
        <f t="shared" si="33"/>
        <v/>
      </c>
      <c r="DL18" s="15"/>
      <c r="DM18" s="15"/>
      <c r="DN18" s="20"/>
      <c r="DO18" s="12">
        <f>IF($A18="","",SUMIFS('Consumable Usage'!$E:$E,'Consumable Usage'!$A:$A,$A18,'Consumable Usage'!$D:$D,12))</f>
        <v>0</v>
      </c>
      <c r="DP18" s="12">
        <f>IF($A18="","",SUMIFS('Nursing Charges'!$I:$I,'Nursing Charges'!$A:$A,$A18,'Nursing Charges'!$C:$C,12))</f>
        <v>0</v>
      </c>
      <c r="DQ18" s="12">
        <f>IF($A18="","",DN18+(DP18-SUMIFS('Nursing Charges'!$J:$J,'Nursing Charges'!$A:$A,$A18,'Nursing Charges'!$C:$C,12))+(DO18-SUMIFS('Consumable Usage'!$F:$F,'Consumable Usage'!$A:$A,$A18,'Consumable Usage'!$D:$D,12)))</f>
        <v>0</v>
      </c>
      <c r="DR18" s="12">
        <f t="shared" si="34"/>
        <v>0</v>
      </c>
      <c r="DS18" s="20"/>
      <c r="DT18" s="12">
        <f t="shared" si="35"/>
        <v>0</v>
      </c>
      <c r="DU18" s="45" t="str">
        <f t="shared" si="36"/>
        <v/>
      </c>
      <c r="DV18" s="15"/>
      <c r="DW18" s="15"/>
      <c r="DX18" s="20"/>
      <c r="DY18" s="12">
        <f>IF($A18="","",SUMIFS('Consumable Usage'!$E:$E,'Consumable Usage'!$A:$A,$A18,'Consumable Usage'!$D:$D,13))</f>
        <v>0</v>
      </c>
      <c r="DZ18" s="12">
        <f>IF($A18="","",SUMIFS('Nursing Charges'!$I:$I,'Nursing Charges'!$A:$A,$A18,'Nursing Charges'!$C:$C,13))</f>
        <v>0</v>
      </c>
      <c r="EA18" s="12">
        <f>IF($A18="","",DX18+(DZ18-SUMIFS('Nursing Charges'!$J:$J,'Nursing Charges'!$A:$A,$A18,'Nursing Charges'!$C:$C,13))+(DY18-SUMIFS('Consumable Usage'!$F:$F,'Consumable Usage'!$A:$A,$A18,'Consumable Usage'!$D:$D,13)))</f>
        <v>0</v>
      </c>
      <c r="EB18" s="12">
        <f t="shared" si="37"/>
        <v>0</v>
      </c>
      <c r="EC18" s="20"/>
      <c r="ED18" s="12">
        <f t="shared" si="38"/>
        <v>0</v>
      </c>
      <c r="EE18" s="45" t="str">
        <f t="shared" si="39"/>
        <v/>
      </c>
      <c r="EF18" s="15"/>
      <c r="EG18" s="15"/>
      <c r="EH18" s="20"/>
      <c r="EI18" s="12">
        <f>IF($A18="","",SUMIFS('Consumable Usage'!$E:$E,'Consumable Usage'!$A:$A,$A18,'Consumable Usage'!$D:$D,14))</f>
        <v>0</v>
      </c>
      <c r="EJ18" s="12">
        <f>IF($A18="","",SUMIFS('Nursing Charges'!$I:$I,'Nursing Charges'!$A:$A,$A18,'Nursing Charges'!$C:$C,14))</f>
        <v>0</v>
      </c>
      <c r="EK18" s="12">
        <f>IF($A18="","",EH18+(EJ18-SUMIFS('Nursing Charges'!$J:$J,'Nursing Charges'!$A:$A,$A18,'Nursing Charges'!$C:$C,14))+(EI18-SUMIFS('Consumable Usage'!$F:$F,'Consumable Usage'!$A:$A,$A18,'Consumable Usage'!$D:$D,14)))</f>
        <v>0</v>
      </c>
      <c r="EL18" s="12">
        <f t="shared" si="40"/>
        <v>0</v>
      </c>
      <c r="EM18" s="20"/>
      <c r="EN18" s="12">
        <f t="shared" si="41"/>
        <v>0</v>
      </c>
      <c r="EO18" s="45" t="str">
        <f t="shared" si="42"/>
        <v/>
      </c>
      <c r="EP18" s="15"/>
      <c r="EQ18" s="15"/>
      <c r="ER18" s="20"/>
      <c r="ES18" s="12">
        <f>IF($A18="","",SUMIFS('Consumable Usage'!$E:$E,'Consumable Usage'!$A:$A,$A18,'Consumable Usage'!$D:$D,15))</f>
        <v>0</v>
      </c>
      <c r="ET18" s="12">
        <f>IF($A18="","",SUMIFS('Nursing Charges'!$I:$I,'Nursing Charges'!$A:$A,$A18,'Nursing Charges'!$C:$C,15))</f>
        <v>0</v>
      </c>
      <c r="EU18" s="12">
        <f>IF($A18="","",ER18+(ET18-SUMIFS('Nursing Charges'!$J:$J,'Nursing Charges'!$A:$A,$A18,'Nursing Charges'!$C:$C,15))+(ES18-SUMIFS('Consumable Usage'!$F:$F,'Consumable Usage'!$A:$A,$A18,'Consumable Usage'!$D:$D,15)))</f>
        <v>0</v>
      </c>
      <c r="EV18" s="12">
        <f t="shared" si="43"/>
        <v>0</v>
      </c>
      <c r="EW18" s="20"/>
      <c r="EX18" s="12">
        <f t="shared" si="44"/>
        <v>0</v>
      </c>
      <c r="EY18" s="45" t="str">
        <f t="shared" si="45"/>
        <v/>
      </c>
      <c r="EZ18" s="15"/>
      <c r="FA18" s="15"/>
      <c r="FB18" s="20"/>
      <c r="FC18" s="12">
        <f>IF($A18="","",SUMIFS('Consumable Usage'!$E:$E,'Consumable Usage'!$A:$A,$A18,'Consumable Usage'!$D:$D,16))</f>
        <v>0</v>
      </c>
      <c r="FD18" s="12">
        <f>IF($A18="","",SUMIFS('Nursing Charges'!$I:$I,'Nursing Charges'!$A:$A,$A18,'Nursing Charges'!$C:$C,16))</f>
        <v>0</v>
      </c>
      <c r="FE18" s="12">
        <f>IF($A18="","",FB18+(FD18-SUMIFS('Nursing Charges'!$J:$J,'Nursing Charges'!$A:$A,$A18,'Nursing Charges'!$C:$C,16))+(FC18-SUMIFS('Consumable Usage'!$F:$F,'Consumable Usage'!$A:$A,$A18,'Consumable Usage'!$D:$D,16)))</f>
        <v>0</v>
      </c>
      <c r="FF18" s="12">
        <f t="shared" si="46"/>
        <v>0</v>
      </c>
      <c r="FG18" s="20"/>
      <c r="FH18" s="12">
        <f t="shared" si="47"/>
        <v>0</v>
      </c>
      <c r="FI18" s="45" t="str">
        <f t="shared" si="48"/>
        <v/>
      </c>
      <c r="FJ18" s="53"/>
      <c r="FK18" s="53"/>
      <c r="FL18" s="63"/>
      <c r="FM18" s="63">
        <f>IF($A18="","",SUMIFS('Consumable Usage'!$E:$E,'Consumable Usage'!$A:$A,$A18,'Consumable Usage'!$D:$D,16))</f>
        <v>0</v>
      </c>
      <c r="FN18" s="63">
        <f>IF($A18="","",SUMIFS('Nursing Charges'!$I:$I,'Nursing Charges'!$A:$A,$A18,'Nursing Charges'!$C:$C,16))</f>
        <v>0</v>
      </c>
      <c r="FO18" s="63">
        <f>IF($A18="","",FL18+(FN18-SUMIFS('Nursing Charges'!$J:$J,'Nursing Charges'!$A:$A,$A18,'Nursing Charges'!$C:$C,16))+(FM18-SUMIFS('Consumable Usage'!$F:$F,'Consumable Usage'!$A:$A,$A18,'Consumable Usage'!$D:$D,16)))</f>
        <v>0</v>
      </c>
      <c r="FP18" s="63">
        <f t="shared" si="49"/>
        <v>0</v>
      </c>
      <c r="FQ18" s="63"/>
      <c r="FR18" s="63">
        <f t="shared" si="50"/>
        <v>0</v>
      </c>
      <c r="FS18" s="53" t="str">
        <f t="shared" si="51"/>
        <v/>
      </c>
    </row>
    <row r="19" ht="15.0" customHeight="1">
      <c r="A19" s="41" t="s">
        <v>188</v>
      </c>
      <c r="B19" s="42" t="s">
        <v>189</v>
      </c>
      <c r="C19" s="73"/>
      <c r="D19" s="72"/>
      <c r="E19" s="44" t="s">
        <v>190</v>
      </c>
      <c r="F19" s="42"/>
      <c r="G19" s="15"/>
      <c r="H19" s="20"/>
      <c r="I19" s="12">
        <f>IF($A19="","",SUMIFS('Consumable Usage'!$E:$E,'Consumable Usage'!$A:$A,$A19,'Consumable Usage'!$D:$D,1))</f>
        <v>0</v>
      </c>
      <c r="J19" s="12">
        <f>IF($A19="","",SUMIFS('Nursing Charges'!$I:$I,'Nursing Charges'!$A:$A,$A19,'Nursing Charges'!$C:$C,1))</f>
        <v>0</v>
      </c>
      <c r="K19" s="12">
        <f>IF($A19="","",H19+(J19-SUMIFS('Nursing Charges'!$J:$J,'Nursing Charges'!$A:$A,$A19,'Nursing Charges'!$C:$C,1))+(I19-SUMIFS('Consumable Usage'!$F:$F,'Consumable Usage'!$A:$A,$A19,'Consumable Usage'!$D:$D,1)))</f>
        <v>0</v>
      </c>
      <c r="L19" s="12">
        <f t="shared" si="1"/>
        <v>0</v>
      </c>
      <c r="M19" s="20"/>
      <c r="N19" s="12">
        <f t="shared" si="2"/>
        <v>0</v>
      </c>
      <c r="O19" s="45" t="str">
        <f t="shared" si="3"/>
        <v/>
      </c>
      <c r="P19" s="15"/>
      <c r="Q19" s="15"/>
      <c r="R19" s="20"/>
      <c r="S19" s="12">
        <f>IF($A19="","",SUMIFS('Consumable Usage'!$E:$E,'Consumable Usage'!$A:$A,$A19,'Consumable Usage'!$D:$D,2))</f>
        <v>0</v>
      </c>
      <c r="T19" s="12">
        <f>IF($A19="","",SUMIFS('Nursing Charges'!$I:$I,'Nursing Charges'!$A:$A,$A19,'Nursing Charges'!$C:$C,2))</f>
        <v>0</v>
      </c>
      <c r="U19" s="12">
        <f>IF($A19="","",R19+(T19-SUMIFS('Nursing Charges'!$J:$J,'Nursing Charges'!$A:$A,$A19,'Nursing Charges'!$C:$C,2))+(S19-SUMIFS('Consumable Usage'!$F:$F,'Consumable Usage'!$A:$A,$A19,'Consumable Usage'!$D:$D,2)))</f>
        <v>0</v>
      </c>
      <c r="V19" s="12">
        <f t="shared" si="4"/>
        <v>0</v>
      </c>
      <c r="W19" s="20"/>
      <c r="X19" s="12">
        <f t="shared" si="5"/>
        <v>0</v>
      </c>
      <c r="Y19" s="45" t="str">
        <f t="shared" si="6"/>
        <v/>
      </c>
      <c r="Z19" s="15"/>
      <c r="AA19" s="15"/>
      <c r="AB19" s="20"/>
      <c r="AC19" s="12">
        <f>IF($A19="","",SUMIFS('Consumable Usage'!$E:$E,'Consumable Usage'!$A:$A,$A19,'Consumable Usage'!$D:$D,3))</f>
        <v>0</v>
      </c>
      <c r="AD19" s="12">
        <f>IF($A19="","",SUMIFS('Nursing Charges'!$I:$I,'Nursing Charges'!$A:$A,$A19,'Nursing Charges'!$C:$C,3))</f>
        <v>0</v>
      </c>
      <c r="AE19" s="12">
        <f>IF($A19="","",AB19+(AD19-SUMIFS('Nursing Charges'!$J:$J,'Nursing Charges'!$A:$A,$A19,'Nursing Charges'!$C:$C,3))+(AC19-SUMIFS('Consumable Usage'!$F:$F,'Consumable Usage'!$A:$A,$A19,'Consumable Usage'!$D:$D,3)))</f>
        <v>0</v>
      </c>
      <c r="AF19" s="12">
        <f t="shared" si="7"/>
        <v>0</v>
      </c>
      <c r="AG19" s="20"/>
      <c r="AH19" s="12">
        <f t="shared" si="8"/>
        <v>0</v>
      </c>
      <c r="AI19" s="45" t="str">
        <f t="shared" si="9"/>
        <v/>
      </c>
      <c r="AJ19" s="15"/>
      <c r="AK19" s="15"/>
      <c r="AL19" s="20"/>
      <c r="AM19" s="12">
        <f>IF($A19="","",SUMIFS('Consumable Usage'!$E:$E,'Consumable Usage'!$A:$A,$A19,'Consumable Usage'!$D:$D,4))</f>
        <v>0</v>
      </c>
      <c r="AN19" s="12">
        <f>IF($A19="","",SUMIFS('Nursing Charges'!$I:$I,'Nursing Charges'!$A:$A,$A19,'Nursing Charges'!$C:$C,4))</f>
        <v>0</v>
      </c>
      <c r="AO19" s="12">
        <f>IF($A19="","",AL19+(AN19-SUMIFS('Nursing Charges'!$J:$J,'Nursing Charges'!$A:$A,$A19,'Nursing Charges'!$C:$C,4))+(AM19-SUMIFS('Consumable Usage'!$F:$F,'Consumable Usage'!$A:$A,$A19,'Consumable Usage'!$D:$D,4)))</f>
        <v>0</v>
      </c>
      <c r="AP19" s="12">
        <f t="shared" si="10"/>
        <v>0</v>
      </c>
      <c r="AQ19" s="20"/>
      <c r="AR19" s="12">
        <f t="shared" si="11"/>
        <v>0</v>
      </c>
      <c r="AS19" s="45" t="str">
        <f t="shared" si="12"/>
        <v/>
      </c>
      <c r="AT19" s="15"/>
      <c r="AU19" s="15"/>
      <c r="AV19" s="20"/>
      <c r="AW19" s="12">
        <f>IF($A19="","",SUMIFS('Consumable Usage'!$E:$E,'Consumable Usage'!$A:$A,$A19,'Consumable Usage'!$D:$D,5))</f>
        <v>0</v>
      </c>
      <c r="AX19" s="12">
        <f>IF($A19="","",SUMIFS('Nursing Charges'!$I:$I,'Nursing Charges'!$A:$A,$A19,'Nursing Charges'!$C:$C,5))</f>
        <v>0</v>
      </c>
      <c r="AY19" s="12">
        <f>IF($A19="","",AV19+(AX19-SUMIFS('Nursing Charges'!$J:$J,'Nursing Charges'!$A:$A,$A19,'Nursing Charges'!$C:$C,5))+(AW19-SUMIFS('Consumable Usage'!$F:$F,'Consumable Usage'!$A:$A,$A19,'Consumable Usage'!$D:$D,5)))</f>
        <v>0</v>
      </c>
      <c r="AZ19" s="12">
        <f t="shared" si="13"/>
        <v>0</v>
      </c>
      <c r="BA19" s="20"/>
      <c r="BB19" s="12">
        <f t="shared" si="14"/>
        <v>0</v>
      </c>
      <c r="BC19" s="45" t="str">
        <f t="shared" si="15"/>
        <v/>
      </c>
      <c r="BD19" s="15"/>
      <c r="BE19" s="15"/>
      <c r="BF19" s="20"/>
      <c r="BG19" s="12">
        <f>IF($A19="","",SUMIFS('Consumable Usage'!$E:$E,'Consumable Usage'!$A:$A,$A19,'Consumable Usage'!$D:$D,6))</f>
        <v>0</v>
      </c>
      <c r="BH19" s="12">
        <f>IF($A19="","",SUMIFS('Nursing Charges'!$I:$I,'Nursing Charges'!$A:$A,$A19,'Nursing Charges'!$C:$C,6))</f>
        <v>0</v>
      </c>
      <c r="BI19" s="12">
        <f>IF($A19="","",BF19+(BH19-SUMIFS('Nursing Charges'!$J:$J,'Nursing Charges'!$A:$A,$A19,'Nursing Charges'!$C:$C,6))+(BG19-SUMIFS('Consumable Usage'!$F:$F,'Consumable Usage'!$A:$A,$A19,'Consumable Usage'!$D:$D,6)))</f>
        <v>0</v>
      </c>
      <c r="BJ19" s="12">
        <f t="shared" si="16"/>
        <v>0</v>
      </c>
      <c r="BK19" s="20"/>
      <c r="BL19" s="12">
        <f t="shared" si="17"/>
        <v>0</v>
      </c>
      <c r="BM19" s="45" t="str">
        <f t="shared" si="18"/>
        <v/>
      </c>
      <c r="BN19" s="15"/>
      <c r="BO19" s="15"/>
      <c r="BP19" s="20"/>
      <c r="BQ19" s="12">
        <f>IF($A19="","",SUMIFS('Consumable Usage'!$E:$E,'Consumable Usage'!$A:$A,$A19,'Consumable Usage'!$D:$D,7))</f>
        <v>0</v>
      </c>
      <c r="BR19" s="12">
        <f>IF($A19="","",SUMIFS('Nursing Charges'!$I:$I,'Nursing Charges'!$A:$A,$A19,'Nursing Charges'!$C:$C,7))</f>
        <v>0</v>
      </c>
      <c r="BS19" s="12">
        <f>IF($A19="","",BP19+(BR19-SUMIFS('Nursing Charges'!$J:$J,'Nursing Charges'!$A:$A,$A19,'Nursing Charges'!$C:$C,7))+(BQ19-SUMIFS('Consumable Usage'!$F:$F,'Consumable Usage'!$A:$A,$A19,'Consumable Usage'!$D:$D,7)))</f>
        <v>0</v>
      </c>
      <c r="BT19" s="12">
        <f t="shared" si="19"/>
        <v>0</v>
      </c>
      <c r="BU19" s="20"/>
      <c r="BV19" s="12">
        <f t="shared" si="20"/>
        <v>0</v>
      </c>
      <c r="BW19" s="45" t="str">
        <f t="shared" si="21"/>
        <v/>
      </c>
      <c r="BX19" s="15"/>
      <c r="BY19" s="15"/>
      <c r="BZ19" s="20"/>
      <c r="CA19" s="12">
        <f>IF($A19="","",SUMIFS('Consumable Usage'!$E:$E,'Consumable Usage'!$A:$A,$A19,'Consumable Usage'!$D:$D,8))</f>
        <v>0</v>
      </c>
      <c r="CB19" s="12">
        <f>IF($A19="","",SUMIFS('Nursing Charges'!$I:$I,'Nursing Charges'!$A:$A,$A19,'Nursing Charges'!$C:$C,8))</f>
        <v>0</v>
      </c>
      <c r="CC19" s="12">
        <f>IF($A19="","",BZ19+(CB19-SUMIFS('Nursing Charges'!$J:$J,'Nursing Charges'!$A:$A,$A19,'Nursing Charges'!$C:$C,8))+(CA19-SUMIFS('Consumable Usage'!$F:$F,'Consumable Usage'!$A:$A,$A19,'Consumable Usage'!$D:$D,8)))</f>
        <v>0</v>
      </c>
      <c r="CD19" s="12">
        <f t="shared" si="22"/>
        <v>0</v>
      </c>
      <c r="CE19" s="20"/>
      <c r="CF19" s="12">
        <f t="shared" si="23"/>
        <v>0</v>
      </c>
      <c r="CG19" s="45" t="str">
        <f t="shared" si="24"/>
        <v/>
      </c>
      <c r="CH19" s="15"/>
      <c r="CI19" s="15"/>
      <c r="CJ19" s="20"/>
      <c r="CK19" s="12">
        <f>IF($A19="","",SUMIFS('Consumable Usage'!$E:$E,'Consumable Usage'!$A:$A,$A19,'Consumable Usage'!$D:$D,9))</f>
        <v>0</v>
      </c>
      <c r="CL19" s="12">
        <f>IF($A19="","",SUMIFS('Nursing Charges'!$I:$I,'Nursing Charges'!$A:$A,$A19,'Nursing Charges'!$C:$C,9))</f>
        <v>0</v>
      </c>
      <c r="CM19" s="12">
        <f>IF($A19="","",CJ19+(CL19-SUMIFS('Nursing Charges'!$J:$J,'Nursing Charges'!$A:$A,$A19,'Nursing Charges'!$C:$C,9))+(CK19-SUMIFS('Consumable Usage'!$F:$F,'Consumable Usage'!$A:$A,$A19,'Consumable Usage'!$D:$D,9)))</f>
        <v>0</v>
      </c>
      <c r="CN19" s="12">
        <f t="shared" si="25"/>
        <v>0</v>
      </c>
      <c r="CO19" s="20"/>
      <c r="CP19" s="12">
        <f t="shared" si="26"/>
        <v>0</v>
      </c>
      <c r="CQ19" s="45" t="str">
        <f t="shared" si="27"/>
        <v/>
      </c>
      <c r="CR19" s="15"/>
      <c r="CS19" s="15"/>
      <c r="CT19" s="20"/>
      <c r="CU19" s="12">
        <f>IF($A19="","",SUMIFS('Consumable Usage'!$E:$E,'Consumable Usage'!$A:$A,$A19,'Consumable Usage'!$D:$D,10))</f>
        <v>0</v>
      </c>
      <c r="CV19" s="12">
        <f>IF($A19="","",SUMIFS('Nursing Charges'!$I:$I,'Nursing Charges'!$A:$A,$A19,'Nursing Charges'!$C:$C,10))</f>
        <v>0</v>
      </c>
      <c r="CW19" s="12">
        <f>IF($A19="","",CT19+(CV19-SUMIFS('Nursing Charges'!$J:$J,'Nursing Charges'!$A:$A,$A19,'Nursing Charges'!$C:$C,10))+(CU19-SUMIFS('Consumable Usage'!$F:$F,'Consumable Usage'!$A:$A,$A19,'Consumable Usage'!$D:$D,10)))</f>
        <v>0</v>
      </c>
      <c r="CX19" s="12">
        <f t="shared" si="28"/>
        <v>0</v>
      </c>
      <c r="CY19" s="20"/>
      <c r="CZ19" s="12">
        <f t="shared" si="29"/>
        <v>0</v>
      </c>
      <c r="DA19" s="45" t="str">
        <f t="shared" si="30"/>
        <v/>
      </c>
      <c r="DB19" s="15"/>
      <c r="DC19" s="15"/>
      <c r="DD19" s="20"/>
      <c r="DE19" s="12">
        <f>IF($A19="","",SUMIFS('Consumable Usage'!$E:$E,'Consumable Usage'!$A:$A,$A19,'Consumable Usage'!$D:$D,11))</f>
        <v>0</v>
      </c>
      <c r="DF19" s="12">
        <f>IF($A19="","",SUMIFS('Nursing Charges'!$I:$I,'Nursing Charges'!$A:$A,$A19,'Nursing Charges'!$C:$C,11))</f>
        <v>0</v>
      </c>
      <c r="DG19" s="12">
        <f>IF($A19="","",DD19+(DF19-SUMIFS('Nursing Charges'!$J:$J,'Nursing Charges'!$A:$A,$A19,'Nursing Charges'!$C:$C,11))+(DE19-SUMIFS('Consumable Usage'!$F:$F,'Consumable Usage'!$A:$A,$A19,'Consumable Usage'!$D:$D,11)))</f>
        <v>0</v>
      </c>
      <c r="DH19" s="12">
        <f t="shared" si="31"/>
        <v>0</v>
      </c>
      <c r="DI19" s="20"/>
      <c r="DJ19" s="12">
        <f t="shared" si="32"/>
        <v>0</v>
      </c>
      <c r="DK19" s="45" t="str">
        <f t="shared" si="33"/>
        <v/>
      </c>
      <c r="DL19" s="15"/>
      <c r="DM19" s="15"/>
      <c r="DN19" s="20"/>
      <c r="DO19" s="12">
        <f>IF($A19="","",SUMIFS('Consumable Usage'!$E:$E,'Consumable Usage'!$A:$A,$A19,'Consumable Usage'!$D:$D,12))</f>
        <v>0</v>
      </c>
      <c r="DP19" s="12">
        <f>IF($A19="","",SUMIFS('Nursing Charges'!$I:$I,'Nursing Charges'!$A:$A,$A19,'Nursing Charges'!$C:$C,12))</f>
        <v>0</v>
      </c>
      <c r="DQ19" s="12">
        <f>IF($A19="","",DN19+(DP19-SUMIFS('Nursing Charges'!$J:$J,'Nursing Charges'!$A:$A,$A19,'Nursing Charges'!$C:$C,12))+(DO19-SUMIFS('Consumable Usage'!$F:$F,'Consumable Usage'!$A:$A,$A19,'Consumable Usage'!$D:$D,12)))</f>
        <v>0</v>
      </c>
      <c r="DR19" s="12">
        <f t="shared" si="34"/>
        <v>0</v>
      </c>
      <c r="DS19" s="20"/>
      <c r="DT19" s="12">
        <f t="shared" si="35"/>
        <v>0</v>
      </c>
      <c r="DU19" s="45" t="str">
        <f t="shared" si="36"/>
        <v/>
      </c>
      <c r="DV19" s="15"/>
      <c r="DW19" s="15"/>
      <c r="DX19" s="20"/>
      <c r="DY19" s="12">
        <f>IF($A19="","",SUMIFS('Consumable Usage'!$E:$E,'Consumable Usage'!$A:$A,$A19,'Consumable Usage'!$D:$D,13))</f>
        <v>0</v>
      </c>
      <c r="DZ19" s="12">
        <f>IF($A19="","",SUMIFS('Nursing Charges'!$I:$I,'Nursing Charges'!$A:$A,$A19,'Nursing Charges'!$C:$C,13))</f>
        <v>0</v>
      </c>
      <c r="EA19" s="12">
        <f>IF($A19="","",DX19+(DZ19-SUMIFS('Nursing Charges'!$J:$J,'Nursing Charges'!$A:$A,$A19,'Nursing Charges'!$C:$C,13))+(DY19-SUMIFS('Consumable Usage'!$F:$F,'Consumable Usage'!$A:$A,$A19,'Consumable Usage'!$D:$D,13)))</f>
        <v>0</v>
      </c>
      <c r="EB19" s="12">
        <f t="shared" si="37"/>
        <v>0</v>
      </c>
      <c r="EC19" s="20"/>
      <c r="ED19" s="12">
        <f t="shared" si="38"/>
        <v>0</v>
      </c>
      <c r="EE19" s="45" t="str">
        <f t="shared" si="39"/>
        <v/>
      </c>
      <c r="EF19" s="15"/>
      <c r="EG19" s="15"/>
      <c r="EH19" s="20"/>
      <c r="EI19" s="12">
        <f>IF($A19="","",SUMIFS('Consumable Usage'!$E:$E,'Consumable Usage'!$A:$A,$A19,'Consumable Usage'!$D:$D,14))</f>
        <v>0</v>
      </c>
      <c r="EJ19" s="12">
        <f>IF($A19="","",SUMIFS('Nursing Charges'!$I:$I,'Nursing Charges'!$A:$A,$A19,'Nursing Charges'!$C:$C,14))</f>
        <v>0</v>
      </c>
      <c r="EK19" s="12">
        <f>IF($A19="","",EH19+(EJ19-SUMIFS('Nursing Charges'!$J:$J,'Nursing Charges'!$A:$A,$A19,'Nursing Charges'!$C:$C,14))+(EI19-SUMIFS('Consumable Usage'!$F:$F,'Consumable Usage'!$A:$A,$A19,'Consumable Usage'!$D:$D,14)))</f>
        <v>0</v>
      </c>
      <c r="EL19" s="12">
        <f t="shared" si="40"/>
        <v>0</v>
      </c>
      <c r="EM19" s="20"/>
      <c r="EN19" s="12">
        <f t="shared" si="41"/>
        <v>0</v>
      </c>
      <c r="EO19" s="45" t="str">
        <f t="shared" si="42"/>
        <v/>
      </c>
      <c r="EP19" s="15"/>
      <c r="EQ19" s="15"/>
      <c r="ER19" s="20"/>
      <c r="ES19" s="12">
        <f>IF($A19="","",SUMIFS('Consumable Usage'!$E:$E,'Consumable Usage'!$A:$A,$A19,'Consumable Usage'!$D:$D,15))</f>
        <v>0</v>
      </c>
      <c r="ET19" s="12">
        <f>IF($A19="","",SUMIFS('Nursing Charges'!$I:$I,'Nursing Charges'!$A:$A,$A19,'Nursing Charges'!$C:$C,15))</f>
        <v>0</v>
      </c>
      <c r="EU19" s="12">
        <f>IF($A19="","",ER19+(ET19-SUMIFS('Nursing Charges'!$J:$J,'Nursing Charges'!$A:$A,$A19,'Nursing Charges'!$C:$C,15))+(ES19-SUMIFS('Consumable Usage'!$F:$F,'Consumable Usage'!$A:$A,$A19,'Consumable Usage'!$D:$D,15)))</f>
        <v>0</v>
      </c>
      <c r="EV19" s="12">
        <f t="shared" si="43"/>
        <v>0</v>
      </c>
      <c r="EW19" s="20"/>
      <c r="EX19" s="12">
        <f t="shared" si="44"/>
        <v>0</v>
      </c>
      <c r="EY19" s="45" t="str">
        <f t="shared" si="45"/>
        <v/>
      </c>
      <c r="EZ19" s="15"/>
      <c r="FA19" s="15"/>
      <c r="FB19" s="20"/>
      <c r="FC19" s="12">
        <f>IF($A19="","",SUMIFS('Consumable Usage'!$E:$E,'Consumable Usage'!$A:$A,$A19,'Consumable Usage'!$D:$D,16))</f>
        <v>0</v>
      </c>
      <c r="FD19" s="12">
        <f>IF($A19="","",SUMIFS('Nursing Charges'!$I:$I,'Nursing Charges'!$A:$A,$A19,'Nursing Charges'!$C:$C,16))</f>
        <v>0</v>
      </c>
      <c r="FE19" s="12">
        <f>IF($A19="","",FB19+(FD19-SUMIFS('Nursing Charges'!$J:$J,'Nursing Charges'!$A:$A,$A19,'Nursing Charges'!$C:$C,16))+(FC19-SUMIFS('Consumable Usage'!$F:$F,'Consumable Usage'!$A:$A,$A19,'Consumable Usage'!$D:$D,16)))</f>
        <v>0</v>
      </c>
      <c r="FF19" s="12">
        <f t="shared" si="46"/>
        <v>0</v>
      </c>
      <c r="FG19" s="20"/>
      <c r="FH19" s="12">
        <f t="shared" si="47"/>
        <v>0</v>
      </c>
      <c r="FI19" s="45" t="str">
        <f t="shared" si="48"/>
        <v/>
      </c>
      <c r="FJ19" s="53"/>
      <c r="FK19" s="53"/>
      <c r="FL19" s="63"/>
      <c r="FM19" s="63">
        <f>IF($A19="","",SUMIFS('Consumable Usage'!$E:$E,'Consumable Usage'!$A:$A,$A19,'Consumable Usage'!$D:$D,16))</f>
        <v>0</v>
      </c>
      <c r="FN19" s="63">
        <f>IF($A19="","",SUMIFS('Nursing Charges'!$I:$I,'Nursing Charges'!$A:$A,$A19,'Nursing Charges'!$C:$C,16))</f>
        <v>0</v>
      </c>
      <c r="FO19" s="63">
        <f>IF($A19="","",FL19+(FN19-SUMIFS('Nursing Charges'!$J:$J,'Nursing Charges'!$A:$A,$A19,'Nursing Charges'!$C:$C,16))+(FM19-SUMIFS('Consumable Usage'!$F:$F,'Consumable Usage'!$A:$A,$A19,'Consumable Usage'!$D:$D,16)))</f>
        <v>0</v>
      </c>
      <c r="FP19" s="63">
        <f t="shared" si="49"/>
        <v>0</v>
      </c>
      <c r="FQ19" s="63"/>
      <c r="FR19" s="63">
        <f t="shared" si="50"/>
        <v>0</v>
      </c>
      <c r="FS19" s="53" t="str">
        <f t="shared" si="51"/>
        <v/>
      </c>
    </row>
    <row r="20" ht="15.0" customHeight="1">
      <c r="A20" s="41" t="s">
        <v>210</v>
      </c>
      <c r="B20" s="42" t="s">
        <v>211</v>
      </c>
      <c r="C20" s="73"/>
      <c r="D20" s="72"/>
      <c r="E20" s="44" t="s">
        <v>212</v>
      </c>
      <c r="F20" s="42"/>
      <c r="G20" s="15"/>
      <c r="H20" s="20"/>
      <c r="I20" s="12">
        <f>IF($A20="","",SUMIFS('Consumable Usage'!$E:$E,'Consumable Usage'!$A:$A,$A20,'Consumable Usage'!$D:$D,1))</f>
        <v>0</v>
      </c>
      <c r="J20" s="12">
        <f>IF($A20="","",SUMIFS('Nursing Charges'!$I:$I,'Nursing Charges'!$A:$A,$A20,'Nursing Charges'!$C:$C,1))</f>
        <v>0</v>
      </c>
      <c r="K20" s="12">
        <f>IF($A20="","",H20+(J20-SUMIFS('Nursing Charges'!$J:$J,'Nursing Charges'!$A:$A,$A20,'Nursing Charges'!$C:$C,1))+(I20-SUMIFS('Consumable Usage'!$F:$F,'Consumable Usage'!$A:$A,$A20,'Consumable Usage'!$D:$D,1)))</f>
        <v>0</v>
      </c>
      <c r="L20" s="12">
        <f t="shared" si="1"/>
        <v>0</v>
      </c>
      <c r="M20" s="20"/>
      <c r="N20" s="12">
        <f t="shared" si="2"/>
        <v>0</v>
      </c>
      <c r="O20" s="45" t="str">
        <f t="shared" si="3"/>
        <v/>
      </c>
      <c r="P20" s="15"/>
      <c r="Q20" s="15"/>
      <c r="R20" s="20"/>
      <c r="S20" s="12">
        <f>IF($A20="","",SUMIFS('Consumable Usage'!$E:$E,'Consumable Usage'!$A:$A,$A20,'Consumable Usage'!$D:$D,2))</f>
        <v>0</v>
      </c>
      <c r="T20" s="12">
        <f>IF($A20="","",SUMIFS('Nursing Charges'!$I:$I,'Nursing Charges'!$A:$A,$A20,'Nursing Charges'!$C:$C,2))</f>
        <v>0</v>
      </c>
      <c r="U20" s="12">
        <f>IF($A20="","",R20+(T20-SUMIFS('Nursing Charges'!$J:$J,'Nursing Charges'!$A:$A,$A20,'Nursing Charges'!$C:$C,2))+(S20-SUMIFS('Consumable Usage'!$F:$F,'Consumable Usage'!$A:$A,$A20,'Consumable Usage'!$D:$D,2)))</f>
        <v>0</v>
      </c>
      <c r="V20" s="12">
        <f t="shared" si="4"/>
        <v>0</v>
      </c>
      <c r="W20" s="20"/>
      <c r="X20" s="12">
        <f t="shared" si="5"/>
        <v>0</v>
      </c>
      <c r="Y20" s="45" t="str">
        <f t="shared" si="6"/>
        <v/>
      </c>
      <c r="Z20" s="15"/>
      <c r="AA20" s="15"/>
      <c r="AB20" s="20"/>
      <c r="AC20" s="12">
        <f>IF($A20="","",SUMIFS('Consumable Usage'!$E:$E,'Consumable Usage'!$A:$A,$A20,'Consumable Usage'!$D:$D,3))</f>
        <v>0</v>
      </c>
      <c r="AD20" s="12">
        <f>IF($A20="","",SUMIFS('Nursing Charges'!$I:$I,'Nursing Charges'!$A:$A,$A20,'Nursing Charges'!$C:$C,3))</f>
        <v>0</v>
      </c>
      <c r="AE20" s="12">
        <f>IF($A20="","",AB20+(AD20-SUMIFS('Nursing Charges'!$J:$J,'Nursing Charges'!$A:$A,$A20,'Nursing Charges'!$C:$C,3))+(AC20-SUMIFS('Consumable Usage'!$F:$F,'Consumable Usage'!$A:$A,$A20,'Consumable Usage'!$D:$D,3)))</f>
        <v>0</v>
      </c>
      <c r="AF20" s="12">
        <f t="shared" si="7"/>
        <v>0</v>
      </c>
      <c r="AG20" s="20"/>
      <c r="AH20" s="12">
        <f t="shared" si="8"/>
        <v>0</v>
      </c>
      <c r="AI20" s="45" t="str">
        <f t="shared" si="9"/>
        <v/>
      </c>
      <c r="AJ20" s="15"/>
      <c r="AK20" s="15"/>
      <c r="AL20" s="20"/>
      <c r="AM20" s="12">
        <f>IF($A20="","",SUMIFS('Consumable Usage'!$E:$E,'Consumable Usage'!$A:$A,$A20,'Consumable Usage'!$D:$D,4))</f>
        <v>0</v>
      </c>
      <c r="AN20" s="12">
        <f>IF($A20="","",SUMIFS('Nursing Charges'!$I:$I,'Nursing Charges'!$A:$A,$A20,'Nursing Charges'!$C:$C,4))</f>
        <v>0</v>
      </c>
      <c r="AO20" s="12">
        <f>IF($A20="","",AL20+(AN20-SUMIFS('Nursing Charges'!$J:$J,'Nursing Charges'!$A:$A,$A20,'Nursing Charges'!$C:$C,4))+(AM20-SUMIFS('Consumable Usage'!$F:$F,'Consumable Usage'!$A:$A,$A20,'Consumable Usage'!$D:$D,4)))</f>
        <v>0</v>
      </c>
      <c r="AP20" s="12">
        <f t="shared" si="10"/>
        <v>0</v>
      </c>
      <c r="AQ20" s="20"/>
      <c r="AR20" s="12">
        <f t="shared" si="11"/>
        <v>0</v>
      </c>
      <c r="AS20" s="45" t="str">
        <f t="shared" si="12"/>
        <v/>
      </c>
      <c r="AT20" s="15"/>
      <c r="AU20" s="15"/>
      <c r="AV20" s="20"/>
      <c r="AW20" s="12">
        <f>IF($A20="","",SUMIFS('Consumable Usage'!$E:$E,'Consumable Usage'!$A:$A,$A20,'Consumable Usage'!$D:$D,5))</f>
        <v>0</v>
      </c>
      <c r="AX20" s="12">
        <f>IF($A20="","",SUMIFS('Nursing Charges'!$I:$I,'Nursing Charges'!$A:$A,$A20,'Nursing Charges'!$C:$C,5))</f>
        <v>0</v>
      </c>
      <c r="AY20" s="12">
        <f>IF($A20="","",AV20+(AX20-SUMIFS('Nursing Charges'!$J:$J,'Nursing Charges'!$A:$A,$A20,'Nursing Charges'!$C:$C,5))+(AW20-SUMIFS('Consumable Usage'!$F:$F,'Consumable Usage'!$A:$A,$A20,'Consumable Usage'!$D:$D,5)))</f>
        <v>0</v>
      </c>
      <c r="AZ20" s="12">
        <f t="shared" si="13"/>
        <v>0</v>
      </c>
      <c r="BA20" s="20"/>
      <c r="BB20" s="12">
        <f t="shared" si="14"/>
        <v>0</v>
      </c>
      <c r="BC20" s="45" t="str">
        <f t="shared" si="15"/>
        <v/>
      </c>
      <c r="BD20" s="15"/>
      <c r="BE20" s="15"/>
      <c r="BF20" s="20"/>
      <c r="BG20" s="12">
        <f>IF($A20="","",SUMIFS('Consumable Usage'!$E:$E,'Consumable Usage'!$A:$A,$A20,'Consumable Usage'!$D:$D,6))</f>
        <v>0</v>
      </c>
      <c r="BH20" s="12">
        <f>IF($A20="","",SUMIFS('Nursing Charges'!$I:$I,'Nursing Charges'!$A:$A,$A20,'Nursing Charges'!$C:$C,6))</f>
        <v>0</v>
      </c>
      <c r="BI20" s="12">
        <f>IF($A20="","",BF20+(BH20-SUMIFS('Nursing Charges'!$J:$J,'Nursing Charges'!$A:$A,$A20,'Nursing Charges'!$C:$C,6))+(BG20-SUMIFS('Consumable Usage'!$F:$F,'Consumable Usage'!$A:$A,$A20,'Consumable Usage'!$D:$D,6)))</f>
        <v>0</v>
      </c>
      <c r="BJ20" s="12">
        <f t="shared" si="16"/>
        <v>0</v>
      </c>
      <c r="BK20" s="20"/>
      <c r="BL20" s="12">
        <f t="shared" si="17"/>
        <v>0</v>
      </c>
      <c r="BM20" s="45" t="str">
        <f t="shared" si="18"/>
        <v/>
      </c>
      <c r="BN20" s="15"/>
      <c r="BO20" s="15"/>
      <c r="BP20" s="20"/>
      <c r="BQ20" s="12">
        <f>IF($A20="","",SUMIFS('Consumable Usage'!$E:$E,'Consumable Usage'!$A:$A,$A20,'Consumable Usage'!$D:$D,7))</f>
        <v>0</v>
      </c>
      <c r="BR20" s="12">
        <f>IF($A20="","",SUMIFS('Nursing Charges'!$I:$I,'Nursing Charges'!$A:$A,$A20,'Nursing Charges'!$C:$C,7))</f>
        <v>0</v>
      </c>
      <c r="BS20" s="12">
        <f>IF($A20="","",BP20+(BR20-SUMIFS('Nursing Charges'!$J:$J,'Nursing Charges'!$A:$A,$A20,'Nursing Charges'!$C:$C,7))+(BQ20-SUMIFS('Consumable Usage'!$F:$F,'Consumable Usage'!$A:$A,$A20,'Consumable Usage'!$D:$D,7)))</f>
        <v>0</v>
      </c>
      <c r="BT20" s="12">
        <f t="shared" si="19"/>
        <v>0</v>
      </c>
      <c r="BU20" s="20"/>
      <c r="BV20" s="12">
        <f t="shared" si="20"/>
        <v>0</v>
      </c>
      <c r="BW20" s="45" t="str">
        <f t="shared" si="21"/>
        <v/>
      </c>
      <c r="BX20" s="15"/>
      <c r="BY20" s="15"/>
      <c r="BZ20" s="20"/>
      <c r="CA20" s="12">
        <f>IF($A20="","",SUMIFS('Consumable Usage'!$E:$E,'Consumable Usage'!$A:$A,$A20,'Consumable Usage'!$D:$D,8))</f>
        <v>0</v>
      </c>
      <c r="CB20" s="12">
        <f>IF($A20="","",SUMIFS('Nursing Charges'!$I:$I,'Nursing Charges'!$A:$A,$A20,'Nursing Charges'!$C:$C,8))</f>
        <v>0</v>
      </c>
      <c r="CC20" s="12">
        <f>IF($A20="","",BZ20+(CB20-SUMIFS('Nursing Charges'!$J:$J,'Nursing Charges'!$A:$A,$A20,'Nursing Charges'!$C:$C,8))+(CA20-SUMIFS('Consumable Usage'!$F:$F,'Consumable Usage'!$A:$A,$A20,'Consumable Usage'!$D:$D,8)))</f>
        <v>0</v>
      </c>
      <c r="CD20" s="12">
        <f t="shared" si="22"/>
        <v>0</v>
      </c>
      <c r="CE20" s="20"/>
      <c r="CF20" s="12">
        <f t="shared" si="23"/>
        <v>0</v>
      </c>
      <c r="CG20" s="45" t="str">
        <f t="shared" si="24"/>
        <v/>
      </c>
      <c r="CH20" s="15"/>
      <c r="CI20" s="15"/>
      <c r="CJ20" s="20"/>
      <c r="CK20" s="12">
        <f>IF($A20="","",SUMIFS('Consumable Usage'!$E:$E,'Consumable Usage'!$A:$A,$A20,'Consumable Usage'!$D:$D,9))</f>
        <v>0</v>
      </c>
      <c r="CL20" s="12">
        <f>IF($A20="","",SUMIFS('Nursing Charges'!$I:$I,'Nursing Charges'!$A:$A,$A20,'Nursing Charges'!$C:$C,9))</f>
        <v>0</v>
      </c>
      <c r="CM20" s="12">
        <f>IF($A20="","",CJ20+(CL20-SUMIFS('Nursing Charges'!$J:$J,'Nursing Charges'!$A:$A,$A20,'Nursing Charges'!$C:$C,9))+(CK20-SUMIFS('Consumable Usage'!$F:$F,'Consumable Usage'!$A:$A,$A20,'Consumable Usage'!$D:$D,9)))</f>
        <v>0</v>
      </c>
      <c r="CN20" s="12">
        <f t="shared" si="25"/>
        <v>0</v>
      </c>
      <c r="CO20" s="20"/>
      <c r="CP20" s="12">
        <f t="shared" si="26"/>
        <v>0</v>
      </c>
      <c r="CQ20" s="45" t="str">
        <f t="shared" si="27"/>
        <v/>
      </c>
      <c r="CR20" s="15"/>
      <c r="CS20" s="15"/>
      <c r="CT20" s="20"/>
      <c r="CU20" s="12">
        <f>IF($A20="","",SUMIFS('Consumable Usage'!$E:$E,'Consumable Usage'!$A:$A,$A20,'Consumable Usage'!$D:$D,10))</f>
        <v>0</v>
      </c>
      <c r="CV20" s="12">
        <f>IF($A20="","",SUMIFS('Nursing Charges'!$I:$I,'Nursing Charges'!$A:$A,$A20,'Nursing Charges'!$C:$C,10))</f>
        <v>0</v>
      </c>
      <c r="CW20" s="12">
        <f>IF($A20="","",CT20+(CV20-SUMIFS('Nursing Charges'!$J:$J,'Nursing Charges'!$A:$A,$A20,'Nursing Charges'!$C:$C,10))+(CU20-SUMIFS('Consumable Usage'!$F:$F,'Consumable Usage'!$A:$A,$A20,'Consumable Usage'!$D:$D,10)))</f>
        <v>0</v>
      </c>
      <c r="CX20" s="12">
        <f t="shared" si="28"/>
        <v>0</v>
      </c>
      <c r="CY20" s="20"/>
      <c r="CZ20" s="12">
        <f t="shared" si="29"/>
        <v>0</v>
      </c>
      <c r="DA20" s="45" t="str">
        <f t="shared" si="30"/>
        <v/>
      </c>
      <c r="DB20" s="15"/>
      <c r="DC20" s="15"/>
      <c r="DD20" s="20"/>
      <c r="DE20" s="12">
        <f>IF($A20="","",SUMIFS('Consumable Usage'!$E:$E,'Consumable Usage'!$A:$A,$A20,'Consumable Usage'!$D:$D,11))</f>
        <v>0</v>
      </c>
      <c r="DF20" s="12">
        <f>IF($A20="","",SUMIFS('Nursing Charges'!$I:$I,'Nursing Charges'!$A:$A,$A20,'Nursing Charges'!$C:$C,11))</f>
        <v>0</v>
      </c>
      <c r="DG20" s="12">
        <f>IF($A20="","",DD20+(DF20-SUMIFS('Nursing Charges'!$J:$J,'Nursing Charges'!$A:$A,$A20,'Nursing Charges'!$C:$C,11))+(DE20-SUMIFS('Consumable Usage'!$F:$F,'Consumable Usage'!$A:$A,$A20,'Consumable Usage'!$D:$D,11)))</f>
        <v>0</v>
      </c>
      <c r="DH20" s="12">
        <f t="shared" si="31"/>
        <v>0</v>
      </c>
      <c r="DI20" s="20"/>
      <c r="DJ20" s="12">
        <f t="shared" si="32"/>
        <v>0</v>
      </c>
      <c r="DK20" s="45" t="str">
        <f t="shared" si="33"/>
        <v/>
      </c>
      <c r="DL20" s="15"/>
      <c r="DM20" s="15"/>
      <c r="DN20" s="20"/>
      <c r="DO20" s="12">
        <f>IF($A20="","",SUMIFS('Consumable Usage'!$E:$E,'Consumable Usage'!$A:$A,$A20,'Consumable Usage'!$D:$D,12))</f>
        <v>0</v>
      </c>
      <c r="DP20" s="12">
        <f>IF($A20="","",SUMIFS('Nursing Charges'!$I:$I,'Nursing Charges'!$A:$A,$A20,'Nursing Charges'!$C:$C,12))</f>
        <v>0</v>
      </c>
      <c r="DQ20" s="12">
        <f>IF($A20="","",DN20+(DP20-SUMIFS('Nursing Charges'!$J:$J,'Nursing Charges'!$A:$A,$A20,'Nursing Charges'!$C:$C,12))+(DO20-SUMIFS('Consumable Usage'!$F:$F,'Consumable Usage'!$A:$A,$A20,'Consumable Usage'!$D:$D,12)))</f>
        <v>0</v>
      </c>
      <c r="DR20" s="12">
        <f t="shared" si="34"/>
        <v>0</v>
      </c>
      <c r="DS20" s="20"/>
      <c r="DT20" s="12">
        <f t="shared" si="35"/>
        <v>0</v>
      </c>
      <c r="DU20" s="45" t="str">
        <f t="shared" si="36"/>
        <v/>
      </c>
      <c r="DV20" s="15"/>
      <c r="DW20" s="15"/>
      <c r="DX20" s="20"/>
      <c r="DY20" s="12">
        <f>IF($A20="","",SUMIFS('Consumable Usage'!$E:$E,'Consumable Usage'!$A:$A,$A20,'Consumable Usage'!$D:$D,13))</f>
        <v>0</v>
      </c>
      <c r="DZ20" s="12">
        <f>IF($A20="","",SUMIFS('Nursing Charges'!$I:$I,'Nursing Charges'!$A:$A,$A20,'Nursing Charges'!$C:$C,13))</f>
        <v>0</v>
      </c>
      <c r="EA20" s="12">
        <f>IF($A20="","",DX20+(DZ20-SUMIFS('Nursing Charges'!$J:$J,'Nursing Charges'!$A:$A,$A20,'Nursing Charges'!$C:$C,13))+(DY20-SUMIFS('Consumable Usage'!$F:$F,'Consumable Usage'!$A:$A,$A20,'Consumable Usage'!$D:$D,13)))</f>
        <v>0</v>
      </c>
      <c r="EB20" s="12">
        <f t="shared" si="37"/>
        <v>0</v>
      </c>
      <c r="EC20" s="20"/>
      <c r="ED20" s="12">
        <f t="shared" si="38"/>
        <v>0</v>
      </c>
      <c r="EE20" s="45" t="str">
        <f t="shared" si="39"/>
        <v/>
      </c>
      <c r="EF20" s="15"/>
      <c r="EG20" s="15"/>
      <c r="EH20" s="20"/>
      <c r="EI20" s="12">
        <f>IF($A20="","",SUMIFS('Consumable Usage'!$E:$E,'Consumable Usage'!$A:$A,$A20,'Consumable Usage'!$D:$D,14))</f>
        <v>0</v>
      </c>
      <c r="EJ20" s="12">
        <f>IF($A20="","",SUMIFS('Nursing Charges'!$I:$I,'Nursing Charges'!$A:$A,$A20,'Nursing Charges'!$C:$C,14))</f>
        <v>0</v>
      </c>
      <c r="EK20" s="12">
        <f>IF($A20="","",EH20+(EJ20-SUMIFS('Nursing Charges'!$J:$J,'Nursing Charges'!$A:$A,$A20,'Nursing Charges'!$C:$C,14))+(EI20-SUMIFS('Consumable Usage'!$F:$F,'Consumable Usage'!$A:$A,$A20,'Consumable Usage'!$D:$D,14)))</f>
        <v>0</v>
      </c>
      <c r="EL20" s="12">
        <f t="shared" si="40"/>
        <v>0</v>
      </c>
      <c r="EM20" s="20"/>
      <c r="EN20" s="12">
        <f t="shared" si="41"/>
        <v>0</v>
      </c>
      <c r="EO20" s="45" t="str">
        <f t="shared" si="42"/>
        <v/>
      </c>
      <c r="EP20" s="15"/>
      <c r="EQ20" s="15"/>
      <c r="ER20" s="20"/>
      <c r="ES20" s="12">
        <f>IF($A20="","",SUMIFS('Consumable Usage'!$E:$E,'Consumable Usage'!$A:$A,$A20,'Consumable Usage'!$D:$D,15))</f>
        <v>0</v>
      </c>
      <c r="ET20" s="12">
        <f>IF($A20="","",SUMIFS('Nursing Charges'!$I:$I,'Nursing Charges'!$A:$A,$A20,'Nursing Charges'!$C:$C,15))</f>
        <v>0</v>
      </c>
      <c r="EU20" s="12">
        <f>IF($A20="","",ER20+(ET20-SUMIFS('Nursing Charges'!$J:$J,'Nursing Charges'!$A:$A,$A20,'Nursing Charges'!$C:$C,15))+(ES20-SUMIFS('Consumable Usage'!$F:$F,'Consumable Usage'!$A:$A,$A20,'Consumable Usage'!$D:$D,15)))</f>
        <v>0</v>
      </c>
      <c r="EV20" s="12">
        <f t="shared" si="43"/>
        <v>0</v>
      </c>
      <c r="EW20" s="20"/>
      <c r="EX20" s="12">
        <f t="shared" si="44"/>
        <v>0</v>
      </c>
      <c r="EY20" s="45" t="str">
        <f t="shared" si="45"/>
        <v/>
      </c>
      <c r="EZ20" s="15"/>
      <c r="FA20" s="15"/>
      <c r="FB20" s="20"/>
      <c r="FC20" s="12">
        <f>IF($A20="","",SUMIFS('Consumable Usage'!$E:$E,'Consumable Usage'!$A:$A,$A20,'Consumable Usage'!$D:$D,16))</f>
        <v>0</v>
      </c>
      <c r="FD20" s="12">
        <f>IF($A20="","",SUMIFS('Nursing Charges'!$I:$I,'Nursing Charges'!$A:$A,$A20,'Nursing Charges'!$C:$C,16))</f>
        <v>0</v>
      </c>
      <c r="FE20" s="12">
        <f>IF($A20="","",FB20+(FD20-SUMIFS('Nursing Charges'!$J:$J,'Nursing Charges'!$A:$A,$A20,'Nursing Charges'!$C:$C,16))+(FC20-SUMIFS('Consumable Usage'!$F:$F,'Consumable Usage'!$A:$A,$A20,'Consumable Usage'!$D:$D,16)))</f>
        <v>0</v>
      </c>
      <c r="FF20" s="12">
        <f t="shared" si="46"/>
        <v>0</v>
      </c>
      <c r="FG20" s="20"/>
      <c r="FH20" s="12">
        <f t="shared" si="47"/>
        <v>0</v>
      </c>
      <c r="FI20" s="45" t="str">
        <f t="shared" si="48"/>
        <v/>
      </c>
      <c r="FJ20" s="53"/>
      <c r="FK20" s="53"/>
      <c r="FL20" s="63"/>
      <c r="FM20" s="63">
        <f>IF($A20="","",SUMIFS('Consumable Usage'!$E:$E,'Consumable Usage'!$A:$A,$A20,'Consumable Usage'!$D:$D,16))</f>
        <v>0</v>
      </c>
      <c r="FN20" s="63">
        <f>IF($A20="","",SUMIFS('Nursing Charges'!$I:$I,'Nursing Charges'!$A:$A,$A20,'Nursing Charges'!$C:$C,16))</f>
        <v>0</v>
      </c>
      <c r="FO20" s="63">
        <f>IF($A20="","",FL20+(FN20-SUMIFS('Nursing Charges'!$J:$J,'Nursing Charges'!$A:$A,$A20,'Nursing Charges'!$C:$C,16))+(FM20-SUMIFS('Consumable Usage'!$F:$F,'Consumable Usage'!$A:$A,$A20,'Consumable Usage'!$D:$D,16)))</f>
        <v>0</v>
      </c>
      <c r="FP20" s="63">
        <f t="shared" si="49"/>
        <v>0</v>
      </c>
      <c r="FQ20" s="63"/>
      <c r="FR20" s="63">
        <f t="shared" si="50"/>
        <v>0</v>
      </c>
      <c r="FS20" s="53" t="str">
        <f t="shared" si="51"/>
        <v/>
      </c>
    </row>
    <row r="21" ht="15.0" customHeight="1">
      <c r="A21" s="41" t="s">
        <v>213</v>
      </c>
      <c r="B21" s="42" t="s">
        <v>214</v>
      </c>
      <c r="C21" s="73"/>
      <c r="D21" s="72"/>
      <c r="E21" s="44" t="s">
        <v>212</v>
      </c>
      <c r="F21" s="42"/>
      <c r="G21" s="15"/>
      <c r="H21" s="20"/>
      <c r="I21" s="12">
        <f>IF($A21="","",SUMIFS('Consumable Usage'!$E:$E,'Consumable Usage'!$A:$A,$A21,'Consumable Usage'!$D:$D,1))</f>
        <v>0</v>
      </c>
      <c r="J21" s="12">
        <f>IF($A21="","",SUMIFS('Nursing Charges'!$I:$I,'Nursing Charges'!$A:$A,$A21,'Nursing Charges'!$C:$C,1))</f>
        <v>0</v>
      </c>
      <c r="K21" s="12">
        <f>IF($A21="","",H21+(J21-SUMIFS('Nursing Charges'!$J:$J,'Nursing Charges'!$A:$A,$A21,'Nursing Charges'!$C:$C,1))+(I21-SUMIFS('Consumable Usage'!$F:$F,'Consumable Usage'!$A:$A,$A21,'Consumable Usage'!$D:$D,1)))</f>
        <v>0</v>
      </c>
      <c r="L21" s="12">
        <f t="shared" si="1"/>
        <v>0</v>
      </c>
      <c r="M21" s="20"/>
      <c r="N21" s="12">
        <f t="shared" si="2"/>
        <v>0</v>
      </c>
      <c r="O21" s="45" t="str">
        <f t="shared" si="3"/>
        <v/>
      </c>
      <c r="P21" s="15"/>
      <c r="Q21" s="15"/>
      <c r="R21" s="20"/>
      <c r="S21" s="12">
        <f>IF($A21="","",SUMIFS('Consumable Usage'!$E:$E,'Consumable Usage'!$A:$A,$A21,'Consumable Usage'!$D:$D,2))</f>
        <v>0</v>
      </c>
      <c r="T21" s="12">
        <f>IF($A21="","",SUMIFS('Nursing Charges'!$I:$I,'Nursing Charges'!$A:$A,$A21,'Nursing Charges'!$C:$C,2))</f>
        <v>0</v>
      </c>
      <c r="U21" s="12">
        <f>IF($A21="","",R21+(T21-SUMIFS('Nursing Charges'!$J:$J,'Nursing Charges'!$A:$A,$A21,'Nursing Charges'!$C:$C,2))+(S21-SUMIFS('Consumable Usage'!$F:$F,'Consumable Usage'!$A:$A,$A21,'Consumable Usage'!$D:$D,2)))</f>
        <v>0</v>
      </c>
      <c r="V21" s="12">
        <f t="shared" si="4"/>
        <v>0</v>
      </c>
      <c r="W21" s="20"/>
      <c r="X21" s="12">
        <f t="shared" si="5"/>
        <v>0</v>
      </c>
      <c r="Y21" s="45" t="str">
        <f t="shared" si="6"/>
        <v/>
      </c>
      <c r="Z21" s="15"/>
      <c r="AA21" s="15"/>
      <c r="AB21" s="20"/>
      <c r="AC21" s="12">
        <f>IF($A21="","",SUMIFS('Consumable Usage'!$E:$E,'Consumable Usage'!$A:$A,$A21,'Consumable Usage'!$D:$D,3))</f>
        <v>0</v>
      </c>
      <c r="AD21" s="12">
        <f>IF($A21="","",SUMIFS('Nursing Charges'!$I:$I,'Nursing Charges'!$A:$A,$A21,'Nursing Charges'!$C:$C,3))</f>
        <v>0</v>
      </c>
      <c r="AE21" s="12">
        <f>IF($A21="","",AB21+(AD21-SUMIFS('Nursing Charges'!$J:$J,'Nursing Charges'!$A:$A,$A21,'Nursing Charges'!$C:$C,3))+(AC21-SUMIFS('Consumable Usage'!$F:$F,'Consumable Usage'!$A:$A,$A21,'Consumable Usage'!$D:$D,3)))</f>
        <v>0</v>
      </c>
      <c r="AF21" s="12">
        <f t="shared" si="7"/>
        <v>0</v>
      </c>
      <c r="AG21" s="20"/>
      <c r="AH21" s="12">
        <f t="shared" si="8"/>
        <v>0</v>
      </c>
      <c r="AI21" s="45" t="str">
        <f t="shared" si="9"/>
        <v/>
      </c>
      <c r="AJ21" s="15"/>
      <c r="AK21" s="15"/>
      <c r="AL21" s="20"/>
      <c r="AM21" s="12">
        <f>IF($A21="","",SUMIFS('Consumable Usage'!$E:$E,'Consumable Usage'!$A:$A,$A21,'Consumable Usage'!$D:$D,4))</f>
        <v>0</v>
      </c>
      <c r="AN21" s="12">
        <f>IF($A21="","",SUMIFS('Nursing Charges'!$I:$I,'Nursing Charges'!$A:$A,$A21,'Nursing Charges'!$C:$C,4))</f>
        <v>0</v>
      </c>
      <c r="AO21" s="12">
        <f>IF($A21="","",AL21+(AN21-SUMIFS('Nursing Charges'!$J:$J,'Nursing Charges'!$A:$A,$A21,'Nursing Charges'!$C:$C,4))+(AM21-SUMIFS('Consumable Usage'!$F:$F,'Consumable Usage'!$A:$A,$A21,'Consumable Usage'!$D:$D,4)))</f>
        <v>0</v>
      </c>
      <c r="AP21" s="12">
        <f t="shared" si="10"/>
        <v>0</v>
      </c>
      <c r="AQ21" s="20"/>
      <c r="AR21" s="12">
        <f t="shared" si="11"/>
        <v>0</v>
      </c>
      <c r="AS21" s="45" t="str">
        <f t="shared" si="12"/>
        <v/>
      </c>
      <c r="AT21" s="15"/>
      <c r="AU21" s="15"/>
      <c r="AV21" s="20"/>
      <c r="AW21" s="12">
        <f>IF($A21="","",SUMIFS('Consumable Usage'!$E:$E,'Consumable Usage'!$A:$A,$A21,'Consumable Usage'!$D:$D,5))</f>
        <v>0</v>
      </c>
      <c r="AX21" s="12">
        <f>IF($A21="","",SUMIFS('Nursing Charges'!$I:$I,'Nursing Charges'!$A:$A,$A21,'Nursing Charges'!$C:$C,5))</f>
        <v>0</v>
      </c>
      <c r="AY21" s="12">
        <f>IF($A21="","",AV21+(AX21-SUMIFS('Nursing Charges'!$J:$J,'Nursing Charges'!$A:$A,$A21,'Nursing Charges'!$C:$C,5))+(AW21-SUMIFS('Consumable Usage'!$F:$F,'Consumable Usage'!$A:$A,$A21,'Consumable Usage'!$D:$D,5)))</f>
        <v>0</v>
      </c>
      <c r="AZ21" s="12">
        <f t="shared" si="13"/>
        <v>0</v>
      </c>
      <c r="BA21" s="20"/>
      <c r="BB21" s="12">
        <f t="shared" si="14"/>
        <v>0</v>
      </c>
      <c r="BC21" s="45" t="str">
        <f t="shared" si="15"/>
        <v/>
      </c>
      <c r="BD21" s="15"/>
      <c r="BE21" s="15"/>
      <c r="BF21" s="20"/>
      <c r="BG21" s="12">
        <f>IF($A21="","",SUMIFS('Consumable Usage'!$E:$E,'Consumable Usage'!$A:$A,$A21,'Consumable Usage'!$D:$D,6))</f>
        <v>0</v>
      </c>
      <c r="BH21" s="12">
        <f>IF($A21="","",SUMIFS('Nursing Charges'!$I:$I,'Nursing Charges'!$A:$A,$A21,'Nursing Charges'!$C:$C,6))</f>
        <v>0</v>
      </c>
      <c r="BI21" s="12">
        <f>IF($A21="","",BF21+(BH21-SUMIFS('Nursing Charges'!$J:$J,'Nursing Charges'!$A:$A,$A21,'Nursing Charges'!$C:$C,6))+(BG21-SUMIFS('Consumable Usage'!$F:$F,'Consumable Usage'!$A:$A,$A21,'Consumable Usage'!$D:$D,6)))</f>
        <v>0</v>
      </c>
      <c r="BJ21" s="12">
        <f t="shared" si="16"/>
        <v>0</v>
      </c>
      <c r="BK21" s="20"/>
      <c r="BL21" s="12">
        <f t="shared" si="17"/>
        <v>0</v>
      </c>
      <c r="BM21" s="45" t="str">
        <f t="shared" si="18"/>
        <v/>
      </c>
      <c r="BN21" s="15"/>
      <c r="BO21" s="15"/>
      <c r="BP21" s="20"/>
      <c r="BQ21" s="12">
        <f>IF($A21="","",SUMIFS('Consumable Usage'!$E:$E,'Consumable Usage'!$A:$A,$A21,'Consumable Usage'!$D:$D,7))</f>
        <v>0</v>
      </c>
      <c r="BR21" s="12">
        <f>IF($A21="","",SUMIFS('Nursing Charges'!$I:$I,'Nursing Charges'!$A:$A,$A21,'Nursing Charges'!$C:$C,7))</f>
        <v>0</v>
      </c>
      <c r="BS21" s="12">
        <f>IF($A21="","",BP21+(BR21-SUMIFS('Nursing Charges'!$J:$J,'Nursing Charges'!$A:$A,$A21,'Nursing Charges'!$C:$C,7))+(BQ21-SUMIFS('Consumable Usage'!$F:$F,'Consumable Usage'!$A:$A,$A21,'Consumable Usage'!$D:$D,7)))</f>
        <v>0</v>
      </c>
      <c r="BT21" s="12">
        <f t="shared" si="19"/>
        <v>0</v>
      </c>
      <c r="BU21" s="20"/>
      <c r="BV21" s="12">
        <f t="shared" si="20"/>
        <v>0</v>
      </c>
      <c r="BW21" s="45" t="str">
        <f t="shared" si="21"/>
        <v/>
      </c>
      <c r="BX21" s="15"/>
      <c r="BY21" s="15"/>
      <c r="BZ21" s="20"/>
      <c r="CA21" s="12">
        <f>IF($A21="","",SUMIFS('Consumable Usage'!$E:$E,'Consumable Usage'!$A:$A,$A21,'Consumable Usage'!$D:$D,8))</f>
        <v>0</v>
      </c>
      <c r="CB21" s="12">
        <f>IF($A21="","",SUMIFS('Nursing Charges'!$I:$I,'Nursing Charges'!$A:$A,$A21,'Nursing Charges'!$C:$C,8))</f>
        <v>0</v>
      </c>
      <c r="CC21" s="12">
        <f>IF($A21="","",BZ21+(CB21-SUMIFS('Nursing Charges'!$J:$J,'Nursing Charges'!$A:$A,$A21,'Nursing Charges'!$C:$C,8))+(CA21-SUMIFS('Consumable Usage'!$F:$F,'Consumable Usage'!$A:$A,$A21,'Consumable Usage'!$D:$D,8)))</f>
        <v>0</v>
      </c>
      <c r="CD21" s="12">
        <f t="shared" si="22"/>
        <v>0</v>
      </c>
      <c r="CE21" s="20"/>
      <c r="CF21" s="12">
        <f t="shared" si="23"/>
        <v>0</v>
      </c>
      <c r="CG21" s="45" t="str">
        <f t="shared" si="24"/>
        <v/>
      </c>
      <c r="CH21" s="15"/>
      <c r="CI21" s="15"/>
      <c r="CJ21" s="20"/>
      <c r="CK21" s="12">
        <f>IF($A21="","",SUMIFS('Consumable Usage'!$E:$E,'Consumable Usage'!$A:$A,$A21,'Consumable Usage'!$D:$D,9))</f>
        <v>0</v>
      </c>
      <c r="CL21" s="12">
        <f>IF($A21="","",SUMIFS('Nursing Charges'!$I:$I,'Nursing Charges'!$A:$A,$A21,'Nursing Charges'!$C:$C,9))</f>
        <v>0</v>
      </c>
      <c r="CM21" s="12">
        <f>IF($A21="","",CJ21+(CL21-SUMIFS('Nursing Charges'!$J:$J,'Nursing Charges'!$A:$A,$A21,'Nursing Charges'!$C:$C,9))+(CK21-SUMIFS('Consumable Usage'!$F:$F,'Consumable Usage'!$A:$A,$A21,'Consumable Usage'!$D:$D,9)))</f>
        <v>0</v>
      </c>
      <c r="CN21" s="12">
        <f t="shared" si="25"/>
        <v>0</v>
      </c>
      <c r="CO21" s="20"/>
      <c r="CP21" s="12">
        <f t="shared" si="26"/>
        <v>0</v>
      </c>
      <c r="CQ21" s="45" t="str">
        <f t="shared" si="27"/>
        <v/>
      </c>
      <c r="CR21" s="15"/>
      <c r="CS21" s="15"/>
      <c r="CT21" s="20"/>
      <c r="CU21" s="12">
        <f>IF($A21="","",SUMIFS('Consumable Usage'!$E:$E,'Consumable Usage'!$A:$A,$A21,'Consumable Usage'!$D:$D,10))</f>
        <v>0</v>
      </c>
      <c r="CV21" s="12">
        <f>IF($A21="","",SUMIFS('Nursing Charges'!$I:$I,'Nursing Charges'!$A:$A,$A21,'Nursing Charges'!$C:$C,10))</f>
        <v>0</v>
      </c>
      <c r="CW21" s="12">
        <f>IF($A21="","",CT21+(CV21-SUMIFS('Nursing Charges'!$J:$J,'Nursing Charges'!$A:$A,$A21,'Nursing Charges'!$C:$C,10))+(CU21-SUMIFS('Consumable Usage'!$F:$F,'Consumable Usage'!$A:$A,$A21,'Consumable Usage'!$D:$D,10)))</f>
        <v>0</v>
      </c>
      <c r="CX21" s="12">
        <f t="shared" si="28"/>
        <v>0</v>
      </c>
      <c r="CY21" s="20"/>
      <c r="CZ21" s="12">
        <f t="shared" si="29"/>
        <v>0</v>
      </c>
      <c r="DA21" s="45" t="str">
        <f t="shared" si="30"/>
        <v/>
      </c>
      <c r="DB21" s="15"/>
      <c r="DC21" s="15"/>
      <c r="DD21" s="20"/>
      <c r="DE21" s="12">
        <f>IF($A21="","",SUMIFS('Consumable Usage'!$E:$E,'Consumable Usage'!$A:$A,$A21,'Consumable Usage'!$D:$D,11))</f>
        <v>0</v>
      </c>
      <c r="DF21" s="12">
        <f>IF($A21="","",SUMIFS('Nursing Charges'!$I:$I,'Nursing Charges'!$A:$A,$A21,'Nursing Charges'!$C:$C,11))</f>
        <v>0</v>
      </c>
      <c r="DG21" s="12">
        <f>IF($A21="","",DD21+(DF21-SUMIFS('Nursing Charges'!$J:$J,'Nursing Charges'!$A:$A,$A21,'Nursing Charges'!$C:$C,11))+(DE21-SUMIFS('Consumable Usage'!$F:$F,'Consumable Usage'!$A:$A,$A21,'Consumable Usage'!$D:$D,11)))</f>
        <v>0</v>
      </c>
      <c r="DH21" s="12">
        <f t="shared" si="31"/>
        <v>0</v>
      </c>
      <c r="DI21" s="20"/>
      <c r="DJ21" s="12">
        <f t="shared" si="32"/>
        <v>0</v>
      </c>
      <c r="DK21" s="45" t="str">
        <f t="shared" si="33"/>
        <v/>
      </c>
      <c r="DL21" s="15"/>
      <c r="DM21" s="15"/>
      <c r="DN21" s="20"/>
      <c r="DO21" s="12">
        <f>IF($A21="","",SUMIFS('Consumable Usage'!$E:$E,'Consumable Usage'!$A:$A,$A21,'Consumable Usage'!$D:$D,12))</f>
        <v>0</v>
      </c>
      <c r="DP21" s="12">
        <f>IF($A21="","",SUMIFS('Nursing Charges'!$I:$I,'Nursing Charges'!$A:$A,$A21,'Nursing Charges'!$C:$C,12))</f>
        <v>0</v>
      </c>
      <c r="DQ21" s="12">
        <f>IF($A21="","",DN21+(DP21-SUMIFS('Nursing Charges'!$J:$J,'Nursing Charges'!$A:$A,$A21,'Nursing Charges'!$C:$C,12))+(DO21-SUMIFS('Consumable Usage'!$F:$F,'Consumable Usage'!$A:$A,$A21,'Consumable Usage'!$D:$D,12)))</f>
        <v>0</v>
      </c>
      <c r="DR21" s="12">
        <f t="shared" si="34"/>
        <v>0</v>
      </c>
      <c r="DS21" s="20"/>
      <c r="DT21" s="12">
        <f t="shared" si="35"/>
        <v>0</v>
      </c>
      <c r="DU21" s="45" t="str">
        <f t="shared" si="36"/>
        <v/>
      </c>
      <c r="DV21" s="15"/>
      <c r="DW21" s="15"/>
      <c r="DX21" s="20"/>
      <c r="DY21" s="12">
        <f>IF($A21="","",SUMIFS('Consumable Usage'!$E:$E,'Consumable Usage'!$A:$A,$A21,'Consumable Usage'!$D:$D,13))</f>
        <v>0</v>
      </c>
      <c r="DZ21" s="12">
        <f>IF($A21="","",SUMIFS('Nursing Charges'!$I:$I,'Nursing Charges'!$A:$A,$A21,'Nursing Charges'!$C:$C,13))</f>
        <v>0</v>
      </c>
      <c r="EA21" s="12">
        <f>IF($A21="","",DX21+(DZ21-SUMIFS('Nursing Charges'!$J:$J,'Nursing Charges'!$A:$A,$A21,'Nursing Charges'!$C:$C,13))+(DY21-SUMIFS('Consumable Usage'!$F:$F,'Consumable Usage'!$A:$A,$A21,'Consumable Usage'!$D:$D,13)))</f>
        <v>0</v>
      </c>
      <c r="EB21" s="12">
        <f t="shared" si="37"/>
        <v>0</v>
      </c>
      <c r="EC21" s="20"/>
      <c r="ED21" s="12">
        <f t="shared" si="38"/>
        <v>0</v>
      </c>
      <c r="EE21" s="45" t="str">
        <f t="shared" si="39"/>
        <v/>
      </c>
      <c r="EF21" s="15"/>
      <c r="EG21" s="15"/>
      <c r="EH21" s="20"/>
      <c r="EI21" s="12">
        <f>IF($A21="","",SUMIFS('Consumable Usage'!$E:$E,'Consumable Usage'!$A:$A,$A21,'Consumable Usage'!$D:$D,14))</f>
        <v>0</v>
      </c>
      <c r="EJ21" s="12">
        <f>IF($A21="","",SUMIFS('Nursing Charges'!$I:$I,'Nursing Charges'!$A:$A,$A21,'Nursing Charges'!$C:$C,14))</f>
        <v>0</v>
      </c>
      <c r="EK21" s="12">
        <f>IF($A21="","",EH21+(EJ21-SUMIFS('Nursing Charges'!$J:$J,'Nursing Charges'!$A:$A,$A21,'Nursing Charges'!$C:$C,14))+(EI21-SUMIFS('Consumable Usage'!$F:$F,'Consumable Usage'!$A:$A,$A21,'Consumable Usage'!$D:$D,14)))</f>
        <v>0</v>
      </c>
      <c r="EL21" s="12">
        <f t="shared" si="40"/>
        <v>0</v>
      </c>
      <c r="EM21" s="20"/>
      <c r="EN21" s="12">
        <f t="shared" si="41"/>
        <v>0</v>
      </c>
      <c r="EO21" s="45" t="str">
        <f t="shared" si="42"/>
        <v/>
      </c>
      <c r="EP21" s="15"/>
      <c r="EQ21" s="15"/>
      <c r="ER21" s="20"/>
      <c r="ES21" s="12">
        <f>IF($A21="","",SUMIFS('Consumable Usage'!$E:$E,'Consumable Usage'!$A:$A,$A21,'Consumable Usage'!$D:$D,15))</f>
        <v>0</v>
      </c>
      <c r="ET21" s="12">
        <f>IF($A21="","",SUMIFS('Nursing Charges'!$I:$I,'Nursing Charges'!$A:$A,$A21,'Nursing Charges'!$C:$C,15))</f>
        <v>0</v>
      </c>
      <c r="EU21" s="12">
        <f>IF($A21="","",ER21+(ET21-SUMIFS('Nursing Charges'!$J:$J,'Nursing Charges'!$A:$A,$A21,'Nursing Charges'!$C:$C,15))+(ES21-SUMIFS('Consumable Usage'!$F:$F,'Consumable Usage'!$A:$A,$A21,'Consumable Usage'!$D:$D,15)))</f>
        <v>0</v>
      </c>
      <c r="EV21" s="12">
        <f t="shared" si="43"/>
        <v>0</v>
      </c>
      <c r="EW21" s="20"/>
      <c r="EX21" s="12">
        <f t="shared" si="44"/>
        <v>0</v>
      </c>
      <c r="EY21" s="45" t="str">
        <f t="shared" si="45"/>
        <v/>
      </c>
      <c r="EZ21" s="15"/>
      <c r="FA21" s="15"/>
      <c r="FB21" s="20"/>
      <c r="FC21" s="12">
        <f>IF($A21="","",SUMIFS('Consumable Usage'!$E:$E,'Consumable Usage'!$A:$A,$A21,'Consumable Usage'!$D:$D,16))</f>
        <v>0</v>
      </c>
      <c r="FD21" s="12">
        <f>IF($A21="","",SUMIFS('Nursing Charges'!$I:$I,'Nursing Charges'!$A:$A,$A21,'Nursing Charges'!$C:$C,16))</f>
        <v>0</v>
      </c>
      <c r="FE21" s="12">
        <f>IF($A21="","",FB21+(FD21-SUMIFS('Nursing Charges'!$J:$J,'Nursing Charges'!$A:$A,$A21,'Nursing Charges'!$C:$C,16))+(FC21-SUMIFS('Consumable Usage'!$F:$F,'Consumable Usage'!$A:$A,$A21,'Consumable Usage'!$D:$D,16)))</f>
        <v>0</v>
      </c>
      <c r="FF21" s="12">
        <f t="shared" si="46"/>
        <v>0</v>
      </c>
      <c r="FG21" s="20"/>
      <c r="FH21" s="12">
        <f t="shared" si="47"/>
        <v>0</v>
      </c>
      <c r="FI21" s="45" t="str">
        <f t="shared" si="48"/>
        <v/>
      </c>
      <c r="FJ21" s="53"/>
      <c r="FK21" s="53"/>
      <c r="FL21" s="63"/>
      <c r="FM21" s="63">
        <f>IF($A21="","",SUMIFS('Consumable Usage'!$E:$E,'Consumable Usage'!$A:$A,$A21,'Consumable Usage'!$D:$D,16))</f>
        <v>0</v>
      </c>
      <c r="FN21" s="63">
        <f>IF($A21="","",SUMIFS('Nursing Charges'!$I:$I,'Nursing Charges'!$A:$A,$A21,'Nursing Charges'!$C:$C,16))</f>
        <v>0</v>
      </c>
      <c r="FO21" s="63">
        <f>IF($A21="","",FL21+(FN21-SUMIFS('Nursing Charges'!$J:$J,'Nursing Charges'!$A:$A,$A21,'Nursing Charges'!$C:$C,16))+(FM21-SUMIFS('Consumable Usage'!$F:$F,'Consumable Usage'!$A:$A,$A21,'Consumable Usage'!$D:$D,16)))</f>
        <v>0</v>
      </c>
      <c r="FP21" s="63">
        <f t="shared" si="49"/>
        <v>0</v>
      </c>
      <c r="FQ21" s="63"/>
      <c r="FR21" s="63">
        <f t="shared" si="50"/>
        <v>0</v>
      </c>
      <c r="FS21" s="53" t="str">
        <f t="shared" si="51"/>
        <v/>
      </c>
    </row>
    <row r="22" ht="15.0" customHeight="1">
      <c r="A22" s="15"/>
      <c r="B22" s="15"/>
      <c r="C22" s="15"/>
      <c r="D22" s="15"/>
      <c r="E22" s="15"/>
      <c r="F22" s="15"/>
      <c r="G22" s="15"/>
      <c r="H22" s="20"/>
      <c r="I22" s="12" t="str">
        <f>IF($A22="","",SUMIFS('Consumable Usage'!$E:$E,'Consumable Usage'!$A:$A,$A22,'Consumable Usage'!$D:$D,1))</f>
        <v/>
      </c>
      <c r="J22" s="12" t="str">
        <f>IF($A22="","",SUMIFS('Nursing Charges'!$I:$I,'Nursing Charges'!$A:$A,$A22,'Nursing Charges'!$C:$C,1))</f>
        <v/>
      </c>
      <c r="K22" s="12" t="str">
        <f>IF($A22="","",H22+(J22-SUMIFS('Nursing Charges'!$J:$J,'Nursing Charges'!$A:$A,$A22,'Nursing Charges'!$C:$C,1))+(I22-SUMIFS('Consumable Usage'!$F:$F,'Consumable Usage'!$A:$A,$A22,'Consumable Usage'!$D:$D,1)))</f>
        <v/>
      </c>
      <c r="L22" s="12" t="str">
        <f t="shared" si="1"/>
        <v/>
      </c>
      <c r="M22" s="20"/>
      <c r="N22" s="12" t="str">
        <f t="shared" si="2"/>
        <v/>
      </c>
      <c r="O22" s="45" t="str">
        <f t="shared" si="3"/>
        <v/>
      </c>
      <c r="P22" s="15"/>
      <c r="Q22" s="15"/>
      <c r="R22" s="20"/>
      <c r="S22" s="12" t="str">
        <f>IF($A22="","",SUMIFS('Consumable Usage'!$E:$E,'Consumable Usage'!$A:$A,$A22,'Consumable Usage'!$D:$D,2))</f>
        <v/>
      </c>
      <c r="T22" s="12" t="str">
        <f>IF($A22="","",SUMIFS('Nursing Charges'!$I:$I,'Nursing Charges'!$A:$A,$A22,'Nursing Charges'!$C:$C,2))</f>
        <v/>
      </c>
      <c r="U22" s="12" t="str">
        <f>IF($A22="","",R22+(T22-SUMIFS('Nursing Charges'!$J:$J,'Nursing Charges'!$A:$A,$A22,'Nursing Charges'!$C:$C,2))+(S22-SUMIFS('Consumable Usage'!$F:$F,'Consumable Usage'!$A:$A,$A22,'Consumable Usage'!$D:$D,2)))</f>
        <v/>
      </c>
      <c r="V22" s="12" t="str">
        <f t="shared" si="4"/>
        <v/>
      </c>
      <c r="W22" s="20"/>
      <c r="X22" s="12" t="str">
        <f t="shared" si="5"/>
        <v/>
      </c>
      <c r="Y22" s="45" t="str">
        <f t="shared" si="6"/>
        <v/>
      </c>
      <c r="Z22" s="15"/>
      <c r="AA22" s="15"/>
      <c r="AB22" s="20"/>
      <c r="AC22" s="12" t="str">
        <f>IF($A22="","",SUMIFS('Consumable Usage'!$E:$E,'Consumable Usage'!$A:$A,$A22,'Consumable Usage'!$D:$D,3))</f>
        <v/>
      </c>
      <c r="AD22" s="12" t="str">
        <f>IF($A22="","",SUMIFS('Nursing Charges'!$I:$I,'Nursing Charges'!$A:$A,$A22,'Nursing Charges'!$C:$C,3))</f>
        <v/>
      </c>
      <c r="AE22" s="12" t="str">
        <f>IF($A22="","",AB22+(AD22-SUMIFS('Nursing Charges'!$J:$J,'Nursing Charges'!$A:$A,$A22,'Nursing Charges'!$C:$C,3))+(AC22-SUMIFS('Consumable Usage'!$F:$F,'Consumable Usage'!$A:$A,$A22,'Consumable Usage'!$D:$D,3)))</f>
        <v/>
      </c>
      <c r="AF22" s="12" t="str">
        <f t="shared" si="7"/>
        <v/>
      </c>
      <c r="AG22" s="20"/>
      <c r="AH22" s="12" t="str">
        <f t="shared" si="8"/>
        <v/>
      </c>
      <c r="AI22" s="45" t="str">
        <f t="shared" si="9"/>
        <v/>
      </c>
      <c r="AJ22" s="15"/>
      <c r="AK22" s="15"/>
      <c r="AL22" s="20"/>
      <c r="AM22" s="12" t="str">
        <f>IF($A22="","",SUMIFS('Consumable Usage'!$E:$E,'Consumable Usage'!$A:$A,$A22,'Consumable Usage'!$D:$D,4))</f>
        <v/>
      </c>
      <c r="AN22" s="12" t="str">
        <f>IF($A22="","",SUMIFS('Nursing Charges'!$I:$I,'Nursing Charges'!$A:$A,$A22,'Nursing Charges'!$C:$C,4))</f>
        <v/>
      </c>
      <c r="AO22" s="12" t="str">
        <f>IF($A22="","",AL22+(AN22-SUMIFS('Nursing Charges'!$J:$J,'Nursing Charges'!$A:$A,$A22,'Nursing Charges'!$C:$C,4))+(AM22-SUMIFS('Consumable Usage'!$F:$F,'Consumable Usage'!$A:$A,$A22,'Consumable Usage'!$D:$D,4)))</f>
        <v/>
      </c>
      <c r="AP22" s="12" t="str">
        <f t="shared" si="10"/>
        <v/>
      </c>
      <c r="AQ22" s="20"/>
      <c r="AR22" s="12" t="str">
        <f t="shared" si="11"/>
        <v/>
      </c>
      <c r="AS22" s="45" t="str">
        <f t="shared" si="12"/>
        <v/>
      </c>
      <c r="AT22" s="15"/>
      <c r="AU22" s="15"/>
      <c r="AV22" s="20"/>
      <c r="AW22" s="12" t="str">
        <f>IF($A22="","",SUMIFS('Consumable Usage'!$E:$E,'Consumable Usage'!$A:$A,$A22,'Consumable Usage'!$D:$D,5))</f>
        <v/>
      </c>
      <c r="AX22" s="12" t="str">
        <f>IF($A22="","",SUMIFS('Nursing Charges'!$I:$I,'Nursing Charges'!$A:$A,$A22,'Nursing Charges'!$C:$C,5))</f>
        <v/>
      </c>
      <c r="AY22" s="12" t="str">
        <f>IF($A22="","",AV22+(AX22-SUMIFS('Nursing Charges'!$J:$J,'Nursing Charges'!$A:$A,$A22,'Nursing Charges'!$C:$C,5))+(AW22-SUMIFS('Consumable Usage'!$F:$F,'Consumable Usage'!$A:$A,$A22,'Consumable Usage'!$D:$D,5)))</f>
        <v/>
      </c>
      <c r="AZ22" s="12" t="str">
        <f t="shared" si="13"/>
        <v/>
      </c>
      <c r="BA22" s="20"/>
      <c r="BB22" s="12" t="str">
        <f t="shared" si="14"/>
        <v/>
      </c>
      <c r="BC22" s="45" t="str">
        <f t="shared" si="15"/>
        <v/>
      </c>
      <c r="BD22" s="15"/>
      <c r="BE22" s="15"/>
      <c r="BF22" s="20"/>
      <c r="BG22" s="12" t="str">
        <f>IF($A22="","",SUMIFS('Consumable Usage'!$E:$E,'Consumable Usage'!$A:$A,$A22,'Consumable Usage'!$D:$D,6))</f>
        <v/>
      </c>
      <c r="BH22" s="12" t="str">
        <f>IF($A22="","",SUMIFS('Nursing Charges'!$I:$I,'Nursing Charges'!$A:$A,$A22,'Nursing Charges'!$C:$C,6))</f>
        <v/>
      </c>
      <c r="BI22" s="12" t="str">
        <f>IF($A22="","",BF22+(BH22-SUMIFS('Nursing Charges'!$J:$J,'Nursing Charges'!$A:$A,$A22,'Nursing Charges'!$C:$C,6))+(BG22-SUMIFS('Consumable Usage'!$F:$F,'Consumable Usage'!$A:$A,$A22,'Consumable Usage'!$D:$D,6)))</f>
        <v/>
      </c>
      <c r="BJ22" s="12" t="str">
        <f t="shared" si="16"/>
        <v/>
      </c>
      <c r="BK22" s="20"/>
      <c r="BL22" s="12" t="str">
        <f t="shared" si="17"/>
        <v/>
      </c>
      <c r="BM22" s="45" t="str">
        <f t="shared" si="18"/>
        <v/>
      </c>
      <c r="BN22" s="15"/>
      <c r="BO22" s="15"/>
      <c r="BP22" s="20"/>
      <c r="BQ22" s="12" t="str">
        <f>IF($A22="","",SUMIFS('Consumable Usage'!$E:$E,'Consumable Usage'!$A:$A,$A22,'Consumable Usage'!$D:$D,7))</f>
        <v/>
      </c>
      <c r="BR22" s="12" t="str">
        <f>IF($A22="","",SUMIFS('Nursing Charges'!$I:$I,'Nursing Charges'!$A:$A,$A22,'Nursing Charges'!$C:$C,7))</f>
        <v/>
      </c>
      <c r="BS22" s="12" t="str">
        <f>IF($A22="","",BP22+(BR22-SUMIFS('Nursing Charges'!$J:$J,'Nursing Charges'!$A:$A,$A22,'Nursing Charges'!$C:$C,7))+(BQ22-SUMIFS('Consumable Usage'!$F:$F,'Consumable Usage'!$A:$A,$A22,'Consumable Usage'!$D:$D,7)))</f>
        <v/>
      </c>
      <c r="BT22" s="12" t="str">
        <f t="shared" si="19"/>
        <v/>
      </c>
      <c r="BU22" s="20"/>
      <c r="BV22" s="12" t="str">
        <f t="shared" si="20"/>
        <v/>
      </c>
      <c r="BW22" s="45" t="str">
        <f t="shared" si="21"/>
        <v/>
      </c>
      <c r="BX22" s="15"/>
      <c r="BY22" s="15"/>
      <c r="BZ22" s="20"/>
      <c r="CA22" s="12" t="str">
        <f>IF($A22="","",SUMIFS('Consumable Usage'!$E:$E,'Consumable Usage'!$A:$A,$A22,'Consumable Usage'!$D:$D,8))</f>
        <v/>
      </c>
      <c r="CB22" s="12" t="str">
        <f>IF($A22="","",SUMIFS('Nursing Charges'!$I:$I,'Nursing Charges'!$A:$A,$A22,'Nursing Charges'!$C:$C,8))</f>
        <v/>
      </c>
      <c r="CC22" s="12" t="str">
        <f>IF($A22="","",BZ22+(CB22-SUMIFS('Nursing Charges'!$J:$J,'Nursing Charges'!$A:$A,$A22,'Nursing Charges'!$C:$C,8))+(CA22-SUMIFS('Consumable Usage'!$F:$F,'Consumable Usage'!$A:$A,$A22,'Consumable Usage'!$D:$D,8)))</f>
        <v/>
      </c>
      <c r="CD22" s="12" t="str">
        <f t="shared" si="22"/>
        <v/>
      </c>
      <c r="CE22" s="20"/>
      <c r="CF22" s="12" t="str">
        <f t="shared" si="23"/>
        <v/>
      </c>
      <c r="CG22" s="45" t="str">
        <f t="shared" si="24"/>
        <v/>
      </c>
      <c r="CH22" s="15"/>
      <c r="CI22" s="15"/>
      <c r="CJ22" s="20"/>
      <c r="CK22" s="12" t="str">
        <f>IF($A22="","",SUMIFS('Consumable Usage'!$E:$E,'Consumable Usage'!$A:$A,$A22,'Consumable Usage'!$D:$D,9))</f>
        <v/>
      </c>
      <c r="CL22" s="12" t="str">
        <f>IF($A22="","",SUMIFS('Nursing Charges'!$I:$I,'Nursing Charges'!$A:$A,$A22,'Nursing Charges'!$C:$C,9))</f>
        <v/>
      </c>
      <c r="CM22" s="12" t="str">
        <f>IF($A22="","",CJ22+(CL22-SUMIFS('Nursing Charges'!$J:$J,'Nursing Charges'!$A:$A,$A22,'Nursing Charges'!$C:$C,9))+(CK22-SUMIFS('Consumable Usage'!$F:$F,'Consumable Usage'!$A:$A,$A22,'Consumable Usage'!$D:$D,9)))</f>
        <v/>
      </c>
      <c r="CN22" s="12" t="str">
        <f t="shared" si="25"/>
        <v/>
      </c>
      <c r="CO22" s="20"/>
      <c r="CP22" s="12" t="str">
        <f t="shared" si="26"/>
        <v/>
      </c>
      <c r="CQ22" s="45" t="str">
        <f t="shared" si="27"/>
        <v/>
      </c>
      <c r="CR22" s="15"/>
      <c r="CS22" s="15"/>
      <c r="CT22" s="20"/>
      <c r="CU22" s="12" t="str">
        <f>IF($A22="","",SUMIFS('Consumable Usage'!$E:$E,'Consumable Usage'!$A:$A,$A22,'Consumable Usage'!$D:$D,10))</f>
        <v/>
      </c>
      <c r="CV22" s="12" t="str">
        <f>IF($A22="","",SUMIFS('Nursing Charges'!$I:$I,'Nursing Charges'!$A:$A,$A22,'Nursing Charges'!$C:$C,10))</f>
        <v/>
      </c>
      <c r="CW22" s="12" t="str">
        <f>IF($A22="","",CT22+(CV22-SUMIFS('Nursing Charges'!$J:$J,'Nursing Charges'!$A:$A,$A22,'Nursing Charges'!$C:$C,10))+(CU22-SUMIFS('Consumable Usage'!$F:$F,'Consumable Usage'!$A:$A,$A22,'Consumable Usage'!$D:$D,10)))</f>
        <v/>
      </c>
      <c r="CX22" s="12" t="str">
        <f t="shared" si="28"/>
        <v/>
      </c>
      <c r="CY22" s="20"/>
      <c r="CZ22" s="12" t="str">
        <f t="shared" si="29"/>
        <v/>
      </c>
      <c r="DA22" s="45" t="str">
        <f t="shared" si="30"/>
        <v/>
      </c>
      <c r="DB22" s="15"/>
      <c r="DC22" s="15"/>
      <c r="DD22" s="20"/>
      <c r="DE22" s="12" t="str">
        <f>IF($A22="","",SUMIFS('Consumable Usage'!$E:$E,'Consumable Usage'!$A:$A,$A22,'Consumable Usage'!$D:$D,11))</f>
        <v/>
      </c>
      <c r="DF22" s="12" t="str">
        <f>IF($A22="","",SUMIFS('Nursing Charges'!$I:$I,'Nursing Charges'!$A:$A,$A22,'Nursing Charges'!$C:$C,11))</f>
        <v/>
      </c>
      <c r="DG22" s="12" t="str">
        <f>IF($A22="","",DD22+(DF22-SUMIFS('Nursing Charges'!$J:$J,'Nursing Charges'!$A:$A,$A22,'Nursing Charges'!$C:$C,11))+(DE22-SUMIFS('Consumable Usage'!$F:$F,'Consumable Usage'!$A:$A,$A22,'Consumable Usage'!$D:$D,11)))</f>
        <v/>
      </c>
      <c r="DH22" s="12" t="str">
        <f t="shared" si="31"/>
        <v/>
      </c>
      <c r="DI22" s="20"/>
      <c r="DJ22" s="12" t="str">
        <f t="shared" si="32"/>
        <v/>
      </c>
      <c r="DK22" s="45" t="str">
        <f t="shared" si="33"/>
        <v/>
      </c>
      <c r="DL22" s="15"/>
      <c r="DM22" s="15"/>
      <c r="DN22" s="20"/>
      <c r="DO22" s="12" t="str">
        <f>IF($A22="","",SUMIFS('Consumable Usage'!$E:$E,'Consumable Usage'!$A:$A,$A22,'Consumable Usage'!$D:$D,12))</f>
        <v/>
      </c>
      <c r="DP22" s="12" t="str">
        <f>IF($A22="","",SUMIFS('Nursing Charges'!$I:$I,'Nursing Charges'!$A:$A,$A22,'Nursing Charges'!$C:$C,12))</f>
        <v/>
      </c>
      <c r="DQ22" s="12" t="str">
        <f>IF($A22="","",DN22+(DP22-SUMIFS('Nursing Charges'!$J:$J,'Nursing Charges'!$A:$A,$A22,'Nursing Charges'!$C:$C,12))+(DO22-SUMIFS('Consumable Usage'!$F:$F,'Consumable Usage'!$A:$A,$A22,'Consumable Usage'!$D:$D,12)))</f>
        <v/>
      </c>
      <c r="DR22" s="12" t="str">
        <f t="shared" si="34"/>
        <v/>
      </c>
      <c r="DS22" s="20"/>
      <c r="DT22" s="12" t="str">
        <f t="shared" si="35"/>
        <v/>
      </c>
      <c r="DU22" s="45" t="str">
        <f t="shared" si="36"/>
        <v/>
      </c>
      <c r="DV22" s="15"/>
      <c r="DW22" s="15"/>
      <c r="DX22" s="20"/>
      <c r="DY22" s="12" t="str">
        <f>IF($A22="","",SUMIFS('Consumable Usage'!$E:$E,'Consumable Usage'!$A:$A,$A22,'Consumable Usage'!$D:$D,13))</f>
        <v/>
      </c>
      <c r="DZ22" s="12" t="str">
        <f>IF($A22="","",SUMIFS('Nursing Charges'!$I:$I,'Nursing Charges'!$A:$A,$A22,'Nursing Charges'!$C:$C,13))</f>
        <v/>
      </c>
      <c r="EA22" s="12" t="str">
        <f>IF($A22="","",DX22+(DZ22-SUMIFS('Nursing Charges'!$J:$J,'Nursing Charges'!$A:$A,$A22,'Nursing Charges'!$C:$C,13))+(DY22-SUMIFS('Consumable Usage'!$F:$F,'Consumable Usage'!$A:$A,$A22,'Consumable Usage'!$D:$D,13)))</f>
        <v/>
      </c>
      <c r="EB22" s="12" t="str">
        <f t="shared" si="37"/>
        <v/>
      </c>
      <c r="EC22" s="20"/>
      <c r="ED22" s="12" t="str">
        <f t="shared" si="38"/>
        <v/>
      </c>
      <c r="EE22" s="45" t="str">
        <f t="shared" si="39"/>
        <v/>
      </c>
      <c r="EF22" s="15"/>
      <c r="EG22" s="15"/>
      <c r="EH22" s="20"/>
      <c r="EI22" s="12" t="str">
        <f>IF($A22="","",SUMIFS('Consumable Usage'!$E:$E,'Consumable Usage'!$A:$A,$A22,'Consumable Usage'!$D:$D,14))</f>
        <v/>
      </c>
      <c r="EJ22" s="12" t="str">
        <f>IF($A22="","",SUMIFS('Nursing Charges'!$I:$I,'Nursing Charges'!$A:$A,$A22,'Nursing Charges'!$C:$C,14))</f>
        <v/>
      </c>
      <c r="EK22" s="12" t="str">
        <f>IF($A22="","",EH22+(EJ22-SUMIFS('Nursing Charges'!$J:$J,'Nursing Charges'!$A:$A,$A22,'Nursing Charges'!$C:$C,14))+(EI22-SUMIFS('Consumable Usage'!$F:$F,'Consumable Usage'!$A:$A,$A22,'Consumable Usage'!$D:$D,14)))</f>
        <v/>
      </c>
      <c r="EL22" s="12" t="str">
        <f t="shared" si="40"/>
        <v/>
      </c>
      <c r="EM22" s="20"/>
      <c r="EN22" s="12" t="str">
        <f t="shared" si="41"/>
        <v/>
      </c>
      <c r="EO22" s="45" t="str">
        <f t="shared" si="42"/>
        <v/>
      </c>
      <c r="EP22" s="15"/>
      <c r="EQ22" s="15"/>
      <c r="ER22" s="20"/>
      <c r="ES22" s="12" t="str">
        <f>IF($A22="","",SUMIFS('Consumable Usage'!$E:$E,'Consumable Usage'!$A:$A,$A22,'Consumable Usage'!$D:$D,15))</f>
        <v/>
      </c>
      <c r="ET22" s="12" t="str">
        <f>IF($A22="","",SUMIFS('Nursing Charges'!$I:$I,'Nursing Charges'!$A:$A,$A22,'Nursing Charges'!$C:$C,15))</f>
        <v/>
      </c>
      <c r="EU22" s="12" t="str">
        <f>IF($A22="","",ER22+(ET22-SUMIFS('Nursing Charges'!$J:$J,'Nursing Charges'!$A:$A,$A22,'Nursing Charges'!$C:$C,15))+(ES22-SUMIFS('Consumable Usage'!$F:$F,'Consumable Usage'!$A:$A,$A22,'Consumable Usage'!$D:$D,15)))</f>
        <v/>
      </c>
      <c r="EV22" s="12" t="str">
        <f t="shared" si="43"/>
        <v/>
      </c>
      <c r="EW22" s="20"/>
      <c r="EX22" s="12" t="str">
        <f t="shared" si="44"/>
        <v/>
      </c>
      <c r="EY22" s="45" t="str">
        <f t="shared" si="45"/>
        <v/>
      </c>
      <c r="EZ22" s="15"/>
      <c r="FA22" s="15"/>
      <c r="FB22" s="20"/>
      <c r="FC22" s="12" t="str">
        <f>IF($A22="","",SUMIFS('Consumable Usage'!$E:$E,'Consumable Usage'!$A:$A,$A22,'Consumable Usage'!$D:$D,16))</f>
        <v/>
      </c>
      <c r="FD22" s="12" t="str">
        <f>IF($A22="","",SUMIFS('Nursing Charges'!$I:$I,'Nursing Charges'!$A:$A,$A22,'Nursing Charges'!$C:$C,16))</f>
        <v/>
      </c>
      <c r="FE22" s="12" t="str">
        <f>IF($A22="","",FB22+(FD22-SUMIFS('Nursing Charges'!$J:$J,'Nursing Charges'!$A:$A,$A22,'Nursing Charges'!$C:$C,16))+(FC22-SUMIFS('Consumable Usage'!$F:$F,'Consumable Usage'!$A:$A,$A22,'Consumable Usage'!$D:$D,16)))</f>
        <v/>
      </c>
      <c r="FF22" s="12" t="str">
        <f t="shared" si="46"/>
        <v/>
      </c>
      <c r="FG22" s="20"/>
      <c r="FH22" s="12" t="str">
        <f t="shared" si="47"/>
        <v/>
      </c>
      <c r="FI22" s="45" t="str">
        <f t="shared" si="48"/>
        <v/>
      </c>
      <c r="FJ22" s="53"/>
      <c r="FK22" s="53"/>
      <c r="FL22" s="63"/>
      <c r="FM22" s="63" t="str">
        <f>IF($A22="","",SUMIFS('Consumable Usage'!$E:$E,'Consumable Usage'!$A:$A,$A22,'Consumable Usage'!$D:$D,16))</f>
        <v/>
      </c>
      <c r="FN22" s="63" t="str">
        <f>IF($A22="","",SUMIFS('Nursing Charges'!$I:$I,'Nursing Charges'!$A:$A,$A22,'Nursing Charges'!$C:$C,16))</f>
        <v/>
      </c>
      <c r="FO22" s="63" t="str">
        <f>IF($A22="","",FL22+(FN22-SUMIFS('Nursing Charges'!$J:$J,'Nursing Charges'!$A:$A,$A22,'Nursing Charges'!$C:$C,16))+(FM22-SUMIFS('Consumable Usage'!$F:$F,'Consumable Usage'!$A:$A,$A22,'Consumable Usage'!$D:$D,16)))</f>
        <v/>
      </c>
      <c r="FP22" s="63" t="str">
        <f t="shared" si="49"/>
        <v/>
      </c>
      <c r="FQ22" s="63"/>
      <c r="FR22" s="63" t="str">
        <f t="shared" si="50"/>
        <v/>
      </c>
      <c r="FS22" s="53" t="str">
        <f t="shared" si="51"/>
        <v/>
      </c>
    </row>
    <row r="23" ht="15.0" customHeight="1">
      <c r="A23" s="15"/>
      <c r="B23" s="15"/>
      <c r="C23" s="15"/>
      <c r="D23" s="15"/>
      <c r="E23" s="15"/>
      <c r="F23" s="15"/>
      <c r="G23" s="15"/>
      <c r="H23" s="20"/>
      <c r="I23" s="12" t="str">
        <f>IF($A23="","",SUMIFS('Consumable Usage'!$E:$E,'Consumable Usage'!$A:$A,$A23,'Consumable Usage'!$D:$D,1))</f>
        <v/>
      </c>
      <c r="J23" s="12" t="str">
        <f>IF($A23="","",SUMIFS('Nursing Charges'!$I:$I,'Nursing Charges'!$A:$A,$A23,'Nursing Charges'!$C:$C,1))</f>
        <v/>
      </c>
      <c r="K23" s="12" t="str">
        <f>IF($A23="","",H23+(J23-SUMIFS('Nursing Charges'!$J:$J,'Nursing Charges'!$A:$A,$A23,'Nursing Charges'!$C:$C,1))+(I23-SUMIFS('Consumable Usage'!$F:$F,'Consumable Usage'!$A:$A,$A23,'Consumable Usage'!$D:$D,1)))</f>
        <v/>
      </c>
      <c r="L23" s="12" t="str">
        <f t="shared" si="1"/>
        <v/>
      </c>
      <c r="M23" s="20"/>
      <c r="N23" s="12" t="str">
        <f t="shared" si="2"/>
        <v/>
      </c>
      <c r="O23" s="45" t="str">
        <f t="shared" si="3"/>
        <v/>
      </c>
      <c r="P23" s="15"/>
      <c r="Q23" s="15"/>
      <c r="R23" s="20"/>
      <c r="S23" s="12" t="str">
        <f>IF($A23="","",SUMIFS('Consumable Usage'!$E:$E,'Consumable Usage'!$A:$A,$A23,'Consumable Usage'!$D:$D,2))</f>
        <v/>
      </c>
      <c r="T23" s="12" t="str">
        <f>IF($A23="","",SUMIFS('Nursing Charges'!$I:$I,'Nursing Charges'!$A:$A,$A23,'Nursing Charges'!$C:$C,2))</f>
        <v/>
      </c>
      <c r="U23" s="12" t="str">
        <f>IF($A23="","",R23+(T23-SUMIFS('Nursing Charges'!$J:$J,'Nursing Charges'!$A:$A,$A23,'Nursing Charges'!$C:$C,2))+(S23-SUMIFS('Consumable Usage'!$F:$F,'Consumable Usage'!$A:$A,$A23,'Consumable Usage'!$D:$D,2)))</f>
        <v/>
      </c>
      <c r="V23" s="12" t="str">
        <f t="shared" si="4"/>
        <v/>
      </c>
      <c r="W23" s="20"/>
      <c r="X23" s="12" t="str">
        <f t="shared" si="5"/>
        <v/>
      </c>
      <c r="Y23" s="45" t="str">
        <f t="shared" si="6"/>
        <v/>
      </c>
      <c r="Z23" s="15"/>
      <c r="AA23" s="15"/>
      <c r="AB23" s="20"/>
      <c r="AC23" s="12" t="str">
        <f>IF($A23="","",SUMIFS('Consumable Usage'!$E:$E,'Consumable Usage'!$A:$A,$A23,'Consumable Usage'!$D:$D,3))</f>
        <v/>
      </c>
      <c r="AD23" s="12" t="str">
        <f>IF($A23="","",SUMIFS('Nursing Charges'!$I:$I,'Nursing Charges'!$A:$A,$A23,'Nursing Charges'!$C:$C,3))</f>
        <v/>
      </c>
      <c r="AE23" s="12" t="str">
        <f>IF($A23="","",AB23+(AD23-SUMIFS('Nursing Charges'!$J:$J,'Nursing Charges'!$A:$A,$A23,'Nursing Charges'!$C:$C,3))+(AC23-SUMIFS('Consumable Usage'!$F:$F,'Consumable Usage'!$A:$A,$A23,'Consumable Usage'!$D:$D,3)))</f>
        <v/>
      </c>
      <c r="AF23" s="12" t="str">
        <f t="shared" si="7"/>
        <v/>
      </c>
      <c r="AG23" s="20"/>
      <c r="AH23" s="12" t="str">
        <f t="shared" si="8"/>
        <v/>
      </c>
      <c r="AI23" s="45" t="str">
        <f t="shared" si="9"/>
        <v/>
      </c>
      <c r="AJ23" s="15"/>
      <c r="AK23" s="15"/>
      <c r="AL23" s="20"/>
      <c r="AM23" s="12" t="str">
        <f>IF($A23="","",SUMIFS('Consumable Usage'!$E:$E,'Consumable Usage'!$A:$A,$A23,'Consumable Usage'!$D:$D,4))</f>
        <v/>
      </c>
      <c r="AN23" s="12" t="str">
        <f>IF($A23="","",SUMIFS('Nursing Charges'!$I:$I,'Nursing Charges'!$A:$A,$A23,'Nursing Charges'!$C:$C,4))</f>
        <v/>
      </c>
      <c r="AO23" s="12" t="str">
        <f>IF($A23="","",AL23+(AN23-SUMIFS('Nursing Charges'!$J:$J,'Nursing Charges'!$A:$A,$A23,'Nursing Charges'!$C:$C,4))+(AM23-SUMIFS('Consumable Usage'!$F:$F,'Consumable Usage'!$A:$A,$A23,'Consumable Usage'!$D:$D,4)))</f>
        <v/>
      </c>
      <c r="AP23" s="12" t="str">
        <f t="shared" si="10"/>
        <v/>
      </c>
      <c r="AQ23" s="20"/>
      <c r="AR23" s="12" t="str">
        <f t="shared" si="11"/>
        <v/>
      </c>
      <c r="AS23" s="45" t="str">
        <f t="shared" si="12"/>
        <v/>
      </c>
      <c r="AT23" s="15"/>
      <c r="AU23" s="15"/>
      <c r="AV23" s="20"/>
      <c r="AW23" s="12" t="str">
        <f>IF($A23="","",SUMIFS('Consumable Usage'!$E:$E,'Consumable Usage'!$A:$A,$A23,'Consumable Usage'!$D:$D,5))</f>
        <v/>
      </c>
      <c r="AX23" s="12" t="str">
        <f>IF($A23="","",SUMIFS('Nursing Charges'!$I:$I,'Nursing Charges'!$A:$A,$A23,'Nursing Charges'!$C:$C,5))</f>
        <v/>
      </c>
      <c r="AY23" s="12" t="str">
        <f>IF($A23="","",AV23+(AX23-SUMIFS('Nursing Charges'!$J:$J,'Nursing Charges'!$A:$A,$A23,'Nursing Charges'!$C:$C,5))+(AW23-SUMIFS('Consumable Usage'!$F:$F,'Consumable Usage'!$A:$A,$A23,'Consumable Usage'!$D:$D,5)))</f>
        <v/>
      </c>
      <c r="AZ23" s="12" t="str">
        <f t="shared" si="13"/>
        <v/>
      </c>
      <c r="BA23" s="20"/>
      <c r="BB23" s="12" t="str">
        <f t="shared" si="14"/>
        <v/>
      </c>
      <c r="BC23" s="45" t="str">
        <f t="shared" si="15"/>
        <v/>
      </c>
      <c r="BD23" s="15"/>
      <c r="BE23" s="15"/>
      <c r="BF23" s="20"/>
      <c r="BG23" s="12" t="str">
        <f>IF($A23="","",SUMIFS('Consumable Usage'!$E:$E,'Consumable Usage'!$A:$A,$A23,'Consumable Usage'!$D:$D,6))</f>
        <v/>
      </c>
      <c r="BH23" s="12" t="str">
        <f>IF($A23="","",SUMIFS('Nursing Charges'!$I:$I,'Nursing Charges'!$A:$A,$A23,'Nursing Charges'!$C:$C,6))</f>
        <v/>
      </c>
      <c r="BI23" s="12" t="str">
        <f>IF($A23="","",BF23+(BH23-SUMIFS('Nursing Charges'!$J:$J,'Nursing Charges'!$A:$A,$A23,'Nursing Charges'!$C:$C,6))+(BG23-SUMIFS('Consumable Usage'!$F:$F,'Consumable Usage'!$A:$A,$A23,'Consumable Usage'!$D:$D,6)))</f>
        <v/>
      </c>
      <c r="BJ23" s="12" t="str">
        <f t="shared" si="16"/>
        <v/>
      </c>
      <c r="BK23" s="20"/>
      <c r="BL23" s="12" t="str">
        <f t="shared" si="17"/>
        <v/>
      </c>
      <c r="BM23" s="45" t="str">
        <f t="shared" si="18"/>
        <v/>
      </c>
      <c r="BN23" s="15"/>
      <c r="BO23" s="15"/>
      <c r="BP23" s="20"/>
      <c r="BQ23" s="12" t="str">
        <f>IF($A23="","",SUMIFS('Consumable Usage'!$E:$E,'Consumable Usage'!$A:$A,$A23,'Consumable Usage'!$D:$D,7))</f>
        <v/>
      </c>
      <c r="BR23" s="12" t="str">
        <f>IF($A23="","",SUMIFS('Nursing Charges'!$I:$I,'Nursing Charges'!$A:$A,$A23,'Nursing Charges'!$C:$C,7))</f>
        <v/>
      </c>
      <c r="BS23" s="12" t="str">
        <f>IF($A23="","",BP23+(BR23-SUMIFS('Nursing Charges'!$J:$J,'Nursing Charges'!$A:$A,$A23,'Nursing Charges'!$C:$C,7))+(BQ23-SUMIFS('Consumable Usage'!$F:$F,'Consumable Usage'!$A:$A,$A23,'Consumable Usage'!$D:$D,7)))</f>
        <v/>
      </c>
      <c r="BT23" s="12" t="str">
        <f t="shared" si="19"/>
        <v/>
      </c>
      <c r="BU23" s="20"/>
      <c r="BV23" s="12" t="str">
        <f t="shared" si="20"/>
        <v/>
      </c>
      <c r="BW23" s="45" t="str">
        <f t="shared" si="21"/>
        <v/>
      </c>
      <c r="BX23" s="15"/>
      <c r="BY23" s="15"/>
      <c r="BZ23" s="20"/>
      <c r="CA23" s="12" t="str">
        <f>IF($A23="","",SUMIFS('Consumable Usage'!$E:$E,'Consumable Usage'!$A:$A,$A23,'Consumable Usage'!$D:$D,8))</f>
        <v/>
      </c>
      <c r="CB23" s="12" t="str">
        <f>IF($A23="","",SUMIFS('Nursing Charges'!$I:$I,'Nursing Charges'!$A:$A,$A23,'Nursing Charges'!$C:$C,8))</f>
        <v/>
      </c>
      <c r="CC23" s="12" t="str">
        <f>IF($A23="","",BZ23+(CB23-SUMIFS('Nursing Charges'!$J:$J,'Nursing Charges'!$A:$A,$A23,'Nursing Charges'!$C:$C,8))+(CA23-SUMIFS('Consumable Usage'!$F:$F,'Consumable Usage'!$A:$A,$A23,'Consumable Usage'!$D:$D,8)))</f>
        <v/>
      </c>
      <c r="CD23" s="12" t="str">
        <f t="shared" si="22"/>
        <v/>
      </c>
      <c r="CE23" s="20"/>
      <c r="CF23" s="12" t="str">
        <f t="shared" si="23"/>
        <v/>
      </c>
      <c r="CG23" s="45" t="str">
        <f t="shared" si="24"/>
        <v/>
      </c>
      <c r="CH23" s="15"/>
      <c r="CI23" s="15"/>
      <c r="CJ23" s="20"/>
      <c r="CK23" s="12" t="str">
        <f>IF($A23="","",SUMIFS('Consumable Usage'!$E:$E,'Consumable Usage'!$A:$A,$A23,'Consumable Usage'!$D:$D,9))</f>
        <v/>
      </c>
      <c r="CL23" s="12" t="str">
        <f>IF($A23="","",SUMIFS('Nursing Charges'!$I:$I,'Nursing Charges'!$A:$A,$A23,'Nursing Charges'!$C:$C,9))</f>
        <v/>
      </c>
      <c r="CM23" s="12" t="str">
        <f>IF($A23="","",CJ23+(CL23-SUMIFS('Nursing Charges'!$J:$J,'Nursing Charges'!$A:$A,$A23,'Nursing Charges'!$C:$C,9))+(CK23-SUMIFS('Consumable Usage'!$F:$F,'Consumable Usage'!$A:$A,$A23,'Consumable Usage'!$D:$D,9)))</f>
        <v/>
      </c>
      <c r="CN23" s="12" t="str">
        <f t="shared" si="25"/>
        <v/>
      </c>
      <c r="CO23" s="20"/>
      <c r="CP23" s="12" t="str">
        <f t="shared" si="26"/>
        <v/>
      </c>
      <c r="CQ23" s="45" t="str">
        <f t="shared" si="27"/>
        <v/>
      </c>
      <c r="CR23" s="15"/>
      <c r="CS23" s="15"/>
      <c r="CT23" s="20"/>
      <c r="CU23" s="12" t="str">
        <f>IF($A23="","",SUMIFS('Consumable Usage'!$E:$E,'Consumable Usage'!$A:$A,$A23,'Consumable Usage'!$D:$D,10))</f>
        <v/>
      </c>
      <c r="CV23" s="12" t="str">
        <f>IF($A23="","",SUMIFS('Nursing Charges'!$I:$I,'Nursing Charges'!$A:$A,$A23,'Nursing Charges'!$C:$C,10))</f>
        <v/>
      </c>
      <c r="CW23" s="12" t="str">
        <f>IF($A23="","",CT23+(CV23-SUMIFS('Nursing Charges'!$J:$J,'Nursing Charges'!$A:$A,$A23,'Nursing Charges'!$C:$C,10))+(CU23-SUMIFS('Consumable Usage'!$F:$F,'Consumable Usage'!$A:$A,$A23,'Consumable Usage'!$D:$D,10)))</f>
        <v/>
      </c>
      <c r="CX23" s="12" t="str">
        <f t="shared" si="28"/>
        <v/>
      </c>
      <c r="CY23" s="20"/>
      <c r="CZ23" s="12" t="str">
        <f t="shared" si="29"/>
        <v/>
      </c>
      <c r="DA23" s="45" t="str">
        <f t="shared" si="30"/>
        <v/>
      </c>
      <c r="DB23" s="15"/>
      <c r="DC23" s="15"/>
      <c r="DD23" s="20"/>
      <c r="DE23" s="12" t="str">
        <f>IF($A23="","",SUMIFS('Consumable Usage'!$E:$E,'Consumable Usage'!$A:$A,$A23,'Consumable Usage'!$D:$D,11))</f>
        <v/>
      </c>
      <c r="DF23" s="12" t="str">
        <f>IF($A23="","",SUMIFS('Nursing Charges'!$I:$I,'Nursing Charges'!$A:$A,$A23,'Nursing Charges'!$C:$C,11))</f>
        <v/>
      </c>
      <c r="DG23" s="12" t="str">
        <f>IF($A23="","",DD23+(DF23-SUMIFS('Nursing Charges'!$J:$J,'Nursing Charges'!$A:$A,$A23,'Nursing Charges'!$C:$C,11))+(DE23-SUMIFS('Consumable Usage'!$F:$F,'Consumable Usage'!$A:$A,$A23,'Consumable Usage'!$D:$D,11)))</f>
        <v/>
      </c>
      <c r="DH23" s="12" t="str">
        <f t="shared" si="31"/>
        <v/>
      </c>
      <c r="DI23" s="20"/>
      <c r="DJ23" s="12" t="str">
        <f t="shared" si="32"/>
        <v/>
      </c>
      <c r="DK23" s="45" t="str">
        <f t="shared" si="33"/>
        <v/>
      </c>
      <c r="DL23" s="15"/>
      <c r="DM23" s="15"/>
      <c r="DN23" s="20"/>
      <c r="DO23" s="12" t="str">
        <f>IF($A23="","",SUMIFS('Consumable Usage'!$E:$E,'Consumable Usage'!$A:$A,$A23,'Consumable Usage'!$D:$D,12))</f>
        <v/>
      </c>
      <c r="DP23" s="12" t="str">
        <f>IF($A23="","",SUMIFS('Nursing Charges'!$I:$I,'Nursing Charges'!$A:$A,$A23,'Nursing Charges'!$C:$C,12))</f>
        <v/>
      </c>
      <c r="DQ23" s="12" t="str">
        <f>IF($A23="","",DN23+(DP23-SUMIFS('Nursing Charges'!$J:$J,'Nursing Charges'!$A:$A,$A23,'Nursing Charges'!$C:$C,12))+(DO23-SUMIFS('Consumable Usage'!$F:$F,'Consumable Usage'!$A:$A,$A23,'Consumable Usage'!$D:$D,12)))</f>
        <v/>
      </c>
      <c r="DR23" s="12" t="str">
        <f t="shared" si="34"/>
        <v/>
      </c>
      <c r="DS23" s="20"/>
      <c r="DT23" s="12" t="str">
        <f t="shared" si="35"/>
        <v/>
      </c>
      <c r="DU23" s="45" t="str">
        <f t="shared" si="36"/>
        <v/>
      </c>
      <c r="DV23" s="15"/>
      <c r="DW23" s="15"/>
      <c r="DX23" s="20"/>
      <c r="DY23" s="12" t="str">
        <f>IF($A23="","",SUMIFS('Consumable Usage'!$E:$E,'Consumable Usage'!$A:$A,$A23,'Consumable Usage'!$D:$D,13))</f>
        <v/>
      </c>
      <c r="DZ23" s="12" t="str">
        <f>IF($A23="","",SUMIFS('Nursing Charges'!$I:$I,'Nursing Charges'!$A:$A,$A23,'Nursing Charges'!$C:$C,13))</f>
        <v/>
      </c>
      <c r="EA23" s="12" t="str">
        <f>IF($A23="","",DX23+(DZ23-SUMIFS('Nursing Charges'!$J:$J,'Nursing Charges'!$A:$A,$A23,'Nursing Charges'!$C:$C,13))+(DY23-SUMIFS('Consumable Usage'!$F:$F,'Consumable Usage'!$A:$A,$A23,'Consumable Usage'!$D:$D,13)))</f>
        <v/>
      </c>
      <c r="EB23" s="12" t="str">
        <f t="shared" si="37"/>
        <v/>
      </c>
      <c r="EC23" s="20"/>
      <c r="ED23" s="12" t="str">
        <f t="shared" si="38"/>
        <v/>
      </c>
      <c r="EE23" s="45" t="str">
        <f t="shared" si="39"/>
        <v/>
      </c>
      <c r="EF23" s="15"/>
      <c r="EG23" s="15"/>
      <c r="EH23" s="20"/>
      <c r="EI23" s="12" t="str">
        <f>IF($A23="","",SUMIFS('Consumable Usage'!$E:$E,'Consumable Usage'!$A:$A,$A23,'Consumable Usage'!$D:$D,14))</f>
        <v/>
      </c>
      <c r="EJ23" s="12" t="str">
        <f>IF($A23="","",SUMIFS('Nursing Charges'!$I:$I,'Nursing Charges'!$A:$A,$A23,'Nursing Charges'!$C:$C,14))</f>
        <v/>
      </c>
      <c r="EK23" s="12" t="str">
        <f>IF($A23="","",EH23+(EJ23-SUMIFS('Nursing Charges'!$J:$J,'Nursing Charges'!$A:$A,$A23,'Nursing Charges'!$C:$C,14))+(EI23-SUMIFS('Consumable Usage'!$F:$F,'Consumable Usage'!$A:$A,$A23,'Consumable Usage'!$D:$D,14)))</f>
        <v/>
      </c>
      <c r="EL23" s="12" t="str">
        <f t="shared" si="40"/>
        <v/>
      </c>
      <c r="EM23" s="20"/>
      <c r="EN23" s="12" t="str">
        <f t="shared" si="41"/>
        <v/>
      </c>
      <c r="EO23" s="45" t="str">
        <f t="shared" si="42"/>
        <v/>
      </c>
      <c r="EP23" s="15"/>
      <c r="EQ23" s="15"/>
      <c r="ER23" s="20"/>
      <c r="ES23" s="12" t="str">
        <f>IF($A23="","",SUMIFS('Consumable Usage'!$E:$E,'Consumable Usage'!$A:$A,$A23,'Consumable Usage'!$D:$D,15))</f>
        <v/>
      </c>
      <c r="ET23" s="12" t="str">
        <f>IF($A23="","",SUMIFS('Nursing Charges'!$I:$I,'Nursing Charges'!$A:$A,$A23,'Nursing Charges'!$C:$C,15))</f>
        <v/>
      </c>
      <c r="EU23" s="12" t="str">
        <f>IF($A23="","",ER23+(ET23-SUMIFS('Nursing Charges'!$J:$J,'Nursing Charges'!$A:$A,$A23,'Nursing Charges'!$C:$C,15))+(ES23-SUMIFS('Consumable Usage'!$F:$F,'Consumable Usage'!$A:$A,$A23,'Consumable Usage'!$D:$D,15)))</f>
        <v/>
      </c>
      <c r="EV23" s="12" t="str">
        <f t="shared" si="43"/>
        <v/>
      </c>
      <c r="EW23" s="20"/>
      <c r="EX23" s="12" t="str">
        <f t="shared" si="44"/>
        <v/>
      </c>
      <c r="EY23" s="45" t="str">
        <f t="shared" si="45"/>
        <v/>
      </c>
      <c r="EZ23" s="15"/>
      <c r="FA23" s="15"/>
      <c r="FB23" s="20"/>
      <c r="FC23" s="12" t="str">
        <f>IF($A23="","",SUMIFS('Consumable Usage'!$E:$E,'Consumable Usage'!$A:$A,$A23,'Consumable Usage'!$D:$D,16))</f>
        <v/>
      </c>
      <c r="FD23" s="12" t="str">
        <f>IF($A23="","",SUMIFS('Nursing Charges'!$I:$I,'Nursing Charges'!$A:$A,$A23,'Nursing Charges'!$C:$C,16))</f>
        <v/>
      </c>
      <c r="FE23" s="12" t="str">
        <f>IF($A23="","",FB23+(FD23-SUMIFS('Nursing Charges'!$J:$J,'Nursing Charges'!$A:$A,$A23,'Nursing Charges'!$C:$C,16))+(FC23-SUMIFS('Consumable Usage'!$F:$F,'Consumable Usage'!$A:$A,$A23,'Consumable Usage'!$D:$D,16)))</f>
        <v/>
      </c>
      <c r="FF23" s="12" t="str">
        <f t="shared" si="46"/>
        <v/>
      </c>
      <c r="FG23" s="20"/>
      <c r="FH23" s="12" t="str">
        <f t="shared" si="47"/>
        <v/>
      </c>
      <c r="FI23" s="45" t="str">
        <f t="shared" si="48"/>
        <v/>
      </c>
      <c r="FJ23" s="53"/>
      <c r="FK23" s="53"/>
      <c r="FL23" s="63"/>
      <c r="FM23" s="63" t="str">
        <f>IF($A23="","",SUMIFS('Consumable Usage'!$E:$E,'Consumable Usage'!$A:$A,$A23,'Consumable Usage'!$D:$D,16))</f>
        <v/>
      </c>
      <c r="FN23" s="63" t="str">
        <f>IF($A23="","",SUMIFS('Nursing Charges'!$I:$I,'Nursing Charges'!$A:$A,$A23,'Nursing Charges'!$C:$C,16))</f>
        <v/>
      </c>
      <c r="FO23" s="63" t="str">
        <f>IF($A23="","",FL23+(FN23-SUMIFS('Nursing Charges'!$J:$J,'Nursing Charges'!$A:$A,$A23,'Nursing Charges'!$C:$C,16))+(FM23-SUMIFS('Consumable Usage'!$F:$F,'Consumable Usage'!$A:$A,$A23,'Consumable Usage'!$D:$D,16)))</f>
        <v/>
      </c>
      <c r="FP23" s="63" t="str">
        <f t="shared" si="49"/>
        <v/>
      </c>
      <c r="FQ23" s="63"/>
      <c r="FR23" s="63" t="str">
        <f t="shared" si="50"/>
        <v/>
      </c>
      <c r="FS23" s="53" t="str">
        <f t="shared" si="51"/>
        <v/>
      </c>
    </row>
    <row r="24" ht="15.0" customHeight="1">
      <c r="A24" s="15"/>
      <c r="B24" s="15"/>
      <c r="C24" s="15"/>
      <c r="D24" s="15"/>
      <c r="E24" s="15"/>
      <c r="F24" s="15"/>
      <c r="G24" s="15"/>
      <c r="H24" s="20"/>
      <c r="I24" s="12" t="str">
        <f>IF($A24="","",SUMIFS('Consumable Usage'!$E:$E,'Consumable Usage'!$A:$A,$A24,'Consumable Usage'!$D:$D,1))</f>
        <v/>
      </c>
      <c r="J24" s="12" t="str">
        <f>IF($A24="","",SUMIFS('Nursing Charges'!$I:$I,'Nursing Charges'!$A:$A,$A24,'Nursing Charges'!$C:$C,1))</f>
        <v/>
      </c>
      <c r="K24" s="12" t="str">
        <f>IF($A24="","",H24+(J24-SUMIFS('Nursing Charges'!$J:$J,'Nursing Charges'!$A:$A,$A24,'Nursing Charges'!$C:$C,1))+(I24-SUMIFS('Consumable Usage'!$F:$F,'Consumable Usage'!$A:$A,$A24,'Consumable Usage'!$D:$D,1)))</f>
        <v/>
      </c>
      <c r="L24" s="12" t="str">
        <f t="shared" si="1"/>
        <v/>
      </c>
      <c r="M24" s="20"/>
      <c r="N24" s="12" t="str">
        <f t="shared" si="2"/>
        <v/>
      </c>
      <c r="O24" s="45" t="str">
        <f t="shared" si="3"/>
        <v/>
      </c>
      <c r="P24" s="15"/>
      <c r="Q24" s="15"/>
      <c r="R24" s="20"/>
      <c r="S24" s="12" t="str">
        <f>IF($A24="","",SUMIFS('Consumable Usage'!$E:$E,'Consumable Usage'!$A:$A,$A24,'Consumable Usage'!$D:$D,2))</f>
        <v/>
      </c>
      <c r="T24" s="12" t="str">
        <f>IF($A24="","",SUMIFS('Nursing Charges'!$I:$I,'Nursing Charges'!$A:$A,$A24,'Nursing Charges'!$C:$C,2))</f>
        <v/>
      </c>
      <c r="U24" s="12" t="str">
        <f>IF($A24="","",R24+(T24-SUMIFS('Nursing Charges'!$J:$J,'Nursing Charges'!$A:$A,$A24,'Nursing Charges'!$C:$C,2))+(S24-SUMIFS('Consumable Usage'!$F:$F,'Consumable Usage'!$A:$A,$A24,'Consumable Usage'!$D:$D,2)))</f>
        <v/>
      </c>
      <c r="V24" s="12" t="str">
        <f t="shared" si="4"/>
        <v/>
      </c>
      <c r="W24" s="20"/>
      <c r="X24" s="12" t="str">
        <f t="shared" si="5"/>
        <v/>
      </c>
      <c r="Y24" s="45" t="str">
        <f t="shared" si="6"/>
        <v/>
      </c>
      <c r="Z24" s="15"/>
      <c r="AA24" s="15"/>
      <c r="AB24" s="20"/>
      <c r="AC24" s="12" t="str">
        <f>IF($A24="","",SUMIFS('Consumable Usage'!$E:$E,'Consumable Usage'!$A:$A,$A24,'Consumable Usage'!$D:$D,3))</f>
        <v/>
      </c>
      <c r="AD24" s="12" t="str">
        <f>IF($A24="","",SUMIFS('Nursing Charges'!$I:$I,'Nursing Charges'!$A:$A,$A24,'Nursing Charges'!$C:$C,3))</f>
        <v/>
      </c>
      <c r="AE24" s="12" t="str">
        <f>IF($A24="","",AB24+(AD24-SUMIFS('Nursing Charges'!$J:$J,'Nursing Charges'!$A:$A,$A24,'Nursing Charges'!$C:$C,3))+(AC24-SUMIFS('Consumable Usage'!$F:$F,'Consumable Usage'!$A:$A,$A24,'Consumable Usage'!$D:$D,3)))</f>
        <v/>
      </c>
      <c r="AF24" s="12" t="str">
        <f t="shared" si="7"/>
        <v/>
      </c>
      <c r="AG24" s="20"/>
      <c r="AH24" s="12" t="str">
        <f t="shared" si="8"/>
        <v/>
      </c>
      <c r="AI24" s="45" t="str">
        <f t="shared" si="9"/>
        <v/>
      </c>
      <c r="AJ24" s="15"/>
      <c r="AK24" s="15"/>
      <c r="AL24" s="20"/>
      <c r="AM24" s="12" t="str">
        <f>IF($A24="","",SUMIFS('Consumable Usage'!$E:$E,'Consumable Usage'!$A:$A,$A24,'Consumable Usage'!$D:$D,4))</f>
        <v/>
      </c>
      <c r="AN24" s="12" t="str">
        <f>IF($A24="","",SUMIFS('Nursing Charges'!$I:$I,'Nursing Charges'!$A:$A,$A24,'Nursing Charges'!$C:$C,4))</f>
        <v/>
      </c>
      <c r="AO24" s="12" t="str">
        <f>IF($A24="","",AL24+(AN24-SUMIFS('Nursing Charges'!$J:$J,'Nursing Charges'!$A:$A,$A24,'Nursing Charges'!$C:$C,4))+(AM24-SUMIFS('Consumable Usage'!$F:$F,'Consumable Usage'!$A:$A,$A24,'Consumable Usage'!$D:$D,4)))</f>
        <v/>
      </c>
      <c r="AP24" s="12" t="str">
        <f t="shared" si="10"/>
        <v/>
      </c>
      <c r="AQ24" s="20"/>
      <c r="AR24" s="12" t="str">
        <f t="shared" si="11"/>
        <v/>
      </c>
      <c r="AS24" s="45" t="str">
        <f t="shared" si="12"/>
        <v/>
      </c>
      <c r="AT24" s="15"/>
      <c r="AU24" s="15"/>
      <c r="AV24" s="20"/>
      <c r="AW24" s="12" t="str">
        <f>IF($A24="","",SUMIFS('Consumable Usage'!$E:$E,'Consumable Usage'!$A:$A,$A24,'Consumable Usage'!$D:$D,5))</f>
        <v/>
      </c>
      <c r="AX24" s="12" t="str">
        <f>IF($A24="","",SUMIFS('Nursing Charges'!$I:$I,'Nursing Charges'!$A:$A,$A24,'Nursing Charges'!$C:$C,5))</f>
        <v/>
      </c>
      <c r="AY24" s="12" t="str">
        <f>IF($A24="","",AV24+(AX24-SUMIFS('Nursing Charges'!$J:$J,'Nursing Charges'!$A:$A,$A24,'Nursing Charges'!$C:$C,5))+(AW24-SUMIFS('Consumable Usage'!$F:$F,'Consumable Usage'!$A:$A,$A24,'Consumable Usage'!$D:$D,5)))</f>
        <v/>
      </c>
      <c r="AZ24" s="12" t="str">
        <f t="shared" si="13"/>
        <v/>
      </c>
      <c r="BA24" s="20"/>
      <c r="BB24" s="12" t="str">
        <f t="shared" si="14"/>
        <v/>
      </c>
      <c r="BC24" s="45" t="str">
        <f t="shared" si="15"/>
        <v/>
      </c>
      <c r="BD24" s="15"/>
      <c r="BE24" s="15"/>
      <c r="BF24" s="20"/>
      <c r="BG24" s="12" t="str">
        <f>IF($A24="","",SUMIFS('Consumable Usage'!$E:$E,'Consumable Usage'!$A:$A,$A24,'Consumable Usage'!$D:$D,6))</f>
        <v/>
      </c>
      <c r="BH24" s="12" t="str">
        <f>IF($A24="","",SUMIFS('Nursing Charges'!$I:$I,'Nursing Charges'!$A:$A,$A24,'Nursing Charges'!$C:$C,6))</f>
        <v/>
      </c>
      <c r="BI24" s="12" t="str">
        <f>IF($A24="","",BF24+(BH24-SUMIFS('Nursing Charges'!$J:$J,'Nursing Charges'!$A:$A,$A24,'Nursing Charges'!$C:$C,6))+(BG24-SUMIFS('Consumable Usage'!$F:$F,'Consumable Usage'!$A:$A,$A24,'Consumable Usage'!$D:$D,6)))</f>
        <v/>
      </c>
      <c r="BJ24" s="12" t="str">
        <f t="shared" si="16"/>
        <v/>
      </c>
      <c r="BK24" s="20"/>
      <c r="BL24" s="12" t="str">
        <f t="shared" si="17"/>
        <v/>
      </c>
      <c r="BM24" s="45" t="str">
        <f t="shared" si="18"/>
        <v/>
      </c>
      <c r="BN24" s="15"/>
      <c r="BO24" s="15"/>
      <c r="BP24" s="20"/>
      <c r="BQ24" s="12" t="str">
        <f>IF($A24="","",SUMIFS('Consumable Usage'!$E:$E,'Consumable Usage'!$A:$A,$A24,'Consumable Usage'!$D:$D,7))</f>
        <v/>
      </c>
      <c r="BR24" s="12" t="str">
        <f>IF($A24="","",SUMIFS('Nursing Charges'!$I:$I,'Nursing Charges'!$A:$A,$A24,'Nursing Charges'!$C:$C,7))</f>
        <v/>
      </c>
      <c r="BS24" s="12" t="str">
        <f>IF($A24="","",BP24+(BR24-SUMIFS('Nursing Charges'!$J:$J,'Nursing Charges'!$A:$A,$A24,'Nursing Charges'!$C:$C,7))+(BQ24-SUMIFS('Consumable Usage'!$F:$F,'Consumable Usage'!$A:$A,$A24,'Consumable Usage'!$D:$D,7)))</f>
        <v/>
      </c>
      <c r="BT24" s="12" t="str">
        <f t="shared" si="19"/>
        <v/>
      </c>
      <c r="BU24" s="20"/>
      <c r="BV24" s="12" t="str">
        <f t="shared" si="20"/>
        <v/>
      </c>
      <c r="BW24" s="45" t="str">
        <f t="shared" si="21"/>
        <v/>
      </c>
      <c r="BX24" s="15"/>
      <c r="BY24" s="15"/>
      <c r="BZ24" s="20"/>
      <c r="CA24" s="12" t="str">
        <f>IF($A24="","",SUMIFS('Consumable Usage'!$E:$E,'Consumable Usage'!$A:$A,$A24,'Consumable Usage'!$D:$D,8))</f>
        <v/>
      </c>
      <c r="CB24" s="12" t="str">
        <f>IF($A24="","",SUMIFS('Nursing Charges'!$I:$I,'Nursing Charges'!$A:$A,$A24,'Nursing Charges'!$C:$C,8))</f>
        <v/>
      </c>
      <c r="CC24" s="12" t="str">
        <f>IF($A24="","",BZ24+(CB24-SUMIFS('Nursing Charges'!$J:$J,'Nursing Charges'!$A:$A,$A24,'Nursing Charges'!$C:$C,8))+(CA24-SUMIFS('Consumable Usage'!$F:$F,'Consumable Usage'!$A:$A,$A24,'Consumable Usage'!$D:$D,8)))</f>
        <v/>
      </c>
      <c r="CD24" s="12" t="str">
        <f t="shared" si="22"/>
        <v/>
      </c>
      <c r="CE24" s="20"/>
      <c r="CF24" s="12" t="str">
        <f t="shared" si="23"/>
        <v/>
      </c>
      <c r="CG24" s="45" t="str">
        <f t="shared" si="24"/>
        <v/>
      </c>
      <c r="CH24" s="15"/>
      <c r="CI24" s="15"/>
      <c r="CJ24" s="20"/>
      <c r="CK24" s="12" t="str">
        <f>IF($A24="","",SUMIFS('Consumable Usage'!$E:$E,'Consumable Usage'!$A:$A,$A24,'Consumable Usage'!$D:$D,9))</f>
        <v/>
      </c>
      <c r="CL24" s="12" t="str">
        <f>IF($A24="","",SUMIFS('Nursing Charges'!$I:$I,'Nursing Charges'!$A:$A,$A24,'Nursing Charges'!$C:$C,9))</f>
        <v/>
      </c>
      <c r="CM24" s="12" t="str">
        <f>IF($A24="","",CJ24+(CL24-SUMIFS('Nursing Charges'!$J:$J,'Nursing Charges'!$A:$A,$A24,'Nursing Charges'!$C:$C,9))+(CK24-SUMIFS('Consumable Usage'!$F:$F,'Consumable Usage'!$A:$A,$A24,'Consumable Usage'!$D:$D,9)))</f>
        <v/>
      </c>
      <c r="CN24" s="12" t="str">
        <f t="shared" si="25"/>
        <v/>
      </c>
      <c r="CO24" s="20"/>
      <c r="CP24" s="12" t="str">
        <f t="shared" si="26"/>
        <v/>
      </c>
      <c r="CQ24" s="45" t="str">
        <f t="shared" si="27"/>
        <v/>
      </c>
      <c r="CR24" s="15"/>
      <c r="CS24" s="15"/>
      <c r="CT24" s="20"/>
      <c r="CU24" s="12" t="str">
        <f>IF($A24="","",SUMIFS('Consumable Usage'!$E:$E,'Consumable Usage'!$A:$A,$A24,'Consumable Usage'!$D:$D,10))</f>
        <v/>
      </c>
      <c r="CV24" s="12" t="str">
        <f>IF($A24="","",SUMIFS('Nursing Charges'!$I:$I,'Nursing Charges'!$A:$A,$A24,'Nursing Charges'!$C:$C,10))</f>
        <v/>
      </c>
      <c r="CW24" s="12" t="str">
        <f>IF($A24="","",CT24+(CV24-SUMIFS('Nursing Charges'!$J:$J,'Nursing Charges'!$A:$A,$A24,'Nursing Charges'!$C:$C,10))+(CU24-SUMIFS('Consumable Usage'!$F:$F,'Consumable Usage'!$A:$A,$A24,'Consumable Usage'!$D:$D,10)))</f>
        <v/>
      </c>
      <c r="CX24" s="12" t="str">
        <f t="shared" si="28"/>
        <v/>
      </c>
      <c r="CY24" s="20"/>
      <c r="CZ24" s="12" t="str">
        <f t="shared" si="29"/>
        <v/>
      </c>
      <c r="DA24" s="45" t="str">
        <f t="shared" si="30"/>
        <v/>
      </c>
      <c r="DB24" s="15"/>
      <c r="DC24" s="15"/>
      <c r="DD24" s="20"/>
      <c r="DE24" s="12" t="str">
        <f>IF($A24="","",SUMIFS('Consumable Usage'!$E:$E,'Consumable Usage'!$A:$A,$A24,'Consumable Usage'!$D:$D,11))</f>
        <v/>
      </c>
      <c r="DF24" s="12" t="str">
        <f>IF($A24="","",SUMIFS('Nursing Charges'!$I:$I,'Nursing Charges'!$A:$A,$A24,'Nursing Charges'!$C:$C,11))</f>
        <v/>
      </c>
      <c r="DG24" s="12" t="str">
        <f>IF($A24="","",DD24+(DF24-SUMIFS('Nursing Charges'!$J:$J,'Nursing Charges'!$A:$A,$A24,'Nursing Charges'!$C:$C,11))+(DE24-SUMIFS('Consumable Usage'!$F:$F,'Consumable Usage'!$A:$A,$A24,'Consumable Usage'!$D:$D,11)))</f>
        <v/>
      </c>
      <c r="DH24" s="12" t="str">
        <f t="shared" si="31"/>
        <v/>
      </c>
      <c r="DI24" s="20"/>
      <c r="DJ24" s="12" t="str">
        <f t="shared" si="32"/>
        <v/>
      </c>
      <c r="DK24" s="45" t="str">
        <f t="shared" si="33"/>
        <v/>
      </c>
      <c r="DL24" s="15"/>
      <c r="DM24" s="15"/>
      <c r="DN24" s="20"/>
      <c r="DO24" s="12" t="str">
        <f>IF($A24="","",SUMIFS('Consumable Usage'!$E:$E,'Consumable Usage'!$A:$A,$A24,'Consumable Usage'!$D:$D,12))</f>
        <v/>
      </c>
      <c r="DP24" s="12" t="str">
        <f>IF($A24="","",SUMIFS('Nursing Charges'!$I:$I,'Nursing Charges'!$A:$A,$A24,'Nursing Charges'!$C:$C,12))</f>
        <v/>
      </c>
      <c r="DQ24" s="12" t="str">
        <f>IF($A24="","",DN24+(DP24-SUMIFS('Nursing Charges'!$J:$J,'Nursing Charges'!$A:$A,$A24,'Nursing Charges'!$C:$C,12))+(DO24-SUMIFS('Consumable Usage'!$F:$F,'Consumable Usage'!$A:$A,$A24,'Consumable Usage'!$D:$D,12)))</f>
        <v/>
      </c>
      <c r="DR24" s="12" t="str">
        <f t="shared" si="34"/>
        <v/>
      </c>
      <c r="DS24" s="20"/>
      <c r="DT24" s="12" t="str">
        <f t="shared" si="35"/>
        <v/>
      </c>
      <c r="DU24" s="45" t="str">
        <f t="shared" si="36"/>
        <v/>
      </c>
      <c r="DV24" s="15"/>
      <c r="DW24" s="15"/>
      <c r="DX24" s="20"/>
      <c r="DY24" s="12" t="str">
        <f>IF($A24="","",SUMIFS('Consumable Usage'!$E:$E,'Consumable Usage'!$A:$A,$A24,'Consumable Usage'!$D:$D,13))</f>
        <v/>
      </c>
      <c r="DZ24" s="12" t="str">
        <f>IF($A24="","",SUMIFS('Nursing Charges'!$I:$I,'Nursing Charges'!$A:$A,$A24,'Nursing Charges'!$C:$C,13))</f>
        <v/>
      </c>
      <c r="EA24" s="12" t="str">
        <f>IF($A24="","",DX24+(DZ24-SUMIFS('Nursing Charges'!$J:$J,'Nursing Charges'!$A:$A,$A24,'Nursing Charges'!$C:$C,13))+(DY24-SUMIFS('Consumable Usage'!$F:$F,'Consumable Usage'!$A:$A,$A24,'Consumable Usage'!$D:$D,13)))</f>
        <v/>
      </c>
      <c r="EB24" s="12" t="str">
        <f t="shared" si="37"/>
        <v/>
      </c>
      <c r="EC24" s="20"/>
      <c r="ED24" s="12" t="str">
        <f t="shared" si="38"/>
        <v/>
      </c>
      <c r="EE24" s="45" t="str">
        <f t="shared" si="39"/>
        <v/>
      </c>
      <c r="EF24" s="15"/>
      <c r="EG24" s="15"/>
      <c r="EH24" s="20"/>
      <c r="EI24" s="12" t="str">
        <f>IF($A24="","",SUMIFS('Consumable Usage'!$E:$E,'Consumable Usage'!$A:$A,$A24,'Consumable Usage'!$D:$D,14))</f>
        <v/>
      </c>
      <c r="EJ24" s="12" t="str">
        <f>IF($A24="","",SUMIFS('Nursing Charges'!$I:$I,'Nursing Charges'!$A:$A,$A24,'Nursing Charges'!$C:$C,14))</f>
        <v/>
      </c>
      <c r="EK24" s="12" t="str">
        <f>IF($A24="","",EH24+(EJ24-SUMIFS('Nursing Charges'!$J:$J,'Nursing Charges'!$A:$A,$A24,'Nursing Charges'!$C:$C,14))+(EI24-SUMIFS('Consumable Usage'!$F:$F,'Consumable Usage'!$A:$A,$A24,'Consumable Usage'!$D:$D,14)))</f>
        <v/>
      </c>
      <c r="EL24" s="12" t="str">
        <f t="shared" si="40"/>
        <v/>
      </c>
      <c r="EM24" s="20"/>
      <c r="EN24" s="12" t="str">
        <f t="shared" si="41"/>
        <v/>
      </c>
      <c r="EO24" s="45" t="str">
        <f t="shared" si="42"/>
        <v/>
      </c>
      <c r="EP24" s="15"/>
      <c r="EQ24" s="15"/>
      <c r="ER24" s="20"/>
      <c r="ES24" s="12" t="str">
        <f>IF($A24="","",SUMIFS('Consumable Usage'!$E:$E,'Consumable Usage'!$A:$A,$A24,'Consumable Usage'!$D:$D,15))</f>
        <v/>
      </c>
      <c r="ET24" s="12" t="str">
        <f>IF($A24="","",SUMIFS('Nursing Charges'!$I:$I,'Nursing Charges'!$A:$A,$A24,'Nursing Charges'!$C:$C,15))</f>
        <v/>
      </c>
      <c r="EU24" s="12" t="str">
        <f>IF($A24="","",ER24+(ET24-SUMIFS('Nursing Charges'!$J:$J,'Nursing Charges'!$A:$A,$A24,'Nursing Charges'!$C:$C,15))+(ES24-SUMIFS('Consumable Usage'!$F:$F,'Consumable Usage'!$A:$A,$A24,'Consumable Usage'!$D:$D,15)))</f>
        <v/>
      </c>
      <c r="EV24" s="12" t="str">
        <f t="shared" si="43"/>
        <v/>
      </c>
      <c r="EW24" s="20"/>
      <c r="EX24" s="12" t="str">
        <f t="shared" si="44"/>
        <v/>
      </c>
      <c r="EY24" s="45" t="str">
        <f t="shared" si="45"/>
        <v/>
      </c>
      <c r="EZ24" s="15"/>
      <c r="FA24" s="15"/>
      <c r="FB24" s="20"/>
      <c r="FC24" s="12" t="str">
        <f>IF($A24="","",SUMIFS('Consumable Usage'!$E:$E,'Consumable Usage'!$A:$A,$A24,'Consumable Usage'!$D:$D,16))</f>
        <v/>
      </c>
      <c r="FD24" s="12" t="str">
        <f>IF($A24="","",SUMIFS('Nursing Charges'!$I:$I,'Nursing Charges'!$A:$A,$A24,'Nursing Charges'!$C:$C,16))</f>
        <v/>
      </c>
      <c r="FE24" s="12" t="str">
        <f>IF($A24="","",FB24+(FD24-SUMIFS('Nursing Charges'!$J:$J,'Nursing Charges'!$A:$A,$A24,'Nursing Charges'!$C:$C,16))+(FC24-SUMIFS('Consumable Usage'!$F:$F,'Consumable Usage'!$A:$A,$A24,'Consumable Usage'!$D:$D,16)))</f>
        <v/>
      </c>
      <c r="FF24" s="12" t="str">
        <f t="shared" si="46"/>
        <v/>
      </c>
      <c r="FG24" s="20"/>
      <c r="FH24" s="12" t="str">
        <f t="shared" si="47"/>
        <v/>
      </c>
      <c r="FI24" s="45" t="str">
        <f t="shared" si="48"/>
        <v/>
      </c>
      <c r="FJ24" s="53"/>
      <c r="FK24" s="53"/>
      <c r="FL24" s="63"/>
      <c r="FM24" s="63" t="str">
        <f>IF($A24="","",SUMIFS('Consumable Usage'!$E:$E,'Consumable Usage'!$A:$A,$A24,'Consumable Usage'!$D:$D,16))</f>
        <v/>
      </c>
      <c r="FN24" s="63" t="str">
        <f>IF($A24="","",SUMIFS('Nursing Charges'!$I:$I,'Nursing Charges'!$A:$A,$A24,'Nursing Charges'!$C:$C,16))</f>
        <v/>
      </c>
      <c r="FO24" s="63" t="str">
        <f>IF($A24="","",FL24+(FN24-SUMIFS('Nursing Charges'!$J:$J,'Nursing Charges'!$A:$A,$A24,'Nursing Charges'!$C:$C,16))+(FM24-SUMIFS('Consumable Usage'!$F:$F,'Consumable Usage'!$A:$A,$A24,'Consumable Usage'!$D:$D,16)))</f>
        <v/>
      </c>
      <c r="FP24" s="63" t="str">
        <f t="shared" si="49"/>
        <v/>
      </c>
      <c r="FQ24" s="63"/>
      <c r="FR24" s="63" t="str">
        <f t="shared" si="50"/>
        <v/>
      </c>
      <c r="FS24" s="53" t="str">
        <f t="shared" si="51"/>
        <v/>
      </c>
    </row>
    <row r="25" ht="15.0" customHeight="1">
      <c r="A25" s="15"/>
      <c r="B25" s="15"/>
      <c r="C25" s="15"/>
      <c r="D25" s="15"/>
      <c r="E25" s="15"/>
      <c r="F25" s="15"/>
      <c r="G25" s="15"/>
      <c r="H25" s="20"/>
      <c r="I25" s="12" t="str">
        <f>IF($A25="","",SUMIFS('Consumable Usage'!$E:$E,'Consumable Usage'!$A:$A,$A25,'Consumable Usage'!$D:$D,1))</f>
        <v/>
      </c>
      <c r="J25" s="12" t="str">
        <f>IF($A25="","",SUMIFS('Nursing Charges'!$I:$I,'Nursing Charges'!$A:$A,$A25,'Nursing Charges'!$C:$C,1))</f>
        <v/>
      </c>
      <c r="K25" s="12" t="str">
        <f>IF($A25="","",H25+(J25-SUMIFS('Nursing Charges'!$J:$J,'Nursing Charges'!$A:$A,$A25,'Nursing Charges'!$C:$C,1))+(I25-SUMIFS('Consumable Usage'!$F:$F,'Consumable Usage'!$A:$A,$A25,'Consumable Usage'!$D:$D,1)))</f>
        <v/>
      </c>
      <c r="L25" s="12" t="str">
        <f t="shared" si="1"/>
        <v/>
      </c>
      <c r="M25" s="20"/>
      <c r="N25" s="12" t="str">
        <f t="shared" si="2"/>
        <v/>
      </c>
      <c r="O25" s="45" t="str">
        <f t="shared" si="3"/>
        <v/>
      </c>
      <c r="P25" s="15"/>
      <c r="Q25" s="15"/>
      <c r="R25" s="20"/>
      <c r="S25" s="12" t="str">
        <f>IF($A25="","",SUMIFS('Consumable Usage'!$E:$E,'Consumable Usage'!$A:$A,$A25,'Consumable Usage'!$D:$D,2))</f>
        <v/>
      </c>
      <c r="T25" s="12" t="str">
        <f>IF($A25="","",SUMIFS('Nursing Charges'!$I:$I,'Nursing Charges'!$A:$A,$A25,'Nursing Charges'!$C:$C,2))</f>
        <v/>
      </c>
      <c r="U25" s="12" t="str">
        <f>IF($A25="","",R25+(T25-SUMIFS('Nursing Charges'!$J:$J,'Nursing Charges'!$A:$A,$A25,'Nursing Charges'!$C:$C,2))+(S25-SUMIFS('Consumable Usage'!$F:$F,'Consumable Usage'!$A:$A,$A25,'Consumable Usage'!$D:$D,2)))</f>
        <v/>
      </c>
      <c r="V25" s="12" t="str">
        <f t="shared" si="4"/>
        <v/>
      </c>
      <c r="W25" s="20"/>
      <c r="X25" s="12" t="str">
        <f t="shared" si="5"/>
        <v/>
      </c>
      <c r="Y25" s="45" t="str">
        <f t="shared" si="6"/>
        <v/>
      </c>
      <c r="Z25" s="15"/>
      <c r="AA25" s="15"/>
      <c r="AB25" s="20"/>
      <c r="AC25" s="12" t="str">
        <f>IF($A25="","",SUMIFS('Consumable Usage'!$E:$E,'Consumable Usage'!$A:$A,$A25,'Consumable Usage'!$D:$D,3))</f>
        <v/>
      </c>
      <c r="AD25" s="12" t="str">
        <f>IF($A25="","",SUMIFS('Nursing Charges'!$I:$I,'Nursing Charges'!$A:$A,$A25,'Nursing Charges'!$C:$C,3))</f>
        <v/>
      </c>
      <c r="AE25" s="12" t="str">
        <f>IF($A25="","",AB25+(AD25-SUMIFS('Nursing Charges'!$J:$J,'Nursing Charges'!$A:$A,$A25,'Nursing Charges'!$C:$C,3))+(AC25-SUMIFS('Consumable Usage'!$F:$F,'Consumable Usage'!$A:$A,$A25,'Consumable Usage'!$D:$D,3)))</f>
        <v/>
      </c>
      <c r="AF25" s="12" t="str">
        <f t="shared" si="7"/>
        <v/>
      </c>
      <c r="AG25" s="20"/>
      <c r="AH25" s="12" t="str">
        <f t="shared" si="8"/>
        <v/>
      </c>
      <c r="AI25" s="45" t="str">
        <f t="shared" si="9"/>
        <v/>
      </c>
      <c r="AJ25" s="15"/>
      <c r="AK25" s="15"/>
      <c r="AL25" s="20"/>
      <c r="AM25" s="12" t="str">
        <f>IF($A25="","",SUMIFS('Consumable Usage'!$E:$E,'Consumable Usage'!$A:$A,$A25,'Consumable Usage'!$D:$D,4))</f>
        <v/>
      </c>
      <c r="AN25" s="12" t="str">
        <f>IF($A25="","",SUMIFS('Nursing Charges'!$I:$I,'Nursing Charges'!$A:$A,$A25,'Nursing Charges'!$C:$C,4))</f>
        <v/>
      </c>
      <c r="AO25" s="12" t="str">
        <f>IF($A25="","",AL25+(AN25-SUMIFS('Nursing Charges'!$J:$J,'Nursing Charges'!$A:$A,$A25,'Nursing Charges'!$C:$C,4))+(AM25-SUMIFS('Consumable Usage'!$F:$F,'Consumable Usage'!$A:$A,$A25,'Consumable Usage'!$D:$D,4)))</f>
        <v/>
      </c>
      <c r="AP25" s="12" t="str">
        <f t="shared" si="10"/>
        <v/>
      </c>
      <c r="AQ25" s="20"/>
      <c r="AR25" s="12" t="str">
        <f t="shared" si="11"/>
        <v/>
      </c>
      <c r="AS25" s="45" t="str">
        <f t="shared" si="12"/>
        <v/>
      </c>
      <c r="AT25" s="15"/>
      <c r="AU25" s="15"/>
      <c r="AV25" s="20"/>
      <c r="AW25" s="12" t="str">
        <f>IF($A25="","",SUMIFS('Consumable Usage'!$E:$E,'Consumable Usage'!$A:$A,$A25,'Consumable Usage'!$D:$D,5))</f>
        <v/>
      </c>
      <c r="AX25" s="12" t="str">
        <f>IF($A25="","",SUMIFS('Nursing Charges'!$I:$I,'Nursing Charges'!$A:$A,$A25,'Nursing Charges'!$C:$C,5))</f>
        <v/>
      </c>
      <c r="AY25" s="12" t="str">
        <f>IF($A25="","",AV25+(AX25-SUMIFS('Nursing Charges'!$J:$J,'Nursing Charges'!$A:$A,$A25,'Nursing Charges'!$C:$C,5))+(AW25-SUMIFS('Consumable Usage'!$F:$F,'Consumable Usage'!$A:$A,$A25,'Consumable Usage'!$D:$D,5)))</f>
        <v/>
      </c>
      <c r="AZ25" s="12" t="str">
        <f t="shared" si="13"/>
        <v/>
      </c>
      <c r="BA25" s="20"/>
      <c r="BB25" s="12" t="str">
        <f t="shared" si="14"/>
        <v/>
      </c>
      <c r="BC25" s="45" t="str">
        <f t="shared" si="15"/>
        <v/>
      </c>
      <c r="BD25" s="15"/>
      <c r="BE25" s="15"/>
      <c r="BF25" s="20"/>
      <c r="BG25" s="12" t="str">
        <f>IF($A25="","",SUMIFS('Consumable Usage'!$E:$E,'Consumable Usage'!$A:$A,$A25,'Consumable Usage'!$D:$D,6))</f>
        <v/>
      </c>
      <c r="BH25" s="12" t="str">
        <f>IF($A25="","",SUMIFS('Nursing Charges'!$I:$I,'Nursing Charges'!$A:$A,$A25,'Nursing Charges'!$C:$C,6))</f>
        <v/>
      </c>
      <c r="BI25" s="12" t="str">
        <f>IF($A25="","",BF25+(BH25-SUMIFS('Nursing Charges'!$J:$J,'Nursing Charges'!$A:$A,$A25,'Nursing Charges'!$C:$C,6))+(BG25-SUMIFS('Consumable Usage'!$F:$F,'Consumable Usage'!$A:$A,$A25,'Consumable Usage'!$D:$D,6)))</f>
        <v/>
      </c>
      <c r="BJ25" s="12" t="str">
        <f t="shared" si="16"/>
        <v/>
      </c>
      <c r="BK25" s="20"/>
      <c r="BL25" s="12" t="str">
        <f t="shared" si="17"/>
        <v/>
      </c>
      <c r="BM25" s="45" t="str">
        <f t="shared" si="18"/>
        <v/>
      </c>
      <c r="BN25" s="15"/>
      <c r="BO25" s="15"/>
      <c r="BP25" s="20"/>
      <c r="BQ25" s="12" t="str">
        <f>IF($A25="","",SUMIFS('Consumable Usage'!$E:$E,'Consumable Usage'!$A:$A,$A25,'Consumable Usage'!$D:$D,7))</f>
        <v/>
      </c>
      <c r="BR25" s="12" t="str">
        <f>IF($A25="","",SUMIFS('Nursing Charges'!$I:$I,'Nursing Charges'!$A:$A,$A25,'Nursing Charges'!$C:$C,7))</f>
        <v/>
      </c>
      <c r="BS25" s="12" t="str">
        <f>IF($A25="","",BP25+(BR25-SUMIFS('Nursing Charges'!$J:$J,'Nursing Charges'!$A:$A,$A25,'Nursing Charges'!$C:$C,7))+(BQ25-SUMIFS('Consumable Usage'!$F:$F,'Consumable Usage'!$A:$A,$A25,'Consumable Usage'!$D:$D,7)))</f>
        <v/>
      </c>
      <c r="BT25" s="12" t="str">
        <f t="shared" si="19"/>
        <v/>
      </c>
      <c r="BU25" s="20"/>
      <c r="BV25" s="12" t="str">
        <f t="shared" si="20"/>
        <v/>
      </c>
      <c r="BW25" s="45" t="str">
        <f t="shared" si="21"/>
        <v/>
      </c>
      <c r="BX25" s="15"/>
      <c r="BY25" s="15"/>
      <c r="BZ25" s="20"/>
      <c r="CA25" s="12" t="str">
        <f>IF($A25="","",SUMIFS('Consumable Usage'!$E:$E,'Consumable Usage'!$A:$A,$A25,'Consumable Usage'!$D:$D,8))</f>
        <v/>
      </c>
      <c r="CB25" s="12" t="str">
        <f>IF($A25="","",SUMIFS('Nursing Charges'!$I:$I,'Nursing Charges'!$A:$A,$A25,'Nursing Charges'!$C:$C,8))</f>
        <v/>
      </c>
      <c r="CC25" s="12" t="str">
        <f>IF($A25="","",BZ25+(CB25-SUMIFS('Nursing Charges'!$J:$J,'Nursing Charges'!$A:$A,$A25,'Nursing Charges'!$C:$C,8))+(CA25-SUMIFS('Consumable Usage'!$F:$F,'Consumable Usage'!$A:$A,$A25,'Consumable Usage'!$D:$D,8)))</f>
        <v/>
      </c>
      <c r="CD25" s="12" t="str">
        <f t="shared" si="22"/>
        <v/>
      </c>
      <c r="CE25" s="20"/>
      <c r="CF25" s="12" t="str">
        <f t="shared" si="23"/>
        <v/>
      </c>
      <c r="CG25" s="45" t="str">
        <f t="shared" si="24"/>
        <v/>
      </c>
      <c r="CH25" s="15"/>
      <c r="CI25" s="15"/>
      <c r="CJ25" s="20"/>
      <c r="CK25" s="12" t="str">
        <f>IF($A25="","",SUMIFS('Consumable Usage'!$E:$E,'Consumable Usage'!$A:$A,$A25,'Consumable Usage'!$D:$D,9))</f>
        <v/>
      </c>
      <c r="CL25" s="12" t="str">
        <f>IF($A25="","",SUMIFS('Nursing Charges'!$I:$I,'Nursing Charges'!$A:$A,$A25,'Nursing Charges'!$C:$C,9))</f>
        <v/>
      </c>
      <c r="CM25" s="12" t="str">
        <f>IF($A25="","",CJ25+(CL25-SUMIFS('Nursing Charges'!$J:$J,'Nursing Charges'!$A:$A,$A25,'Nursing Charges'!$C:$C,9))+(CK25-SUMIFS('Consumable Usage'!$F:$F,'Consumable Usage'!$A:$A,$A25,'Consumable Usage'!$D:$D,9)))</f>
        <v/>
      </c>
      <c r="CN25" s="12" t="str">
        <f t="shared" si="25"/>
        <v/>
      </c>
      <c r="CO25" s="20"/>
      <c r="CP25" s="12" t="str">
        <f t="shared" si="26"/>
        <v/>
      </c>
      <c r="CQ25" s="45" t="str">
        <f t="shared" si="27"/>
        <v/>
      </c>
      <c r="CR25" s="15"/>
      <c r="CS25" s="15"/>
      <c r="CT25" s="20"/>
      <c r="CU25" s="12" t="str">
        <f>IF($A25="","",SUMIFS('Consumable Usage'!$E:$E,'Consumable Usage'!$A:$A,$A25,'Consumable Usage'!$D:$D,10))</f>
        <v/>
      </c>
      <c r="CV25" s="12" t="str">
        <f>IF($A25="","",SUMIFS('Nursing Charges'!$I:$I,'Nursing Charges'!$A:$A,$A25,'Nursing Charges'!$C:$C,10))</f>
        <v/>
      </c>
      <c r="CW25" s="12" t="str">
        <f>IF($A25="","",CT25+(CV25-SUMIFS('Nursing Charges'!$J:$J,'Nursing Charges'!$A:$A,$A25,'Nursing Charges'!$C:$C,10))+(CU25-SUMIFS('Consumable Usage'!$F:$F,'Consumable Usage'!$A:$A,$A25,'Consumable Usage'!$D:$D,10)))</f>
        <v/>
      </c>
      <c r="CX25" s="12" t="str">
        <f t="shared" si="28"/>
        <v/>
      </c>
      <c r="CY25" s="20"/>
      <c r="CZ25" s="12" t="str">
        <f t="shared" si="29"/>
        <v/>
      </c>
      <c r="DA25" s="45" t="str">
        <f t="shared" si="30"/>
        <v/>
      </c>
      <c r="DB25" s="15"/>
      <c r="DC25" s="15"/>
      <c r="DD25" s="20"/>
      <c r="DE25" s="12" t="str">
        <f>IF($A25="","",SUMIFS('Consumable Usage'!$E:$E,'Consumable Usage'!$A:$A,$A25,'Consumable Usage'!$D:$D,11))</f>
        <v/>
      </c>
      <c r="DF25" s="12" t="str">
        <f>IF($A25="","",SUMIFS('Nursing Charges'!$I:$I,'Nursing Charges'!$A:$A,$A25,'Nursing Charges'!$C:$C,11))</f>
        <v/>
      </c>
      <c r="DG25" s="12" t="str">
        <f>IF($A25="","",DD25+(DF25-SUMIFS('Nursing Charges'!$J:$J,'Nursing Charges'!$A:$A,$A25,'Nursing Charges'!$C:$C,11))+(DE25-SUMIFS('Consumable Usage'!$F:$F,'Consumable Usage'!$A:$A,$A25,'Consumable Usage'!$D:$D,11)))</f>
        <v/>
      </c>
      <c r="DH25" s="12" t="str">
        <f t="shared" si="31"/>
        <v/>
      </c>
      <c r="DI25" s="20"/>
      <c r="DJ25" s="12" t="str">
        <f t="shared" si="32"/>
        <v/>
      </c>
      <c r="DK25" s="45" t="str">
        <f t="shared" si="33"/>
        <v/>
      </c>
      <c r="DL25" s="15"/>
      <c r="DM25" s="15"/>
      <c r="DN25" s="20"/>
      <c r="DO25" s="12" t="str">
        <f>IF($A25="","",SUMIFS('Consumable Usage'!$E:$E,'Consumable Usage'!$A:$A,$A25,'Consumable Usage'!$D:$D,12))</f>
        <v/>
      </c>
      <c r="DP25" s="12" t="str">
        <f>IF($A25="","",SUMIFS('Nursing Charges'!$I:$I,'Nursing Charges'!$A:$A,$A25,'Nursing Charges'!$C:$C,12))</f>
        <v/>
      </c>
      <c r="DQ25" s="12" t="str">
        <f>IF($A25="","",DN25+(DP25-SUMIFS('Nursing Charges'!$J:$J,'Nursing Charges'!$A:$A,$A25,'Nursing Charges'!$C:$C,12))+(DO25-SUMIFS('Consumable Usage'!$F:$F,'Consumable Usage'!$A:$A,$A25,'Consumable Usage'!$D:$D,12)))</f>
        <v/>
      </c>
      <c r="DR25" s="12" t="str">
        <f t="shared" si="34"/>
        <v/>
      </c>
      <c r="DS25" s="20"/>
      <c r="DT25" s="12" t="str">
        <f t="shared" si="35"/>
        <v/>
      </c>
      <c r="DU25" s="45" t="str">
        <f t="shared" si="36"/>
        <v/>
      </c>
      <c r="DV25" s="15"/>
      <c r="DW25" s="15"/>
      <c r="DX25" s="20"/>
      <c r="DY25" s="12" t="str">
        <f>IF($A25="","",SUMIFS('Consumable Usage'!$E:$E,'Consumable Usage'!$A:$A,$A25,'Consumable Usage'!$D:$D,13))</f>
        <v/>
      </c>
      <c r="DZ25" s="12" t="str">
        <f>IF($A25="","",SUMIFS('Nursing Charges'!$I:$I,'Nursing Charges'!$A:$A,$A25,'Nursing Charges'!$C:$C,13))</f>
        <v/>
      </c>
      <c r="EA25" s="12" t="str">
        <f>IF($A25="","",DX25+(DZ25-SUMIFS('Nursing Charges'!$J:$J,'Nursing Charges'!$A:$A,$A25,'Nursing Charges'!$C:$C,13))+(DY25-SUMIFS('Consumable Usage'!$F:$F,'Consumable Usage'!$A:$A,$A25,'Consumable Usage'!$D:$D,13)))</f>
        <v/>
      </c>
      <c r="EB25" s="12" t="str">
        <f t="shared" si="37"/>
        <v/>
      </c>
      <c r="EC25" s="20"/>
      <c r="ED25" s="12" t="str">
        <f t="shared" si="38"/>
        <v/>
      </c>
      <c r="EE25" s="45" t="str">
        <f t="shared" si="39"/>
        <v/>
      </c>
      <c r="EF25" s="15"/>
      <c r="EG25" s="15"/>
      <c r="EH25" s="20"/>
      <c r="EI25" s="12" t="str">
        <f>IF($A25="","",SUMIFS('Consumable Usage'!$E:$E,'Consumable Usage'!$A:$A,$A25,'Consumable Usage'!$D:$D,14))</f>
        <v/>
      </c>
      <c r="EJ25" s="12" t="str">
        <f>IF($A25="","",SUMIFS('Nursing Charges'!$I:$I,'Nursing Charges'!$A:$A,$A25,'Nursing Charges'!$C:$C,14))</f>
        <v/>
      </c>
      <c r="EK25" s="12" t="str">
        <f>IF($A25="","",EH25+(EJ25-SUMIFS('Nursing Charges'!$J:$J,'Nursing Charges'!$A:$A,$A25,'Nursing Charges'!$C:$C,14))+(EI25-SUMIFS('Consumable Usage'!$F:$F,'Consumable Usage'!$A:$A,$A25,'Consumable Usage'!$D:$D,14)))</f>
        <v/>
      </c>
      <c r="EL25" s="12" t="str">
        <f t="shared" si="40"/>
        <v/>
      </c>
      <c r="EM25" s="20"/>
      <c r="EN25" s="12" t="str">
        <f t="shared" si="41"/>
        <v/>
      </c>
      <c r="EO25" s="45" t="str">
        <f t="shared" si="42"/>
        <v/>
      </c>
      <c r="EP25" s="15"/>
      <c r="EQ25" s="15"/>
      <c r="ER25" s="20"/>
      <c r="ES25" s="12" t="str">
        <f>IF($A25="","",SUMIFS('Consumable Usage'!$E:$E,'Consumable Usage'!$A:$A,$A25,'Consumable Usage'!$D:$D,15))</f>
        <v/>
      </c>
      <c r="ET25" s="12" t="str">
        <f>IF($A25="","",SUMIFS('Nursing Charges'!$I:$I,'Nursing Charges'!$A:$A,$A25,'Nursing Charges'!$C:$C,15))</f>
        <v/>
      </c>
      <c r="EU25" s="12" t="str">
        <f>IF($A25="","",ER25+(ET25-SUMIFS('Nursing Charges'!$J:$J,'Nursing Charges'!$A:$A,$A25,'Nursing Charges'!$C:$C,15))+(ES25-SUMIFS('Consumable Usage'!$F:$F,'Consumable Usage'!$A:$A,$A25,'Consumable Usage'!$D:$D,15)))</f>
        <v/>
      </c>
      <c r="EV25" s="12" t="str">
        <f t="shared" si="43"/>
        <v/>
      </c>
      <c r="EW25" s="20"/>
      <c r="EX25" s="12" t="str">
        <f t="shared" si="44"/>
        <v/>
      </c>
      <c r="EY25" s="45" t="str">
        <f t="shared" si="45"/>
        <v/>
      </c>
      <c r="EZ25" s="15"/>
      <c r="FA25" s="15"/>
      <c r="FB25" s="20"/>
      <c r="FC25" s="12" t="str">
        <f>IF($A25="","",SUMIFS('Consumable Usage'!$E:$E,'Consumable Usage'!$A:$A,$A25,'Consumable Usage'!$D:$D,16))</f>
        <v/>
      </c>
      <c r="FD25" s="12" t="str">
        <f>IF($A25="","",SUMIFS('Nursing Charges'!$I:$I,'Nursing Charges'!$A:$A,$A25,'Nursing Charges'!$C:$C,16))</f>
        <v/>
      </c>
      <c r="FE25" s="12" t="str">
        <f>IF($A25="","",FB25+(FD25-SUMIFS('Nursing Charges'!$J:$J,'Nursing Charges'!$A:$A,$A25,'Nursing Charges'!$C:$C,16))+(FC25-SUMIFS('Consumable Usage'!$F:$F,'Consumable Usage'!$A:$A,$A25,'Consumable Usage'!$D:$D,16)))</f>
        <v/>
      </c>
      <c r="FF25" s="12" t="str">
        <f t="shared" si="46"/>
        <v/>
      </c>
      <c r="FG25" s="20"/>
      <c r="FH25" s="12" t="str">
        <f t="shared" si="47"/>
        <v/>
      </c>
      <c r="FI25" s="45" t="str">
        <f t="shared" si="48"/>
        <v/>
      </c>
      <c r="FJ25" s="53"/>
      <c r="FK25" s="53"/>
      <c r="FL25" s="63"/>
      <c r="FM25" s="63" t="str">
        <f>IF($A25="","",SUMIFS('Consumable Usage'!$E:$E,'Consumable Usage'!$A:$A,$A25,'Consumable Usage'!$D:$D,16))</f>
        <v/>
      </c>
      <c r="FN25" s="63" t="str">
        <f>IF($A25="","",SUMIFS('Nursing Charges'!$I:$I,'Nursing Charges'!$A:$A,$A25,'Nursing Charges'!$C:$C,16))</f>
        <v/>
      </c>
      <c r="FO25" s="63" t="str">
        <f>IF($A25="","",FL25+(FN25-SUMIFS('Nursing Charges'!$J:$J,'Nursing Charges'!$A:$A,$A25,'Nursing Charges'!$C:$C,16))+(FM25-SUMIFS('Consumable Usage'!$F:$F,'Consumable Usage'!$A:$A,$A25,'Consumable Usage'!$D:$D,16)))</f>
        <v/>
      </c>
      <c r="FP25" s="63" t="str">
        <f t="shared" si="49"/>
        <v/>
      </c>
      <c r="FQ25" s="63"/>
      <c r="FR25" s="63" t="str">
        <f t="shared" si="50"/>
        <v/>
      </c>
      <c r="FS25" s="53" t="str">
        <f t="shared" si="51"/>
        <v/>
      </c>
    </row>
    <row r="26" ht="15.0" customHeight="1">
      <c r="A26" s="15"/>
      <c r="B26" s="15"/>
      <c r="C26" s="15"/>
      <c r="D26" s="15"/>
      <c r="E26" s="15"/>
      <c r="F26" s="15"/>
      <c r="G26" s="15"/>
      <c r="H26" s="20"/>
      <c r="I26" s="12" t="str">
        <f>IF($A26="","",SUMIFS('Consumable Usage'!$E:$E,'Consumable Usage'!$A:$A,$A26,'Consumable Usage'!$D:$D,1))</f>
        <v/>
      </c>
      <c r="J26" s="12" t="str">
        <f>IF($A26="","",SUMIFS('Nursing Charges'!$I:$I,'Nursing Charges'!$A:$A,$A26,'Nursing Charges'!$C:$C,1))</f>
        <v/>
      </c>
      <c r="K26" s="12" t="str">
        <f>IF($A26="","",H26+(J26-SUMIFS('Nursing Charges'!$J:$J,'Nursing Charges'!$A:$A,$A26,'Nursing Charges'!$C:$C,1))+(I26-SUMIFS('Consumable Usage'!$F:$F,'Consumable Usage'!$A:$A,$A26,'Consumable Usage'!$D:$D,1)))</f>
        <v/>
      </c>
      <c r="L26" s="12" t="str">
        <f t="shared" si="1"/>
        <v/>
      </c>
      <c r="M26" s="20"/>
      <c r="N26" s="12" t="str">
        <f t="shared" si="2"/>
        <v/>
      </c>
      <c r="O26" s="45" t="str">
        <f t="shared" si="3"/>
        <v/>
      </c>
      <c r="P26" s="15"/>
      <c r="Q26" s="15"/>
      <c r="R26" s="20"/>
      <c r="S26" s="12" t="str">
        <f>IF($A26="","",SUMIFS('Consumable Usage'!$E:$E,'Consumable Usage'!$A:$A,$A26,'Consumable Usage'!$D:$D,2))</f>
        <v/>
      </c>
      <c r="T26" s="12" t="str">
        <f>IF($A26="","",SUMIFS('Nursing Charges'!$I:$I,'Nursing Charges'!$A:$A,$A26,'Nursing Charges'!$C:$C,2))</f>
        <v/>
      </c>
      <c r="U26" s="12" t="str">
        <f>IF($A26="","",R26+(T26-SUMIFS('Nursing Charges'!$J:$J,'Nursing Charges'!$A:$A,$A26,'Nursing Charges'!$C:$C,2))+(S26-SUMIFS('Consumable Usage'!$F:$F,'Consumable Usage'!$A:$A,$A26,'Consumable Usage'!$D:$D,2)))</f>
        <v/>
      </c>
      <c r="V26" s="12" t="str">
        <f t="shared" si="4"/>
        <v/>
      </c>
      <c r="W26" s="20"/>
      <c r="X26" s="12" t="str">
        <f t="shared" si="5"/>
        <v/>
      </c>
      <c r="Y26" s="45" t="str">
        <f t="shared" si="6"/>
        <v/>
      </c>
      <c r="Z26" s="15"/>
      <c r="AA26" s="15"/>
      <c r="AB26" s="20"/>
      <c r="AC26" s="12" t="str">
        <f>IF($A26="","",SUMIFS('Consumable Usage'!$E:$E,'Consumable Usage'!$A:$A,$A26,'Consumable Usage'!$D:$D,3))</f>
        <v/>
      </c>
      <c r="AD26" s="12" t="str">
        <f>IF($A26="","",SUMIFS('Nursing Charges'!$I:$I,'Nursing Charges'!$A:$A,$A26,'Nursing Charges'!$C:$C,3))</f>
        <v/>
      </c>
      <c r="AE26" s="12" t="str">
        <f>IF($A26="","",AB26+(AD26-SUMIFS('Nursing Charges'!$J:$J,'Nursing Charges'!$A:$A,$A26,'Nursing Charges'!$C:$C,3))+(AC26-SUMIFS('Consumable Usage'!$F:$F,'Consumable Usage'!$A:$A,$A26,'Consumable Usage'!$D:$D,3)))</f>
        <v/>
      </c>
      <c r="AF26" s="12" t="str">
        <f t="shared" si="7"/>
        <v/>
      </c>
      <c r="AG26" s="20"/>
      <c r="AH26" s="12" t="str">
        <f t="shared" si="8"/>
        <v/>
      </c>
      <c r="AI26" s="45" t="str">
        <f t="shared" si="9"/>
        <v/>
      </c>
      <c r="AJ26" s="15"/>
      <c r="AK26" s="15"/>
      <c r="AL26" s="20"/>
      <c r="AM26" s="12" t="str">
        <f>IF($A26="","",SUMIFS('Consumable Usage'!$E:$E,'Consumable Usage'!$A:$A,$A26,'Consumable Usage'!$D:$D,4))</f>
        <v/>
      </c>
      <c r="AN26" s="12" t="str">
        <f>IF($A26="","",SUMIFS('Nursing Charges'!$I:$I,'Nursing Charges'!$A:$A,$A26,'Nursing Charges'!$C:$C,4))</f>
        <v/>
      </c>
      <c r="AO26" s="12" t="str">
        <f>IF($A26="","",AL26+(AN26-SUMIFS('Nursing Charges'!$J:$J,'Nursing Charges'!$A:$A,$A26,'Nursing Charges'!$C:$C,4))+(AM26-SUMIFS('Consumable Usage'!$F:$F,'Consumable Usage'!$A:$A,$A26,'Consumable Usage'!$D:$D,4)))</f>
        <v/>
      </c>
      <c r="AP26" s="12" t="str">
        <f t="shared" si="10"/>
        <v/>
      </c>
      <c r="AQ26" s="20"/>
      <c r="AR26" s="12" t="str">
        <f t="shared" si="11"/>
        <v/>
      </c>
      <c r="AS26" s="45" t="str">
        <f t="shared" si="12"/>
        <v/>
      </c>
      <c r="AT26" s="15"/>
      <c r="AU26" s="15"/>
      <c r="AV26" s="20"/>
      <c r="AW26" s="12" t="str">
        <f>IF($A26="","",SUMIFS('Consumable Usage'!$E:$E,'Consumable Usage'!$A:$A,$A26,'Consumable Usage'!$D:$D,5))</f>
        <v/>
      </c>
      <c r="AX26" s="12" t="str">
        <f>IF($A26="","",SUMIFS('Nursing Charges'!$I:$I,'Nursing Charges'!$A:$A,$A26,'Nursing Charges'!$C:$C,5))</f>
        <v/>
      </c>
      <c r="AY26" s="12" t="str">
        <f>IF($A26="","",AV26+(AX26-SUMIFS('Nursing Charges'!$J:$J,'Nursing Charges'!$A:$A,$A26,'Nursing Charges'!$C:$C,5))+(AW26-SUMIFS('Consumable Usage'!$F:$F,'Consumable Usage'!$A:$A,$A26,'Consumable Usage'!$D:$D,5)))</f>
        <v/>
      </c>
      <c r="AZ26" s="12" t="str">
        <f t="shared" si="13"/>
        <v/>
      </c>
      <c r="BA26" s="20"/>
      <c r="BB26" s="12" t="str">
        <f t="shared" si="14"/>
        <v/>
      </c>
      <c r="BC26" s="45" t="str">
        <f t="shared" si="15"/>
        <v/>
      </c>
      <c r="BD26" s="15"/>
      <c r="BE26" s="15"/>
      <c r="BF26" s="20"/>
      <c r="BG26" s="12" t="str">
        <f>IF($A26="","",SUMIFS('Consumable Usage'!$E:$E,'Consumable Usage'!$A:$A,$A26,'Consumable Usage'!$D:$D,6))</f>
        <v/>
      </c>
      <c r="BH26" s="12" t="str">
        <f>IF($A26="","",SUMIFS('Nursing Charges'!$I:$I,'Nursing Charges'!$A:$A,$A26,'Nursing Charges'!$C:$C,6))</f>
        <v/>
      </c>
      <c r="BI26" s="12" t="str">
        <f>IF($A26="","",BF26+(BH26-SUMIFS('Nursing Charges'!$J:$J,'Nursing Charges'!$A:$A,$A26,'Nursing Charges'!$C:$C,6))+(BG26-SUMIFS('Consumable Usage'!$F:$F,'Consumable Usage'!$A:$A,$A26,'Consumable Usage'!$D:$D,6)))</f>
        <v/>
      </c>
      <c r="BJ26" s="12" t="str">
        <f t="shared" si="16"/>
        <v/>
      </c>
      <c r="BK26" s="20"/>
      <c r="BL26" s="12" t="str">
        <f t="shared" si="17"/>
        <v/>
      </c>
      <c r="BM26" s="45" t="str">
        <f t="shared" si="18"/>
        <v/>
      </c>
      <c r="BN26" s="15"/>
      <c r="BO26" s="15"/>
      <c r="BP26" s="20"/>
      <c r="BQ26" s="12" t="str">
        <f>IF($A26="","",SUMIFS('Consumable Usage'!$E:$E,'Consumable Usage'!$A:$A,$A26,'Consumable Usage'!$D:$D,7))</f>
        <v/>
      </c>
      <c r="BR26" s="12" t="str">
        <f>IF($A26="","",SUMIFS('Nursing Charges'!$I:$I,'Nursing Charges'!$A:$A,$A26,'Nursing Charges'!$C:$C,7))</f>
        <v/>
      </c>
      <c r="BS26" s="12" t="str">
        <f>IF($A26="","",BP26+(BR26-SUMIFS('Nursing Charges'!$J:$J,'Nursing Charges'!$A:$A,$A26,'Nursing Charges'!$C:$C,7))+(BQ26-SUMIFS('Consumable Usage'!$F:$F,'Consumable Usage'!$A:$A,$A26,'Consumable Usage'!$D:$D,7)))</f>
        <v/>
      </c>
      <c r="BT26" s="12" t="str">
        <f t="shared" si="19"/>
        <v/>
      </c>
      <c r="BU26" s="20"/>
      <c r="BV26" s="12" t="str">
        <f t="shared" si="20"/>
        <v/>
      </c>
      <c r="BW26" s="45" t="str">
        <f t="shared" si="21"/>
        <v/>
      </c>
      <c r="BX26" s="15"/>
      <c r="BY26" s="15"/>
      <c r="BZ26" s="20"/>
      <c r="CA26" s="12" t="str">
        <f>IF($A26="","",SUMIFS('Consumable Usage'!$E:$E,'Consumable Usage'!$A:$A,$A26,'Consumable Usage'!$D:$D,8))</f>
        <v/>
      </c>
      <c r="CB26" s="12" t="str">
        <f>IF($A26="","",SUMIFS('Nursing Charges'!$I:$I,'Nursing Charges'!$A:$A,$A26,'Nursing Charges'!$C:$C,8))</f>
        <v/>
      </c>
      <c r="CC26" s="12" t="str">
        <f>IF($A26="","",BZ26+(CB26-SUMIFS('Nursing Charges'!$J:$J,'Nursing Charges'!$A:$A,$A26,'Nursing Charges'!$C:$C,8))+(CA26-SUMIFS('Consumable Usage'!$F:$F,'Consumable Usage'!$A:$A,$A26,'Consumable Usage'!$D:$D,8)))</f>
        <v/>
      </c>
      <c r="CD26" s="12" t="str">
        <f t="shared" si="22"/>
        <v/>
      </c>
      <c r="CE26" s="20"/>
      <c r="CF26" s="12" t="str">
        <f t="shared" si="23"/>
        <v/>
      </c>
      <c r="CG26" s="45" t="str">
        <f t="shared" si="24"/>
        <v/>
      </c>
      <c r="CH26" s="15"/>
      <c r="CI26" s="15"/>
      <c r="CJ26" s="20"/>
      <c r="CK26" s="12" t="str">
        <f>IF($A26="","",SUMIFS('Consumable Usage'!$E:$E,'Consumable Usage'!$A:$A,$A26,'Consumable Usage'!$D:$D,9))</f>
        <v/>
      </c>
      <c r="CL26" s="12" t="str">
        <f>IF($A26="","",SUMIFS('Nursing Charges'!$I:$I,'Nursing Charges'!$A:$A,$A26,'Nursing Charges'!$C:$C,9))</f>
        <v/>
      </c>
      <c r="CM26" s="12" t="str">
        <f>IF($A26="","",CJ26+(CL26-SUMIFS('Nursing Charges'!$J:$J,'Nursing Charges'!$A:$A,$A26,'Nursing Charges'!$C:$C,9))+(CK26-SUMIFS('Consumable Usage'!$F:$F,'Consumable Usage'!$A:$A,$A26,'Consumable Usage'!$D:$D,9)))</f>
        <v/>
      </c>
      <c r="CN26" s="12" t="str">
        <f t="shared" si="25"/>
        <v/>
      </c>
      <c r="CO26" s="20"/>
      <c r="CP26" s="12" t="str">
        <f t="shared" si="26"/>
        <v/>
      </c>
      <c r="CQ26" s="45" t="str">
        <f t="shared" si="27"/>
        <v/>
      </c>
      <c r="CR26" s="15"/>
      <c r="CS26" s="15"/>
      <c r="CT26" s="20"/>
      <c r="CU26" s="12" t="str">
        <f>IF($A26="","",SUMIFS('Consumable Usage'!$E:$E,'Consumable Usage'!$A:$A,$A26,'Consumable Usage'!$D:$D,10))</f>
        <v/>
      </c>
      <c r="CV26" s="12" t="str">
        <f>IF($A26="","",SUMIFS('Nursing Charges'!$I:$I,'Nursing Charges'!$A:$A,$A26,'Nursing Charges'!$C:$C,10))</f>
        <v/>
      </c>
      <c r="CW26" s="12" t="str">
        <f>IF($A26="","",CT26+(CV26-SUMIFS('Nursing Charges'!$J:$J,'Nursing Charges'!$A:$A,$A26,'Nursing Charges'!$C:$C,10))+(CU26-SUMIFS('Consumable Usage'!$F:$F,'Consumable Usage'!$A:$A,$A26,'Consumable Usage'!$D:$D,10)))</f>
        <v/>
      </c>
      <c r="CX26" s="12" t="str">
        <f t="shared" si="28"/>
        <v/>
      </c>
      <c r="CY26" s="20"/>
      <c r="CZ26" s="12" t="str">
        <f t="shared" si="29"/>
        <v/>
      </c>
      <c r="DA26" s="45" t="str">
        <f t="shared" si="30"/>
        <v/>
      </c>
      <c r="DB26" s="15"/>
      <c r="DC26" s="15"/>
      <c r="DD26" s="20"/>
      <c r="DE26" s="12" t="str">
        <f>IF($A26="","",SUMIFS('Consumable Usage'!$E:$E,'Consumable Usage'!$A:$A,$A26,'Consumable Usage'!$D:$D,11))</f>
        <v/>
      </c>
      <c r="DF26" s="12" t="str">
        <f>IF($A26="","",SUMIFS('Nursing Charges'!$I:$I,'Nursing Charges'!$A:$A,$A26,'Nursing Charges'!$C:$C,11))</f>
        <v/>
      </c>
      <c r="DG26" s="12" t="str">
        <f>IF($A26="","",DD26+(DF26-SUMIFS('Nursing Charges'!$J:$J,'Nursing Charges'!$A:$A,$A26,'Nursing Charges'!$C:$C,11))+(DE26-SUMIFS('Consumable Usage'!$F:$F,'Consumable Usage'!$A:$A,$A26,'Consumable Usage'!$D:$D,11)))</f>
        <v/>
      </c>
      <c r="DH26" s="12" t="str">
        <f t="shared" si="31"/>
        <v/>
      </c>
      <c r="DI26" s="20"/>
      <c r="DJ26" s="12" t="str">
        <f t="shared" si="32"/>
        <v/>
      </c>
      <c r="DK26" s="45" t="str">
        <f t="shared" si="33"/>
        <v/>
      </c>
      <c r="DL26" s="15"/>
      <c r="DM26" s="15"/>
      <c r="DN26" s="20"/>
      <c r="DO26" s="12" t="str">
        <f>IF($A26="","",SUMIFS('Consumable Usage'!$E:$E,'Consumable Usage'!$A:$A,$A26,'Consumable Usage'!$D:$D,12))</f>
        <v/>
      </c>
      <c r="DP26" s="12" t="str">
        <f>IF($A26="","",SUMIFS('Nursing Charges'!$I:$I,'Nursing Charges'!$A:$A,$A26,'Nursing Charges'!$C:$C,12))</f>
        <v/>
      </c>
      <c r="DQ26" s="12" t="str">
        <f>IF($A26="","",DN26+(DP26-SUMIFS('Nursing Charges'!$J:$J,'Nursing Charges'!$A:$A,$A26,'Nursing Charges'!$C:$C,12))+(DO26-SUMIFS('Consumable Usage'!$F:$F,'Consumable Usage'!$A:$A,$A26,'Consumable Usage'!$D:$D,12)))</f>
        <v/>
      </c>
      <c r="DR26" s="12" t="str">
        <f t="shared" si="34"/>
        <v/>
      </c>
      <c r="DS26" s="20"/>
      <c r="DT26" s="12" t="str">
        <f t="shared" si="35"/>
        <v/>
      </c>
      <c r="DU26" s="45" t="str">
        <f t="shared" si="36"/>
        <v/>
      </c>
      <c r="DV26" s="15"/>
      <c r="DW26" s="15"/>
      <c r="DX26" s="20"/>
      <c r="DY26" s="12" t="str">
        <f>IF($A26="","",SUMIFS('Consumable Usage'!$E:$E,'Consumable Usage'!$A:$A,$A26,'Consumable Usage'!$D:$D,13))</f>
        <v/>
      </c>
      <c r="DZ26" s="12" t="str">
        <f>IF($A26="","",SUMIFS('Nursing Charges'!$I:$I,'Nursing Charges'!$A:$A,$A26,'Nursing Charges'!$C:$C,13))</f>
        <v/>
      </c>
      <c r="EA26" s="12" t="str">
        <f>IF($A26="","",DX26+(DZ26-SUMIFS('Nursing Charges'!$J:$J,'Nursing Charges'!$A:$A,$A26,'Nursing Charges'!$C:$C,13))+(DY26-SUMIFS('Consumable Usage'!$F:$F,'Consumable Usage'!$A:$A,$A26,'Consumable Usage'!$D:$D,13)))</f>
        <v/>
      </c>
      <c r="EB26" s="12" t="str">
        <f t="shared" si="37"/>
        <v/>
      </c>
      <c r="EC26" s="20"/>
      <c r="ED26" s="12" t="str">
        <f t="shared" si="38"/>
        <v/>
      </c>
      <c r="EE26" s="45" t="str">
        <f t="shared" si="39"/>
        <v/>
      </c>
      <c r="EF26" s="15"/>
      <c r="EG26" s="15"/>
      <c r="EH26" s="20"/>
      <c r="EI26" s="12" t="str">
        <f>IF($A26="","",SUMIFS('Consumable Usage'!$E:$E,'Consumable Usage'!$A:$A,$A26,'Consumable Usage'!$D:$D,14))</f>
        <v/>
      </c>
      <c r="EJ26" s="12" t="str">
        <f>IF($A26="","",SUMIFS('Nursing Charges'!$I:$I,'Nursing Charges'!$A:$A,$A26,'Nursing Charges'!$C:$C,14))</f>
        <v/>
      </c>
      <c r="EK26" s="12" t="str">
        <f>IF($A26="","",EH26+(EJ26-SUMIFS('Nursing Charges'!$J:$J,'Nursing Charges'!$A:$A,$A26,'Nursing Charges'!$C:$C,14))+(EI26-SUMIFS('Consumable Usage'!$F:$F,'Consumable Usage'!$A:$A,$A26,'Consumable Usage'!$D:$D,14)))</f>
        <v/>
      </c>
      <c r="EL26" s="12" t="str">
        <f t="shared" si="40"/>
        <v/>
      </c>
      <c r="EM26" s="20"/>
      <c r="EN26" s="12" t="str">
        <f t="shared" si="41"/>
        <v/>
      </c>
      <c r="EO26" s="45" t="str">
        <f t="shared" si="42"/>
        <v/>
      </c>
      <c r="EP26" s="15"/>
      <c r="EQ26" s="15"/>
      <c r="ER26" s="20"/>
      <c r="ES26" s="12" t="str">
        <f>IF($A26="","",SUMIFS('Consumable Usage'!$E:$E,'Consumable Usage'!$A:$A,$A26,'Consumable Usage'!$D:$D,15))</f>
        <v/>
      </c>
      <c r="ET26" s="12" t="str">
        <f>IF($A26="","",SUMIFS('Nursing Charges'!$I:$I,'Nursing Charges'!$A:$A,$A26,'Nursing Charges'!$C:$C,15))</f>
        <v/>
      </c>
      <c r="EU26" s="12" t="str">
        <f>IF($A26="","",ER26+(ET26-SUMIFS('Nursing Charges'!$J:$J,'Nursing Charges'!$A:$A,$A26,'Nursing Charges'!$C:$C,15))+(ES26-SUMIFS('Consumable Usage'!$F:$F,'Consumable Usage'!$A:$A,$A26,'Consumable Usage'!$D:$D,15)))</f>
        <v/>
      </c>
      <c r="EV26" s="12" t="str">
        <f t="shared" si="43"/>
        <v/>
      </c>
      <c r="EW26" s="20"/>
      <c r="EX26" s="12" t="str">
        <f t="shared" si="44"/>
        <v/>
      </c>
      <c r="EY26" s="45" t="str">
        <f t="shared" si="45"/>
        <v/>
      </c>
      <c r="EZ26" s="15"/>
      <c r="FA26" s="15"/>
      <c r="FB26" s="20"/>
      <c r="FC26" s="12" t="str">
        <f>IF($A26="","",SUMIFS('Consumable Usage'!$E:$E,'Consumable Usage'!$A:$A,$A26,'Consumable Usage'!$D:$D,16))</f>
        <v/>
      </c>
      <c r="FD26" s="12" t="str">
        <f>IF($A26="","",SUMIFS('Nursing Charges'!$I:$I,'Nursing Charges'!$A:$A,$A26,'Nursing Charges'!$C:$C,16))</f>
        <v/>
      </c>
      <c r="FE26" s="12" t="str">
        <f>IF($A26="","",FB26+(FD26-SUMIFS('Nursing Charges'!$J:$J,'Nursing Charges'!$A:$A,$A26,'Nursing Charges'!$C:$C,16))+(FC26-SUMIFS('Consumable Usage'!$F:$F,'Consumable Usage'!$A:$A,$A26,'Consumable Usage'!$D:$D,16)))</f>
        <v/>
      </c>
      <c r="FF26" s="12" t="str">
        <f t="shared" si="46"/>
        <v/>
      </c>
      <c r="FG26" s="20"/>
      <c r="FH26" s="12" t="str">
        <f t="shared" si="47"/>
        <v/>
      </c>
      <c r="FI26" s="45" t="str">
        <f t="shared" si="48"/>
        <v/>
      </c>
      <c r="FJ26" s="53"/>
      <c r="FK26" s="53"/>
      <c r="FL26" s="63"/>
      <c r="FM26" s="63" t="str">
        <f>IF($A26="","",SUMIFS('Consumable Usage'!$E:$E,'Consumable Usage'!$A:$A,$A26,'Consumable Usage'!$D:$D,16))</f>
        <v/>
      </c>
      <c r="FN26" s="63" t="str">
        <f>IF($A26="","",SUMIFS('Nursing Charges'!$I:$I,'Nursing Charges'!$A:$A,$A26,'Nursing Charges'!$C:$C,16))</f>
        <v/>
      </c>
      <c r="FO26" s="63" t="str">
        <f>IF($A26="","",FL26+(FN26-SUMIFS('Nursing Charges'!$J:$J,'Nursing Charges'!$A:$A,$A26,'Nursing Charges'!$C:$C,16))+(FM26-SUMIFS('Consumable Usage'!$F:$F,'Consumable Usage'!$A:$A,$A26,'Consumable Usage'!$D:$D,16)))</f>
        <v/>
      </c>
      <c r="FP26" s="63" t="str">
        <f t="shared" si="49"/>
        <v/>
      </c>
      <c r="FQ26" s="63"/>
      <c r="FR26" s="63" t="str">
        <f t="shared" si="50"/>
        <v/>
      </c>
      <c r="FS26" s="53" t="str">
        <f t="shared" si="51"/>
        <v/>
      </c>
    </row>
    <row r="27" ht="15.0" customHeight="1">
      <c r="A27" s="15"/>
      <c r="B27" s="15"/>
      <c r="C27" s="15"/>
      <c r="D27" s="15"/>
      <c r="E27" s="15"/>
      <c r="F27" s="15"/>
      <c r="G27" s="15"/>
      <c r="H27" s="20"/>
      <c r="I27" s="12" t="str">
        <f>IF($A27="","",SUMIFS('Consumable Usage'!$E:$E,'Consumable Usage'!$A:$A,$A27,'Consumable Usage'!$D:$D,1))</f>
        <v/>
      </c>
      <c r="J27" s="12" t="str">
        <f>IF($A27="","",SUMIFS('Nursing Charges'!$I:$I,'Nursing Charges'!$A:$A,$A27,'Nursing Charges'!$C:$C,1))</f>
        <v/>
      </c>
      <c r="K27" s="12" t="str">
        <f>IF($A27="","",H27+(J27-SUMIFS('Nursing Charges'!$J:$J,'Nursing Charges'!$A:$A,$A27,'Nursing Charges'!$C:$C,1))+(I27-SUMIFS('Consumable Usage'!$F:$F,'Consumable Usage'!$A:$A,$A27,'Consumable Usage'!$D:$D,1)))</f>
        <v/>
      </c>
      <c r="L27" s="12" t="str">
        <f t="shared" si="1"/>
        <v/>
      </c>
      <c r="M27" s="20"/>
      <c r="N27" s="12" t="str">
        <f t="shared" si="2"/>
        <v/>
      </c>
      <c r="O27" s="45" t="str">
        <f t="shared" si="3"/>
        <v/>
      </c>
      <c r="P27" s="15"/>
      <c r="Q27" s="15"/>
      <c r="R27" s="20"/>
      <c r="S27" s="12" t="str">
        <f>IF($A27="","",SUMIFS('Consumable Usage'!$E:$E,'Consumable Usage'!$A:$A,$A27,'Consumable Usage'!$D:$D,2))</f>
        <v/>
      </c>
      <c r="T27" s="12" t="str">
        <f>IF($A27="","",SUMIFS('Nursing Charges'!$I:$I,'Nursing Charges'!$A:$A,$A27,'Nursing Charges'!$C:$C,2))</f>
        <v/>
      </c>
      <c r="U27" s="12" t="str">
        <f>IF($A27="","",R27+(T27-SUMIFS('Nursing Charges'!$J:$J,'Nursing Charges'!$A:$A,$A27,'Nursing Charges'!$C:$C,2))+(S27-SUMIFS('Consumable Usage'!$F:$F,'Consumable Usage'!$A:$A,$A27,'Consumable Usage'!$D:$D,2)))</f>
        <v/>
      </c>
      <c r="V27" s="12" t="str">
        <f t="shared" si="4"/>
        <v/>
      </c>
      <c r="W27" s="20"/>
      <c r="X27" s="12" t="str">
        <f t="shared" si="5"/>
        <v/>
      </c>
      <c r="Y27" s="45" t="str">
        <f t="shared" si="6"/>
        <v/>
      </c>
      <c r="Z27" s="15"/>
      <c r="AA27" s="15"/>
      <c r="AB27" s="20"/>
      <c r="AC27" s="12" t="str">
        <f>IF($A27="","",SUMIFS('Consumable Usage'!$E:$E,'Consumable Usage'!$A:$A,$A27,'Consumable Usage'!$D:$D,3))</f>
        <v/>
      </c>
      <c r="AD27" s="12" t="str">
        <f>IF($A27="","",SUMIFS('Nursing Charges'!$I:$I,'Nursing Charges'!$A:$A,$A27,'Nursing Charges'!$C:$C,3))</f>
        <v/>
      </c>
      <c r="AE27" s="12" t="str">
        <f>IF($A27="","",AB27+(AD27-SUMIFS('Nursing Charges'!$J:$J,'Nursing Charges'!$A:$A,$A27,'Nursing Charges'!$C:$C,3))+(AC27-SUMIFS('Consumable Usage'!$F:$F,'Consumable Usage'!$A:$A,$A27,'Consumable Usage'!$D:$D,3)))</f>
        <v/>
      </c>
      <c r="AF27" s="12" t="str">
        <f t="shared" si="7"/>
        <v/>
      </c>
      <c r="AG27" s="20"/>
      <c r="AH27" s="12" t="str">
        <f t="shared" si="8"/>
        <v/>
      </c>
      <c r="AI27" s="45" t="str">
        <f t="shared" si="9"/>
        <v/>
      </c>
      <c r="AJ27" s="15"/>
      <c r="AK27" s="15"/>
      <c r="AL27" s="20"/>
      <c r="AM27" s="12" t="str">
        <f>IF($A27="","",SUMIFS('Consumable Usage'!$E:$E,'Consumable Usage'!$A:$A,$A27,'Consumable Usage'!$D:$D,4))</f>
        <v/>
      </c>
      <c r="AN27" s="12" t="str">
        <f>IF($A27="","",SUMIFS('Nursing Charges'!$I:$I,'Nursing Charges'!$A:$A,$A27,'Nursing Charges'!$C:$C,4))</f>
        <v/>
      </c>
      <c r="AO27" s="12" t="str">
        <f>IF($A27="","",AL27+(AN27-SUMIFS('Nursing Charges'!$J:$J,'Nursing Charges'!$A:$A,$A27,'Nursing Charges'!$C:$C,4))+(AM27-SUMIFS('Consumable Usage'!$F:$F,'Consumable Usage'!$A:$A,$A27,'Consumable Usage'!$D:$D,4)))</f>
        <v/>
      </c>
      <c r="AP27" s="12" t="str">
        <f t="shared" si="10"/>
        <v/>
      </c>
      <c r="AQ27" s="20"/>
      <c r="AR27" s="12" t="str">
        <f t="shared" si="11"/>
        <v/>
      </c>
      <c r="AS27" s="45" t="str">
        <f t="shared" si="12"/>
        <v/>
      </c>
      <c r="AT27" s="15"/>
      <c r="AU27" s="15"/>
      <c r="AV27" s="20"/>
      <c r="AW27" s="12" t="str">
        <f>IF($A27="","",SUMIFS('Consumable Usage'!$E:$E,'Consumable Usage'!$A:$A,$A27,'Consumable Usage'!$D:$D,5))</f>
        <v/>
      </c>
      <c r="AX27" s="12" t="str">
        <f>IF($A27="","",SUMIFS('Nursing Charges'!$I:$I,'Nursing Charges'!$A:$A,$A27,'Nursing Charges'!$C:$C,5))</f>
        <v/>
      </c>
      <c r="AY27" s="12" t="str">
        <f>IF($A27="","",AV27+(AX27-SUMIFS('Nursing Charges'!$J:$J,'Nursing Charges'!$A:$A,$A27,'Nursing Charges'!$C:$C,5))+(AW27-SUMIFS('Consumable Usage'!$F:$F,'Consumable Usage'!$A:$A,$A27,'Consumable Usage'!$D:$D,5)))</f>
        <v/>
      </c>
      <c r="AZ27" s="12" t="str">
        <f t="shared" si="13"/>
        <v/>
      </c>
      <c r="BA27" s="20"/>
      <c r="BB27" s="12" t="str">
        <f t="shared" si="14"/>
        <v/>
      </c>
      <c r="BC27" s="45" t="str">
        <f t="shared" si="15"/>
        <v/>
      </c>
      <c r="BD27" s="15"/>
      <c r="BE27" s="15"/>
      <c r="BF27" s="20"/>
      <c r="BG27" s="12" t="str">
        <f>IF($A27="","",SUMIFS('Consumable Usage'!$E:$E,'Consumable Usage'!$A:$A,$A27,'Consumable Usage'!$D:$D,6))</f>
        <v/>
      </c>
      <c r="BH27" s="12" t="str">
        <f>IF($A27="","",SUMIFS('Nursing Charges'!$I:$I,'Nursing Charges'!$A:$A,$A27,'Nursing Charges'!$C:$C,6))</f>
        <v/>
      </c>
      <c r="BI27" s="12" t="str">
        <f>IF($A27="","",BF27+(BH27-SUMIFS('Nursing Charges'!$J:$J,'Nursing Charges'!$A:$A,$A27,'Nursing Charges'!$C:$C,6))+(BG27-SUMIFS('Consumable Usage'!$F:$F,'Consumable Usage'!$A:$A,$A27,'Consumable Usage'!$D:$D,6)))</f>
        <v/>
      </c>
      <c r="BJ27" s="12" t="str">
        <f t="shared" si="16"/>
        <v/>
      </c>
      <c r="BK27" s="20"/>
      <c r="BL27" s="12" t="str">
        <f t="shared" si="17"/>
        <v/>
      </c>
      <c r="BM27" s="45" t="str">
        <f t="shared" si="18"/>
        <v/>
      </c>
      <c r="BN27" s="15"/>
      <c r="BO27" s="15"/>
      <c r="BP27" s="20"/>
      <c r="BQ27" s="12" t="str">
        <f>IF($A27="","",SUMIFS('Consumable Usage'!$E:$E,'Consumable Usage'!$A:$A,$A27,'Consumable Usage'!$D:$D,7))</f>
        <v/>
      </c>
      <c r="BR27" s="12" t="str">
        <f>IF($A27="","",SUMIFS('Nursing Charges'!$I:$I,'Nursing Charges'!$A:$A,$A27,'Nursing Charges'!$C:$C,7))</f>
        <v/>
      </c>
      <c r="BS27" s="12" t="str">
        <f>IF($A27="","",BP27+(BR27-SUMIFS('Nursing Charges'!$J:$J,'Nursing Charges'!$A:$A,$A27,'Nursing Charges'!$C:$C,7))+(BQ27-SUMIFS('Consumable Usage'!$F:$F,'Consumable Usage'!$A:$A,$A27,'Consumable Usage'!$D:$D,7)))</f>
        <v/>
      </c>
      <c r="BT27" s="12" t="str">
        <f t="shared" si="19"/>
        <v/>
      </c>
      <c r="BU27" s="20"/>
      <c r="BV27" s="12" t="str">
        <f t="shared" si="20"/>
        <v/>
      </c>
      <c r="BW27" s="45" t="str">
        <f t="shared" si="21"/>
        <v/>
      </c>
      <c r="BX27" s="15"/>
      <c r="BY27" s="15"/>
      <c r="BZ27" s="20"/>
      <c r="CA27" s="12" t="str">
        <f>IF($A27="","",SUMIFS('Consumable Usage'!$E:$E,'Consumable Usage'!$A:$A,$A27,'Consumable Usage'!$D:$D,8))</f>
        <v/>
      </c>
      <c r="CB27" s="12" t="str">
        <f>IF($A27="","",SUMIFS('Nursing Charges'!$I:$I,'Nursing Charges'!$A:$A,$A27,'Nursing Charges'!$C:$C,8))</f>
        <v/>
      </c>
      <c r="CC27" s="12" t="str">
        <f>IF($A27="","",BZ27+(CB27-SUMIFS('Nursing Charges'!$J:$J,'Nursing Charges'!$A:$A,$A27,'Nursing Charges'!$C:$C,8))+(CA27-SUMIFS('Consumable Usage'!$F:$F,'Consumable Usage'!$A:$A,$A27,'Consumable Usage'!$D:$D,8)))</f>
        <v/>
      </c>
      <c r="CD27" s="12" t="str">
        <f t="shared" si="22"/>
        <v/>
      </c>
      <c r="CE27" s="20"/>
      <c r="CF27" s="12" t="str">
        <f t="shared" si="23"/>
        <v/>
      </c>
      <c r="CG27" s="45" t="str">
        <f t="shared" si="24"/>
        <v/>
      </c>
      <c r="CH27" s="15"/>
      <c r="CI27" s="15"/>
      <c r="CJ27" s="20"/>
      <c r="CK27" s="12" t="str">
        <f>IF($A27="","",SUMIFS('Consumable Usage'!$E:$E,'Consumable Usage'!$A:$A,$A27,'Consumable Usage'!$D:$D,9))</f>
        <v/>
      </c>
      <c r="CL27" s="12" t="str">
        <f>IF($A27="","",SUMIFS('Nursing Charges'!$I:$I,'Nursing Charges'!$A:$A,$A27,'Nursing Charges'!$C:$C,9))</f>
        <v/>
      </c>
      <c r="CM27" s="12" t="str">
        <f>IF($A27="","",CJ27+(CL27-SUMIFS('Nursing Charges'!$J:$J,'Nursing Charges'!$A:$A,$A27,'Nursing Charges'!$C:$C,9))+(CK27-SUMIFS('Consumable Usage'!$F:$F,'Consumable Usage'!$A:$A,$A27,'Consumable Usage'!$D:$D,9)))</f>
        <v/>
      </c>
      <c r="CN27" s="12" t="str">
        <f t="shared" si="25"/>
        <v/>
      </c>
      <c r="CO27" s="20"/>
      <c r="CP27" s="12" t="str">
        <f t="shared" si="26"/>
        <v/>
      </c>
      <c r="CQ27" s="45" t="str">
        <f t="shared" si="27"/>
        <v/>
      </c>
      <c r="CR27" s="15"/>
      <c r="CS27" s="15"/>
      <c r="CT27" s="20"/>
      <c r="CU27" s="12" t="str">
        <f>IF($A27="","",SUMIFS('Consumable Usage'!$E:$E,'Consumable Usage'!$A:$A,$A27,'Consumable Usage'!$D:$D,10))</f>
        <v/>
      </c>
      <c r="CV27" s="12" t="str">
        <f>IF($A27="","",SUMIFS('Nursing Charges'!$I:$I,'Nursing Charges'!$A:$A,$A27,'Nursing Charges'!$C:$C,10))</f>
        <v/>
      </c>
      <c r="CW27" s="12" t="str">
        <f>IF($A27="","",CT27+(CV27-SUMIFS('Nursing Charges'!$J:$J,'Nursing Charges'!$A:$A,$A27,'Nursing Charges'!$C:$C,10))+(CU27-SUMIFS('Consumable Usage'!$F:$F,'Consumable Usage'!$A:$A,$A27,'Consumable Usage'!$D:$D,10)))</f>
        <v/>
      </c>
      <c r="CX27" s="12" t="str">
        <f t="shared" si="28"/>
        <v/>
      </c>
      <c r="CY27" s="20"/>
      <c r="CZ27" s="12" t="str">
        <f t="shared" si="29"/>
        <v/>
      </c>
      <c r="DA27" s="45" t="str">
        <f t="shared" si="30"/>
        <v/>
      </c>
      <c r="DB27" s="15"/>
      <c r="DC27" s="15"/>
      <c r="DD27" s="20"/>
      <c r="DE27" s="12" t="str">
        <f>IF($A27="","",SUMIFS('Consumable Usage'!$E:$E,'Consumable Usage'!$A:$A,$A27,'Consumable Usage'!$D:$D,11))</f>
        <v/>
      </c>
      <c r="DF27" s="12" t="str">
        <f>IF($A27="","",SUMIFS('Nursing Charges'!$I:$I,'Nursing Charges'!$A:$A,$A27,'Nursing Charges'!$C:$C,11))</f>
        <v/>
      </c>
      <c r="DG27" s="12" t="str">
        <f>IF($A27="","",DD27+(DF27-SUMIFS('Nursing Charges'!$J:$J,'Nursing Charges'!$A:$A,$A27,'Nursing Charges'!$C:$C,11))+(DE27-SUMIFS('Consumable Usage'!$F:$F,'Consumable Usage'!$A:$A,$A27,'Consumable Usage'!$D:$D,11)))</f>
        <v/>
      </c>
      <c r="DH27" s="12" t="str">
        <f t="shared" si="31"/>
        <v/>
      </c>
      <c r="DI27" s="20"/>
      <c r="DJ27" s="12" t="str">
        <f t="shared" si="32"/>
        <v/>
      </c>
      <c r="DK27" s="45" t="str">
        <f t="shared" si="33"/>
        <v/>
      </c>
      <c r="DL27" s="15"/>
      <c r="DM27" s="15"/>
      <c r="DN27" s="20"/>
      <c r="DO27" s="12" t="str">
        <f>IF($A27="","",SUMIFS('Consumable Usage'!$E:$E,'Consumable Usage'!$A:$A,$A27,'Consumable Usage'!$D:$D,12))</f>
        <v/>
      </c>
      <c r="DP27" s="12" t="str">
        <f>IF($A27="","",SUMIFS('Nursing Charges'!$I:$I,'Nursing Charges'!$A:$A,$A27,'Nursing Charges'!$C:$C,12))</f>
        <v/>
      </c>
      <c r="DQ27" s="12" t="str">
        <f>IF($A27="","",DN27+(DP27-SUMIFS('Nursing Charges'!$J:$J,'Nursing Charges'!$A:$A,$A27,'Nursing Charges'!$C:$C,12))+(DO27-SUMIFS('Consumable Usage'!$F:$F,'Consumable Usage'!$A:$A,$A27,'Consumable Usage'!$D:$D,12)))</f>
        <v/>
      </c>
      <c r="DR27" s="12" t="str">
        <f t="shared" si="34"/>
        <v/>
      </c>
      <c r="DS27" s="20"/>
      <c r="DT27" s="12" t="str">
        <f t="shared" si="35"/>
        <v/>
      </c>
      <c r="DU27" s="45" t="str">
        <f t="shared" si="36"/>
        <v/>
      </c>
      <c r="DV27" s="15"/>
      <c r="DW27" s="15"/>
      <c r="DX27" s="20"/>
      <c r="DY27" s="12" t="str">
        <f>IF($A27="","",SUMIFS('Consumable Usage'!$E:$E,'Consumable Usage'!$A:$A,$A27,'Consumable Usage'!$D:$D,13))</f>
        <v/>
      </c>
      <c r="DZ27" s="12" t="str">
        <f>IF($A27="","",SUMIFS('Nursing Charges'!$I:$I,'Nursing Charges'!$A:$A,$A27,'Nursing Charges'!$C:$C,13))</f>
        <v/>
      </c>
      <c r="EA27" s="12" t="str">
        <f>IF($A27="","",DX27+(DZ27-SUMIFS('Nursing Charges'!$J:$J,'Nursing Charges'!$A:$A,$A27,'Nursing Charges'!$C:$C,13))+(DY27-SUMIFS('Consumable Usage'!$F:$F,'Consumable Usage'!$A:$A,$A27,'Consumable Usage'!$D:$D,13)))</f>
        <v/>
      </c>
      <c r="EB27" s="12" t="str">
        <f t="shared" si="37"/>
        <v/>
      </c>
      <c r="EC27" s="20"/>
      <c r="ED27" s="12" t="str">
        <f t="shared" si="38"/>
        <v/>
      </c>
      <c r="EE27" s="45" t="str">
        <f t="shared" si="39"/>
        <v/>
      </c>
      <c r="EF27" s="15"/>
      <c r="EG27" s="15"/>
      <c r="EH27" s="20"/>
      <c r="EI27" s="12" t="str">
        <f>IF($A27="","",SUMIFS('Consumable Usage'!$E:$E,'Consumable Usage'!$A:$A,$A27,'Consumable Usage'!$D:$D,14))</f>
        <v/>
      </c>
      <c r="EJ27" s="12" t="str">
        <f>IF($A27="","",SUMIFS('Nursing Charges'!$I:$I,'Nursing Charges'!$A:$A,$A27,'Nursing Charges'!$C:$C,14))</f>
        <v/>
      </c>
      <c r="EK27" s="12" t="str">
        <f>IF($A27="","",EH27+(EJ27-SUMIFS('Nursing Charges'!$J:$J,'Nursing Charges'!$A:$A,$A27,'Nursing Charges'!$C:$C,14))+(EI27-SUMIFS('Consumable Usage'!$F:$F,'Consumable Usage'!$A:$A,$A27,'Consumable Usage'!$D:$D,14)))</f>
        <v/>
      </c>
      <c r="EL27" s="12" t="str">
        <f t="shared" si="40"/>
        <v/>
      </c>
      <c r="EM27" s="20"/>
      <c r="EN27" s="12" t="str">
        <f t="shared" si="41"/>
        <v/>
      </c>
      <c r="EO27" s="45" t="str">
        <f t="shared" si="42"/>
        <v/>
      </c>
      <c r="EP27" s="15"/>
      <c r="EQ27" s="15"/>
      <c r="ER27" s="20"/>
      <c r="ES27" s="12" t="str">
        <f>IF($A27="","",SUMIFS('Consumable Usage'!$E:$E,'Consumable Usage'!$A:$A,$A27,'Consumable Usage'!$D:$D,15))</f>
        <v/>
      </c>
      <c r="ET27" s="12" t="str">
        <f>IF($A27="","",SUMIFS('Nursing Charges'!$I:$I,'Nursing Charges'!$A:$A,$A27,'Nursing Charges'!$C:$C,15))</f>
        <v/>
      </c>
      <c r="EU27" s="12" t="str">
        <f>IF($A27="","",ER27+(ET27-SUMIFS('Nursing Charges'!$J:$J,'Nursing Charges'!$A:$A,$A27,'Nursing Charges'!$C:$C,15))+(ES27-SUMIFS('Consumable Usage'!$F:$F,'Consumable Usage'!$A:$A,$A27,'Consumable Usage'!$D:$D,15)))</f>
        <v/>
      </c>
      <c r="EV27" s="12" t="str">
        <f t="shared" si="43"/>
        <v/>
      </c>
      <c r="EW27" s="20"/>
      <c r="EX27" s="12" t="str">
        <f t="shared" si="44"/>
        <v/>
      </c>
      <c r="EY27" s="45" t="str">
        <f t="shared" si="45"/>
        <v/>
      </c>
      <c r="EZ27" s="15"/>
      <c r="FA27" s="15"/>
      <c r="FB27" s="20"/>
      <c r="FC27" s="12" t="str">
        <f>IF($A27="","",SUMIFS('Consumable Usage'!$E:$E,'Consumable Usage'!$A:$A,$A27,'Consumable Usage'!$D:$D,16))</f>
        <v/>
      </c>
      <c r="FD27" s="12" t="str">
        <f>IF($A27="","",SUMIFS('Nursing Charges'!$I:$I,'Nursing Charges'!$A:$A,$A27,'Nursing Charges'!$C:$C,16))</f>
        <v/>
      </c>
      <c r="FE27" s="12" t="str">
        <f>IF($A27="","",FB27+(FD27-SUMIFS('Nursing Charges'!$J:$J,'Nursing Charges'!$A:$A,$A27,'Nursing Charges'!$C:$C,16))+(FC27-SUMIFS('Consumable Usage'!$F:$F,'Consumable Usage'!$A:$A,$A27,'Consumable Usage'!$D:$D,16)))</f>
        <v/>
      </c>
      <c r="FF27" s="12" t="str">
        <f t="shared" si="46"/>
        <v/>
      </c>
      <c r="FG27" s="20"/>
      <c r="FH27" s="12" t="str">
        <f t="shared" si="47"/>
        <v/>
      </c>
      <c r="FI27" s="45" t="str">
        <f t="shared" si="48"/>
        <v/>
      </c>
      <c r="FJ27" s="53"/>
      <c r="FK27" s="53"/>
      <c r="FL27" s="63"/>
      <c r="FM27" s="63" t="str">
        <f>IF($A27="","",SUMIFS('Consumable Usage'!$E:$E,'Consumable Usage'!$A:$A,$A27,'Consumable Usage'!$D:$D,16))</f>
        <v/>
      </c>
      <c r="FN27" s="63" t="str">
        <f>IF($A27="","",SUMIFS('Nursing Charges'!$I:$I,'Nursing Charges'!$A:$A,$A27,'Nursing Charges'!$C:$C,16))</f>
        <v/>
      </c>
      <c r="FO27" s="63" t="str">
        <f>IF($A27="","",FL27+(FN27-SUMIFS('Nursing Charges'!$J:$J,'Nursing Charges'!$A:$A,$A27,'Nursing Charges'!$C:$C,16))+(FM27-SUMIFS('Consumable Usage'!$F:$F,'Consumable Usage'!$A:$A,$A27,'Consumable Usage'!$D:$D,16)))</f>
        <v/>
      </c>
      <c r="FP27" s="63" t="str">
        <f t="shared" si="49"/>
        <v/>
      </c>
      <c r="FQ27" s="63"/>
      <c r="FR27" s="63" t="str">
        <f t="shared" si="50"/>
        <v/>
      </c>
      <c r="FS27" s="53" t="str">
        <f t="shared" si="51"/>
        <v/>
      </c>
    </row>
    <row r="28" ht="15.0" customHeight="1">
      <c r="A28" s="15"/>
      <c r="B28" s="15"/>
      <c r="C28" s="15"/>
      <c r="D28" s="15"/>
      <c r="E28" s="15"/>
      <c r="F28" s="15"/>
      <c r="G28" s="15"/>
      <c r="H28" s="20"/>
      <c r="I28" s="12" t="str">
        <f>IF($A28="","",SUMIFS('Consumable Usage'!$E:$E,'Consumable Usage'!$A:$A,$A28,'Consumable Usage'!$D:$D,1))</f>
        <v/>
      </c>
      <c r="J28" s="12" t="str">
        <f>IF($A28="","",SUMIFS('Nursing Charges'!$I:$I,'Nursing Charges'!$A:$A,$A28,'Nursing Charges'!$C:$C,1))</f>
        <v/>
      </c>
      <c r="K28" s="12" t="str">
        <f>IF($A28="","",H28+(J28-SUMIFS('Nursing Charges'!$J:$J,'Nursing Charges'!$A:$A,$A28,'Nursing Charges'!$C:$C,1))+(I28-SUMIFS('Consumable Usage'!$F:$F,'Consumable Usage'!$A:$A,$A28,'Consumable Usage'!$D:$D,1)))</f>
        <v/>
      </c>
      <c r="L28" s="12" t="str">
        <f t="shared" si="1"/>
        <v/>
      </c>
      <c r="M28" s="20"/>
      <c r="N28" s="12" t="str">
        <f t="shared" si="2"/>
        <v/>
      </c>
      <c r="O28" s="45" t="str">
        <f t="shared" si="3"/>
        <v/>
      </c>
      <c r="P28" s="15"/>
      <c r="Q28" s="15"/>
      <c r="R28" s="20"/>
      <c r="S28" s="12" t="str">
        <f>IF($A28="","",SUMIFS('Consumable Usage'!$E:$E,'Consumable Usage'!$A:$A,$A28,'Consumable Usage'!$D:$D,2))</f>
        <v/>
      </c>
      <c r="T28" s="12" t="str">
        <f>IF($A28="","",SUMIFS('Nursing Charges'!$I:$I,'Nursing Charges'!$A:$A,$A28,'Nursing Charges'!$C:$C,2))</f>
        <v/>
      </c>
      <c r="U28" s="12" t="str">
        <f>IF($A28="","",R28+(T28-SUMIFS('Nursing Charges'!$J:$J,'Nursing Charges'!$A:$A,$A28,'Nursing Charges'!$C:$C,2))+(S28-SUMIFS('Consumable Usage'!$F:$F,'Consumable Usage'!$A:$A,$A28,'Consumable Usage'!$D:$D,2)))</f>
        <v/>
      </c>
      <c r="V28" s="12" t="str">
        <f t="shared" si="4"/>
        <v/>
      </c>
      <c r="W28" s="20"/>
      <c r="X28" s="12" t="str">
        <f t="shared" si="5"/>
        <v/>
      </c>
      <c r="Y28" s="45" t="str">
        <f t="shared" si="6"/>
        <v/>
      </c>
      <c r="Z28" s="15"/>
      <c r="AA28" s="15"/>
      <c r="AB28" s="20"/>
      <c r="AC28" s="12" t="str">
        <f>IF($A28="","",SUMIFS('Consumable Usage'!$E:$E,'Consumable Usage'!$A:$A,$A28,'Consumable Usage'!$D:$D,3))</f>
        <v/>
      </c>
      <c r="AD28" s="12" t="str">
        <f>IF($A28="","",SUMIFS('Nursing Charges'!$I:$I,'Nursing Charges'!$A:$A,$A28,'Nursing Charges'!$C:$C,3))</f>
        <v/>
      </c>
      <c r="AE28" s="12" t="str">
        <f>IF($A28="","",AB28+(AD28-SUMIFS('Nursing Charges'!$J:$J,'Nursing Charges'!$A:$A,$A28,'Nursing Charges'!$C:$C,3))+(AC28-SUMIFS('Consumable Usage'!$F:$F,'Consumable Usage'!$A:$A,$A28,'Consumable Usage'!$D:$D,3)))</f>
        <v/>
      </c>
      <c r="AF28" s="12" t="str">
        <f t="shared" si="7"/>
        <v/>
      </c>
      <c r="AG28" s="20"/>
      <c r="AH28" s="12" t="str">
        <f t="shared" si="8"/>
        <v/>
      </c>
      <c r="AI28" s="45" t="str">
        <f t="shared" si="9"/>
        <v/>
      </c>
      <c r="AJ28" s="15"/>
      <c r="AK28" s="15"/>
      <c r="AL28" s="20"/>
      <c r="AM28" s="12" t="str">
        <f>IF($A28="","",SUMIFS('Consumable Usage'!$E:$E,'Consumable Usage'!$A:$A,$A28,'Consumable Usage'!$D:$D,4))</f>
        <v/>
      </c>
      <c r="AN28" s="12" t="str">
        <f>IF($A28="","",SUMIFS('Nursing Charges'!$I:$I,'Nursing Charges'!$A:$A,$A28,'Nursing Charges'!$C:$C,4))</f>
        <v/>
      </c>
      <c r="AO28" s="12" t="str">
        <f>IF($A28="","",AL28+(AN28-SUMIFS('Nursing Charges'!$J:$J,'Nursing Charges'!$A:$A,$A28,'Nursing Charges'!$C:$C,4))+(AM28-SUMIFS('Consumable Usage'!$F:$F,'Consumable Usage'!$A:$A,$A28,'Consumable Usage'!$D:$D,4)))</f>
        <v/>
      </c>
      <c r="AP28" s="12" t="str">
        <f t="shared" si="10"/>
        <v/>
      </c>
      <c r="AQ28" s="20"/>
      <c r="AR28" s="12" t="str">
        <f t="shared" si="11"/>
        <v/>
      </c>
      <c r="AS28" s="45" t="str">
        <f t="shared" si="12"/>
        <v/>
      </c>
      <c r="AT28" s="15"/>
      <c r="AU28" s="15"/>
      <c r="AV28" s="20"/>
      <c r="AW28" s="12" t="str">
        <f>IF($A28="","",SUMIFS('Consumable Usage'!$E:$E,'Consumable Usage'!$A:$A,$A28,'Consumable Usage'!$D:$D,5))</f>
        <v/>
      </c>
      <c r="AX28" s="12" t="str">
        <f>IF($A28="","",SUMIFS('Nursing Charges'!$I:$I,'Nursing Charges'!$A:$A,$A28,'Nursing Charges'!$C:$C,5))</f>
        <v/>
      </c>
      <c r="AY28" s="12" t="str">
        <f>IF($A28="","",AV28+(AX28-SUMIFS('Nursing Charges'!$J:$J,'Nursing Charges'!$A:$A,$A28,'Nursing Charges'!$C:$C,5))+(AW28-SUMIFS('Consumable Usage'!$F:$F,'Consumable Usage'!$A:$A,$A28,'Consumable Usage'!$D:$D,5)))</f>
        <v/>
      </c>
      <c r="AZ28" s="12" t="str">
        <f t="shared" si="13"/>
        <v/>
      </c>
      <c r="BA28" s="20"/>
      <c r="BB28" s="12" t="str">
        <f t="shared" si="14"/>
        <v/>
      </c>
      <c r="BC28" s="45" t="str">
        <f t="shared" si="15"/>
        <v/>
      </c>
      <c r="BD28" s="15"/>
      <c r="BE28" s="15"/>
      <c r="BF28" s="20"/>
      <c r="BG28" s="12" t="str">
        <f>IF($A28="","",SUMIFS('Consumable Usage'!$E:$E,'Consumable Usage'!$A:$A,$A28,'Consumable Usage'!$D:$D,6))</f>
        <v/>
      </c>
      <c r="BH28" s="12" t="str">
        <f>IF($A28="","",SUMIFS('Nursing Charges'!$I:$I,'Nursing Charges'!$A:$A,$A28,'Nursing Charges'!$C:$C,6))</f>
        <v/>
      </c>
      <c r="BI28" s="12" t="str">
        <f>IF($A28="","",BF28+(BH28-SUMIFS('Nursing Charges'!$J:$J,'Nursing Charges'!$A:$A,$A28,'Nursing Charges'!$C:$C,6))+(BG28-SUMIFS('Consumable Usage'!$F:$F,'Consumable Usage'!$A:$A,$A28,'Consumable Usage'!$D:$D,6)))</f>
        <v/>
      </c>
      <c r="BJ28" s="12" t="str">
        <f t="shared" si="16"/>
        <v/>
      </c>
      <c r="BK28" s="20"/>
      <c r="BL28" s="12" t="str">
        <f t="shared" si="17"/>
        <v/>
      </c>
      <c r="BM28" s="45" t="str">
        <f t="shared" si="18"/>
        <v/>
      </c>
      <c r="BN28" s="15"/>
      <c r="BO28" s="15"/>
      <c r="BP28" s="20"/>
      <c r="BQ28" s="12" t="str">
        <f>IF($A28="","",SUMIFS('Consumable Usage'!$E:$E,'Consumable Usage'!$A:$A,$A28,'Consumable Usage'!$D:$D,7))</f>
        <v/>
      </c>
      <c r="BR28" s="12" t="str">
        <f>IF($A28="","",SUMIFS('Nursing Charges'!$I:$I,'Nursing Charges'!$A:$A,$A28,'Nursing Charges'!$C:$C,7))</f>
        <v/>
      </c>
      <c r="BS28" s="12" t="str">
        <f>IF($A28="","",BP28+(BR28-SUMIFS('Nursing Charges'!$J:$J,'Nursing Charges'!$A:$A,$A28,'Nursing Charges'!$C:$C,7))+(BQ28-SUMIFS('Consumable Usage'!$F:$F,'Consumable Usage'!$A:$A,$A28,'Consumable Usage'!$D:$D,7)))</f>
        <v/>
      </c>
      <c r="BT28" s="12" t="str">
        <f t="shared" si="19"/>
        <v/>
      </c>
      <c r="BU28" s="20"/>
      <c r="BV28" s="12" t="str">
        <f t="shared" si="20"/>
        <v/>
      </c>
      <c r="BW28" s="45" t="str">
        <f t="shared" si="21"/>
        <v/>
      </c>
      <c r="BX28" s="15"/>
      <c r="BY28" s="15"/>
      <c r="BZ28" s="20"/>
      <c r="CA28" s="12" t="str">
        <f>IF($A28="","",SUMIFS('Consumable Usage'!$E:$E,'Consumable Usage'!$A:$A,$A28,'Consumable Usage'!$D:$D,8))</f>
        <v/>
      </c>
      <c r="CB28" s="12" t="str">
        <f>IF($A28="","",SUMIFS('Nursing Charges'!$I:$I,'Nursing Charges'!$A:$A,$A28,'Nursing Charges'!$C:$C,8))</f>
        <v/>
      </c>
      <c r="CC28" s="12" t="str">
        <f>IF($A28="","",BZ28+(CB28-SUMIFS('Nursing Charges'!$J:$J,'Nursing Charges'!$A:$A,$A28,'Nursing Charges'!$C:$C,8))+(CA28-SUMIFS('Consumable Usage'!$F:$F,'Consumable Usage'!$A:$A,$A28,'Consumable Usage'!$D:$D,8)))</f>
        <v/>
      </c>
      <c r="CD28" s="12" t="str">
        <f t="shared" si="22"/>
        <v/>
      </c>
      <c r="CE28" s="20"/>
      <c r="CF28" s="12" t="str">
        <f t="shared" si="23"/>
        <v/>
      </c>
      <c r="CG28" s="45" t="str">
        <f t="shared" si="24"/>
        <v/>
      </c>
      <c r="CH28" s="15"/>
      <c r="CI28" s="15"/>
      <c r="CJ28" s="20"/>
      <c r="CK28" s="12" t="str">
        <f>IF($A28="","",SUMIFS('Consumable Usage'!$E:$E,'Consumable Usage'!$A:$A,$A28,'Consumable Usage'!$D:$D,9))</f>
        <v/>
      </c>
      <c r="CL28" s="12" t="str">
        <f>IF($A28="","",SUMIFS('Nursing Charges'!$I:$I,'Nursing Charges'!$A:$A,$A28,'Nursing Charges'!$C:$C,9))</f>
        <v/>
      </c>
      <c r="CM28" s="12" t="str">
        <f>IF($A28="","",CJ28+(CL28-SUMIFS('Nursing Charges'!$J:$J,'Nursing Charges'!$A:$A,$A28,'Nursing Charges'!$C:$C,9))+(CK28-SUMIFS('Consumable Usage'!$F:$F,'Consumable Usage'!$A:$A,$A28,'Consumable Usage'!$D:$D,9)))</f>
        <v/>
      </c>
      <c r="CN28" s="12" t="str">
        <f t="shared" si="25"/>
        <v/>
      </c>
      <c r="CO28" s="20"/>
      <c r="CP28" s="12" t="str">
        <f t="shared" si="26"/>
        <v/>
      </c>
      <c r="CQ28" s="45" t="str">
        <f t="shared" si="27"/>
        <v/>
      </c>
      <c r="CR28" s="15"/>
      <c r="CS28" s="15"/>
      <c r="CT28" s="20"/>
      <c r="CU28" s="12" t="str">
        <f>IF($A28="","",SUMIFS('Consumable Usage'!$E:$E,'Consumable Usage'!$A:$A,$A28,'Consumable Usage'!$D:$D,10))</f>
        <v/>
      </c>
      <c r="CV28" s="12" t="str">
        <f>IF($A28="","",SUMIFS('Nursing Charges'!$I:$I,'Nursing Charges'!$A:$A,$A28,'Nursing Charges'!$C:$C,10))</f>
        <v/>
      </c>
      <c r="CW28" s="12" t="str">
        <f>IF($A28="","",CT28+(CV28-SUMIFS('Nursing Charges'!$J:$J,'Nursing Charges'!$A:$A,$A28,'Nursing Charges'!$C:$C,10))+(CU28-SUMIFS('Consumable Usage'!$F:$F,'Consumable Usage'!$A:$A,$A28,'Consumable Usage'!$D:$D,10)))</f>
        <v/>
      </c>
      <c r="CX28" s="12" t="str">
        <f t="shared" si="28"/>
        <v/>
      </c>
      <c r="CY28" s="20"/>
      <c r="CZ28" s="12" t="str">
        <f t="shared" si="29"/>
        <v/>
      </c>
      <c r="DA28" s="45" t="str">
        <f t="shared" si="30"/>
        <v/>
      </c>
      <c r="DB28" s="15"/>
      <c r="DC28" s="15"/>
      <c r="DD28" s="20"/>
      <c r="DE28" s="12" t="str">
        <f>IF($A28="","",SUMIFS('Consumable Usage'!$E:$E,'Consumable Usage'!$A:$A,$A28,'Consumable Usage'!$D:$D,11))</f>
        <v/>
      </c>
      <c r="DF28" s="12" t="str">
        <f>IF($A28="","",SUMIFS('Nursing Charges'!$I:$I,'Nursing Charges'!$A:$A,$A28,'Nursing Charges'!$C:$C,11))</f>
        <v/>
      </c>
      <c r="DG28" s="12" t="str">
        <f>IF($A28="","",DD28+(DF28-SUMIFS('Nursing Charges'!$J:$J,'Nursing Charges'!$A:$A,$A28,'Nursing Charges'!$C:$C,11))+(DE28-SUMIFS('Consumable Usage'!$F:$F,'Consumable Usage'!$A:$A,$A28,'Consumable Usage'!$D:$D,11)))</f>
        <v/>
      </c>
      <c r="DH28" s="12" t="str">
        <f t="shared" si="31"/>
        <v/>
      </c>
      <c r="DI28" s="20"/>
      <c r="DJ28" s="12" t="str">
        <f t="shared" si="32"/>
        <v/>
      </c>
      <c r="DK28" s="45" t="str">
        <f t="shared" si="33"/>
        <v/>
      </c>
      <c r="DL28" s="15"/>
      <c r="DM28" s="15"/>
      <c r="DN28" s="20"/>
      <c r="DO28" s="12" t="str">
        <f>IF($A28="","",SUMIFS('Consumable Usage'!$E:$E,'Consumable Usage'!$A:$A,$A28,'Consumable Usage'!$D:$D,12))</f>
        <v/>
      </c>
      <c r="DP28" s="12" t="str">
        <f>IF($A28="","",SUMIFS('Nursing Charges'!$I:$I,'Nursing Charges'!$A:$A,$A28,'Nursing Charges'!$C:$C,12))</f>
        <v/>
      </c>
      <c r="DQ28" s="12" t="str">
        <f>IF($A28="","",DN28+(DP28-SUMIFS('Nursing Charges'!$J:$J,'Nursing Charges'!$A:$A,$A28,'Nursing Charges'!$C:$C,12))+(DO28-SUMIFS('Consumable Usage'!$F:$F,'Consumable Usage'!$A:$A,$A28,'Consumable Usage'!$D:$D,12)))</f>
        <v/>
      </c>
      <c r="DR28" s="12" t="str">
        <f t="shared" si="34"/>
        <v/>
      </c>
      <c r="DS28" s="20"/>
      <c r="DT28" s="12" t="str">
        <f t="shared" si="35"/>
        <v/>
      </c>
      <c r="DU28" s="45" t="str">
        <f t="shared" si="36"/>
        <v/>
      </c>
      <c r="DV28" s="15"/>
      <c r="DW28" s="15"/>
      <c r="DX28" s="20"/>
      <c r="DY28" s="12" t="str">
        <f>IF($A28="","",SUMIFS('Consumable Usage'!$E:$E,'Consumable Usage'!$A:$A,$A28,'Consumable Usage'!$D:$D,13))</f>
        <v/>
      </c>
      <c r="DZ28" s="12" t="str">
        <f>IF($A28="","",SUMIFS('Nursing Charges'!$I:$I,'Nursing Charges'!$A:$A,$A28,'Nursing Charges'!$C:$C,13))</f>
        <v/>
      </c>
      <c r="EA28" s="12" t="str">
        <f>IF($A28="","",DX28+(DZ28-SUMIFS('Nursing Charges'!$J:$J,'Nursing Charges'!$A:$A,$A28,'Nursing Charges'!$C:$C,13))+(DY28-SUMIFS('Consumable Usage'!$F:$F,'Consumable Usage'!$A:$A,$A28,'Consumable Usage'!$D:$D,13)))</f>
        <v/>
      </c>
      <c r="EB28" s="12" t="str">
        <f t="shared" si="37"/>
        <v/>
      </c>
      <c r="EC28" s="20"/>
      <c r="ED28" s="12" t="str">
        <f t="shared" si="38"/>
        <v/>
      </c>
      <c r="EE28" s="45" t="str">
        <f t="shared" si="39"/>
        <v/>
      </c>
      <c r="EF28" s="15"/>
      <c r="EG28" s="15"/>
      <c r="EH28" s="20"/>
      <c r="EI28" s="12" t="str">
        <f>IF($A28="","",SUMIFS('Consumable Usage'!$E:$E,'Consumable Usage'!$A:$A,$A28,'Consumable Usage'!$D:$D,14))</f>
        <v/>
      </c>
      <c r="EJ28" s="12" t="str">
        <f>IF($A28="","",SUMIFS('Nursing Charges'!$I:$I,'Nursing Charges'!$A:$A,$A28,'Nursing Charges'!$C:$C,14))</f>
        <v/>
      </c>
      <c r="EK28" s="12" t="str">
        <f>IF($A28="","",EH28+(EJ28-SUMIFS('Nursing Charges'!$J:$J,'Nursing Charges'!$A:$A,$A28,'Nursing Charges'!$C:$C,14))+(EI28-SUMIFS('Consumable Usage'!$F:$F,'Consumable Usage'!$A:$A,$A28,'Consumable Usage'!$D:$D,14)))</f>
        <v/>
      </c>
      <c r="EL28" s="12" t="str">
        <f t="shared" si="40"/>
        <v/>
      </c>
      <c r="EM28" s="20"/>
      <c r="EN28" s="12" t="str">
        <f t="shared" si="41"/>
        <v/>
      </c>
      <c r="EO28" s="45" t="str">
        <f t="shared" si="42"/>
        <v/>
      </c>
      <c r="EP28" s="15"/>
      <c r="EQ28" s="15"/>
      <c r="ER28" s="20"/>
      <c r="ES28" s="12" t="str">
        <f>IF($A28="","",SUMIFS('Consumable Usage'!$E:$E,'Consumable Usage'!$A:$A,$A28,'Consumable Usage'!$D:$D,15))</f>
        <v/>
      </c>
      <c r="ET28" s="12" t="str">
        <f>IF($A28="","",SUMIFS('Nursing Charges'!$I:$I,'Nursing Charges'!$A:$A,$A28,'Nursing Charges'!$C:$C,15))</f>
        <v/>
      </c>
      <c r="EU28" s="12" t="str">
        <f>IF($A28="","",ER28+(ET28-SUMIFS('Nursing Charges'!$J:$J,'Nursing Charges'!$A:$A,$A28,'Nursing Charges'!$C:$C,15))+(ES28-SUMIFS('Consumable Usage'!$F:$F,'Consumable Usage'!$A:$A,$A28,'Consumable Usage'!$D:$D,15)))</f>
        <v/>
      </c>
      <c r="EV28" s="12" t="str">
        <f t="shared" si="43"/>
        <v/>
      </c>
      <c r="EW28" s="20"/>
      <c r="EX28" s="12" t="str">
        <f t="shared" si="44"/>
        <v/>
      </c>
      <c r="EY28" s="45" t="str">
        <f t="shared" si="45"/>
        <v/>
      </c>
      <c r="EZ28" s="15"/>
      <c r="FA28" s="15"/>
      <c r="FB28" s="20"/>
      <c r="FC28" s="12" t="str">
        <f>IF($A28="","",SUMIFS('Consumable Usage'!$E:$E,'Consumable Usage'!$A:$A,$A28,'Consumable Usage'!$D:$D,16))</f>
        <v/>
      </c>
      <c r="FD28" s="12" t="str">
        <f>IF($A28="","",SUMIFS('Nursing Charges'!$I:$I,'Nursing Charges'!$A:$A,$A28,'Nursing Charges'!$C:$C,16))</f>
        <v/>
      </c>
      <c r="FE28" s="12" t="str">
        <f>IF($A28="","",FB28+(FD28-SUMIFS('Nursing Charges'!$J:$J,'Nursing Charges'!$A:$A,$A28,'Nursing Charges'!$C:$C,16))+(FC28-SUMIFS('Consumable Usage'!$F:$F,'Consumable Usage'!$A:$A,$A28,'Consumable Usage'!$D:$D,16)))</f>
        <v/>
      </c>
      <c r="FF28" s="12" t="str">
        <f t="shared" si="46"/>
        <v/>
      </c>
      <c r="FG28" s="20"/>
      <c r="FH28" s="12" t="str">
        <f t="shared" si="47"/>
        <v/>
      </c>
      <c r="FI28" s="45" t="str">
        <f t="shared" si="48"/>
        <v/>
      </c>
      <c r="FJ28" s="53"/>
      <c r="FK28" s="53"/>
      <c r="FL28" s="63"/>
      <c r="FM28" s="63" t="str">
        <f>IF($A28="","",SUMIFS('Consumable Usage'!$E:$E,'Consumable Usage'!$A:$A,$A28,'Consumable Usage'!$D:$D,16))</f>
        <v/>
      </c>
      <c r="FN28" s="63" t="str">
        <f>IF($A28="","",SUMIFS('Nursing Charges'!$I:$I,'Nursing Charges'!$A:$A,$A28,'Nursing Charges'!$C:$C,16))</f>
        <v/>
      </c>
      <c r="FO28" s="63" t="str">
        <f>IF($A28="","",FL28+(FN28-SUMIFS('Nursing Charges'!$J:$J,'Nursing Charges'!$A:$A,$A28,'Nursing Charges'!$C:$C,16))+(FM28-SUMIFS('Consumable Usage'!$F:$F,'Consumable Usage'!$A:$A,$A28,'Consumable Usage'!$D:$D,16)))</f>
        <v/>
      </c>
      <c r="FP28" s="63" t="str">
        <f t="shared" si="49"/>
        <v/>
      </c>
      <c r="FQ28" s="63"/>
      <c r="FR28" s="63" t="str">
        <f t="shared" si="50"/>
        <v/>
      </c>
      <c r="FS28" s="53" t="str">
        <f t="shared" si="51"/>
        <v/>
      </c>
    </row>
    <row r="29" ht="15.0" customHeight="1">
      <c r="A29" s="15"/>
      <c r="B29" s="15"/>
      <c r="C29" s="15"/>
      <c r="D29" s="15"/>
      <c r="E29" s="15"/>
      <c r="F29" s="15"/>
      <c r="G29" s="15"/>
      <c r="H29" s="20"/>
      <c r="I29" s="12" t="str">
        <f>IF($A29="","",SUMIFS('Consumable Usage'!$E:$E,'Consumable Usage'!$A:$A,$A29,'Consumable Usage'!$D:$D,1))</f>
        <v/>
      </c>
      <c r="J29" s="12" t="str">
        <f>IF($A29="","",SUMIFS('Nursing Charges'!$I:$I,'Nursing Charges'!$A:$A,$A29,'Nursing Charges'!$C:$C,1))</f>
        <v/>
      </c>
      <c r="K29" s="12" t="str">
        <f>IF($A29="","",H29+(J29-SUMIFS('Nursing Charges'!$J:$J,'Nursing Charges'!$A:$A,$A29,'Nursing Charges'!$C:$C,1))+(I29-SUMIFS('Consumable Usage'!$F:$F,'Consumable Usage'!$A:$A,$A29,'Consumable Usage'!$D:$D,1)))</f>
        <v/>
      </c>
      <c r="L29" s="12" t="str">
        <f t="shared" si="1"/>
        <v/>
      </c>
      <c r="M29" s="20"/>
      <c r="N29" s="12" t="str">
        <f t="shared" si="2"/>
        <v/>
      </c>
      <c r="O29" s="45" t="str">
        <f t="shared" si="3"/>
        <v/>
      </c>
      <c r="P29" s="15"/>
      <c r="Q29" s="15"/>
      <c r="R29" s="20"/>
      <c r="S29" s="12" t="str">
        <f>IF($A29="","",SUMIFS('Consumable Usage'!$E:$E,'Consumable Usage'!$A:$A,$A29,'Consumable Usage'!$D:$D,2))</f>
        <v/>
      </c>
      <c r="T29" s="12" t="str">
        <f>IF($A29="","",SUMIFS('Nursing Charges'!$I:$I,'Nursing Charges'!$A:$A,$A29,'Nursing Charges'!$C:$C,2))</f>
        <v/>
      </c>
      <c r="U29" s="12" t="str">
        <f>IF($A29="","",R29+(T29-SUMIFS('Nursing Charges'!$J:$J,'Nursing Charges'!$A:$A,$A29,'Nursing Charges'!$C:$C,2))+(S29-SUMIFS('Consumable Usage'!$F:$F,'Consumable Usage'!$A:$A,$A29,'Consumable Usage'!$D:$D,2)))</f>
        <v/>
      </c>
      <c r="V29" s="12" t="str">
        <f t="shared" si="4"/>
        <v/>
      </c>
      <c r="W29" s="20"/>
      <c r="X29" s="12" t="str">
        <f t="shared" si="5"/>
        <v/>
      </c>
      <c r="Y29" s="45" t="str">
        <f t="shared" si="6"/>
        <v/>
      </c>
      <c r="Z29" s="15"/>
      <c r="AA29" s="15"/>
      <c r="AB29" s="20"/>
      <c r="AC29" s="12" t="str">
        <f>IF($A29="","",SUMIFS('Consumable Usage'!$E:$E,'Consumable Usage'!$A:$A,$A29,'Consumable Usage'!$D:$D,3))</f>
        <v/>
      </c>
      <c r="AD29" s="12" t="str">
        <f>IF($A29="","",SUMIFS('Nursing Charges'!$I:$I,'Nursing Charges'!$A:$A,$A29,'Nursing Charges'!$C:$C,3))</f>
        <v/>
      </c>
      <c r="AE29" s="12" t="str">
        <f>IF($A29="","",AB29+(AD29-SUMIFS('Nursing Charges'!$J:$J,'Nursing Charges'!$A:$A,$A29,'Nursing Charges'!$C:$C,3))+(AC29-SUMIFS('Consumable Usage'!$F:$F,'Consumable Usage'!$A:$A,$A29,'Consumable Usage'!$D:$D,3)))</f>
        <v/>
      </c>
      <c r="AF29" s="12" t="str">
        <f t="shared" si="7"/>
        <v/>
      </c>
      <c r="AG29" s="20"/>
      <c r="AH29" s="12" t="str">
        <f t="shared" si="8"/>
        <v/>
      </c>
      <c r="AI29" s="45" t="str">
        <f t="shared" si="9"/>
        <v/>
      </c>
      <c r="AJ29" s="15"/>
      <c r="AK29" s="15"/>
      <c r="AL29" s="20"/>
      <c r="AM29" s="12" t="str">
        <f>IF($A29="","",SUMIFS('Consumable Usage'!$E:$E,'Consumable Usage'!$A:$A,$A29,'Consumable Usage'!$D:$D,4))</f>
        <v/>
      </c>
      <c r="AN29" s="12" t="str">
        <f>IF($A29="","",SUMIFS('Nursing Charges'!$I:$I,'Nursing Charges'!$A:$A,$A29,'Nursing Charges'!$C:$C,4))</f>
        <v/>
      </c>
      <c r="AO29" s="12" t="str">
        <f>IF($A29="","",AL29+(AN29-SUMIFS('Nursing Charges'!$J:$J,'Nursing Charges'!$A:$A,$A29,'Nursing Charges'!$C:$C,4))+(AM29-SUMIFS('Consumable Usage'!$F:$F,'Consumable Usage'!$A:$A,$A29,'Consumable Usage'!$D:$D,4)))</f>
        <v/>
      </c>
      <c r="AP29" s="12" t="str">
        <f t="shared" si="10"/>
        <v/>
      </c>
      <c r="AQ29" s="20"/>
      <c r="AR29" s="12" t="str">
        <f t="shared" si="11"/>
        <v/>
      </c>
      <c r="AS29" s="45" t="str">
        <f t="shared" si="12"/>
        <v/>
      </c>
      <c r="AT29" s="15"/>
      <c r="AU29" s="15"/>
      <c r="AV29" s="20"/>
      <c r="AW29" s="12" t="str">
        <f>IF($A29="","",SUMIFS('Consumable Usage'!$E:$E,'Consumable Usage'!$A:$A,$A29,'Consumable Usage'!$D:$D,5))</f>
        <v/>
      </c>
      <c r="AX29" s="12" t="str">
        <f>IF($A29="","",SUMIFS('Nursing Charges'!$I:$I,'Nursing Charges'!$A:$A,$A29,'Nursing Charges'!$C:$C,5))</f>
        <v/>
      </c>
      <c r="AY29" s="12" t="str">
        <f>IF($A29="","",AV29+(AX29-SUMIFS('Nursing Charges'!$J:$J,'Nursing Charges'!$A:$A,$A29,'Nursing Charges'!$C:$C,5))+(AW29-SUMIFS('Consumable Usage'!$F:$F,'Consumable Usage'!$A:$A,$A29,'Consumable Usage'!$D:$D,5)))</f>
        <v/>
      </c>
      <c r="AZ29" s="12" t="str">
        <f t="shared" si="13"/>
        <v/>
      </c>
      <c r="BA29" s="20"/>
      <c r="BB29" s="12" t="str">
        <f t="shared" si="14"/>
        <v/>
      </c>
      <c r="BC29" s="45" t="str">
        <f t="shared" si="15"/>
        <v/>
      </c>
      <c r="BD29" s="15"/>
      <c r="BE29" s="15"/>
      <c r="BF29" s="20"/>
      <c r="BG29" s="12" t="str">
        <f>IF($A29="","",SUMIFS('Consumable Usage'!$E:$E,'Consumable Usage'!$A:$A,$A29,'Consumable Usage'!$D:$D,6))</f>
        <v/>
      </c>
      <c r="BH29" s="12" t="str">
        <f>IF($A29="","",SUMIFS('Nursing Charges'!$I:$I,'Nursing Charges'!$A:$A,$A29,'Nursing Charges'!$C:$C,6))</f>
        <v/>
      </c>
      <c r="BI29" s="12" t="str">
        <f>IF($A29="","",BF29+(BH29-SUMIFS('Nursing Charges'!$J:$J,'Nursing Charges'!$A:$A,$A29,'Nursing Charges'!$C:$C,6))+(BG29-SUMIFS('Consumable Usage'!$F:$F,'Consumable Usage'!$A:$A,$A29,'Consumable Usage'!$D:$D,6)))</f>
        <v/>
      </c>
      <c r="BJ29" s="12" t="str">
        <f t="shared" si="16"/>
        <v/>
      </c>
      <c r="BK29" s="20"/>
      <c r="BL29" s="12" t="str">
        <f t="shared" si="17"/>
        <v/>
      </c>
      <c r="BM29" s="45" t="str">
        <f t="shared" si="18"/>
        <v/>
      </c>
      <c r="BN29" s="15"/>
      <c r="BO29" s="15"/>
      <c r="BP29" s="20"/>
      <c r="BQ29" s="12" t="str">
        <f>IF($A29="","",SUMIFS('Consumable Usage'!$E:$E,'Consumable Usage'!$A:$A,$A29,'Consumable Usage'!$D:$D,7))</f>
        <v/>
      </c>
      <c r="BR29" s="12" t="str">
        <f>IF($A29="","",SUMIFS('Nursing Charges'!$I:$I,'Nursing Charges'!$A:$A,$A29,'Nursing Charges'!$C:$C,7))</f>
        <v/>
      </c>
      <c r="BS29" s="12" t="str">
        <f>IF($A29="","",BP29+(BR29-SUMIFS('Nursing Charges'!$J:$J,'Nursing Charges'!$A:$A,$A29,'Nursing Charges'!$C:$C,7))+(BQ29-SUMIFS('Consumable Usage'!$F:$F,'Consumable Usage'!$A:$A,$A29,'Consumable Usage'!$D:$D,7)))</f>
        <v/>
      </c>
      <c r="BT29" s="12" t="str">
        <f t="shared" si="19"/>
        <v/>
      </c>
      <c r="BU29" s="20"/>
      <c r="BV29" s="12" t="str">
        <f t="shared" si="20"/>
        <v/>
      </c>
      <c r="BW29" s="45" t="str">
        <f t="shared" si="21"/>
        <v/>
      </c>
      <c r="BX29" s="15"/>
      <c r="BY29" s="15"/>
      <c r="BZ29" s="20"/>
      <c r="CA29" s="12" t="str">
        <f>IF($A29="","",SUMIFS('Consumable Usage'!$E:$E,'Consumable Usage'!$A:$A,$A29,'Consumable Usage'!$D:$D,8))</f>
        <v/>
      </c>
      <c r="CB29" s="12" t="str">
        <f>IF($A29="","",SUMIFS('Nursing Charges'!$I:$I,'Nursing Charges'!$A:$A,$A29,'Nursing Charges'!$C:$C,8))</f>
        <v/>
      </c>
      <c r="CC29" s="12" t="str">
        <f>IF($A29="","",BZ29+(CB29-SUMIFS('Nursing Charges'!$J:$J,'Nursing Charges'!$A:$A,$A29,'Nursing Charges'!$C:$C,8))+(CA29-SUMIFS('Consumable Usage'!$F:$F,'Consumable Usage'!$A:$A,$A29,'Consumable Usage'!$D:$D,8)))</f>
        <v/>
      </c>
      <c r="CD29" s="12" t="str">
        <f t="shared" si="22"/>
        <v/>
      </c>
      <c r="CE29" s="20"/>
      <c r="CF29" s="12" t="str">
        <f t="shared" si="23"/>
        <v/>
      </c>
      <c r="CG29" s="45" t="str">
        <f t="shared" si="24"/>
        <v/>
      </c>
      <c r="CH29" s="15"/>
      <c r="CI29" s="15"/>
      <c r="CJ29" s="20"/>
      <c r="CK29" s="12" t="str">
        <f>IF($A29="","",SUMIFS('Consumable Usage'!$E:$E,'Consumable Usage'!$A:$A,$A29,'Consumable Usage'!$D:$D,9))</f>
        <v/>
      </c>
      <c r="CL29" s="12" t="str">
        <f>IF($A29="","",SUMIFS('Nursing Charges'!$I:$I,'Nursing Charges'!$A:$A,$A29,'Nursing Charges'!$C:$C,9))</f>
        <v/>
      </c>
      <c r="CM29" s="12" t="str">
        <f>IF($A29="","",CJ29+(CL29-SUMIFS('Nursing Charges'!$J:$J,'Nursing Charges'!$A:$A,$A29,'Nursing Charges'!$C:$C,9))+(CK29-SUMIFS('Consumable Usage'!$F:$F,'Consumable Usage'!$A:$A,$A29,'Consumable Usage'!$D:$D,9)))</f>
        <v/>
      </c>
      <c r="CN29" s="12" t="str">
        <f t="shared" si="25"/>
        <v/>
      </c>
      <c r="CO29" s="20"/>
      <c r="CP29" s="12" t="str">
        <f t="shared" si="26"/>
        <v/>
      </c>
      <c r="CQ29" s="45" t="str">
        <f t="shared" si="27"/>
        <v/>
      </c>
      <c r="CR29" s="15"/>
      <c r="CS29" s="15"/>
      <c r="CT29" s="20"/>
      <c r="CU29" s="12" t="str">
        <f>IF($A29="","",SUMIFS('Consumable Usage'!$E:$E,'Consumable Usage'!$A:$A,$A29,'Consumable Usage'!$D:$D,10))</f>
        <v/>
      </c>
      <c r="CV29" s="12" t="str">
        <f>IF($A29="","",SUMIFS('Nursing Charges'!$I:$I,'Nursing Charges'!$A:$A,$A29,'Nursing Charges'!$C:$C,10))</f>
        <v/>
      </c>
      <c r="CW29" s="12" t="str">
        <f>IF($A29="","",CT29+(CV29-SUMIFS('Nursing Charges'!$J:$J,'Nursing Charges'!$A:$A,$A29,'Nursing Charges'!$C:$C,10))+(CU29-SUMIFS('Consumable Usage'!$F:$F,'Consumable Usage'!$A:$A,$A29,'Consumable Usage'!$D:$D,10)))</f>
        <v/>
      </c>
      <c r="CX29" s="12" t="str">
        <f t="shared" si="28"/>
        <v/>
      </c>
      <c r="CY29" s="20"/>
      <c r="CZ29" s="12" t="str">
        <f t="shared" si="29"/>
        <v/>
      </c>
      <c r="DA29" s="45" t="str">
        <f t="shared" si="30"/>
        <v/>
      </c>
      <c r="DB29" s="15"/>
      <c r="DC29" s="15"/>
      <c r="DD29" s="20"/>
      <c r="DE29" s="12" t="str">
        <f>IF($A29="","",SUMIFS('Consumable Usage'!$E:$E,'Consumable Usage'!$A:$A,$A29,'Consumable Usage'!$D:$D,11))</f>
        <v/>
      </c>
      <c r="DF29" s="12" t="str">
        <f>IF($A29="","",SUMIFS('Nursing Charges'!$I:$I,'Nursing Charges'!$A:$A,$A29,'Nursing Charges'!$C:$C,11))</f>
        <v/>
      </c>
      <c r="DG29" s="12" t="str">
        <f>IF($A29="","",DD29+(DF29-SUMIFS('Nursing Charges'!$J:$J,'Nursing Charges'!$A:$A,$A29,'Nursing Charges'!$C:$C,11))+(DE29-SUMIFS('Consumable Usage'!$F:$F,'Consumable Usage'!$A:$A,$A29,'Consumable Usage'!$D:$D,11)))</f>
        <v/>
      </c>
      <c r="DH29" s="12" t="str">
        <f t="shared" si="31"/>
        <v/>
      </c>
      <c r="DI29" s="20"/>
      <c r="DJ29" s="12" t="str">
        <f t="shared" si="32"/>
        <v/>
      </c>
      <c r="DK29" s="45" t="str">
        <f t="shared" si="33"/>
        <v/>
      </c>
      <c r="DL29" s="15"/>
      <c r="DM29" s="15"/>
      <c r="DN29" s="20"/>
      <c r="DO29" s="12" t="str">
        <f>IF($A29="","",SUMIFS('Consumable Usage'!$E:$E,'Consumable Usage'!$A:$A,$A29,'Consumable Usage'!$D:$D,12))</f>
        <v/>
      </c>
      <c r="DP29" s="12" t="str">
        <f>IF($A29="","",SUMIFS('Nursing Charges'!$I:$I,'Nursing Charges'!$A:$A,$A29,'Nursing Charges'!$C:$C,12))</f>
        <v/>
      </c>
      <c r="DQ29" s="12" t="str">
        <f>IF($A29="","",DN29+(DP29-SUMIFS('Nursing Charges'!$J:$J,'Nursing Charges'!$A:$A,$A29,'Nursing Charges'!$C:$C,12))+(DO29-SUMIFS('Consumable Usage'!$F:$F,'Consumable Usage'!$A:$A,$A29,'Consumable Usage'!$D:$D,12)))</f>
        <v/>
      </c>
      <c r="DR29" s="12" t="str">
        <f t="shared" si="34"/>
        <v/>
      </c>
      <c r="DS29" s="20"/>
      <c r="DT29" s="12" t="str">
        <f t="shared" si="35"/>
        <v/>
      </c>
      <c r="DU29" s="45" t="str">
        <f t="shared" si="36"/>
        <v/>
      </c>
      <c r="DV29" s="15"/>
      <c r="DW29" s="15"/>
      <c r="DX29" s="20"/>
      <c r="DY29" s="12" t="str">
        <f>IF($A29="","",SUMIFS('Consumable Usage'!$E:$E,'Consumable Usage'!$A:$A,$A29,'Consumable Usage'!$D:$D,13))</f>
        <v/>
      </c>
      <c r="DZ29" s="12" t="str">
        <f>IF($A29="","",SUMIFS('Nursing Charges'!$I:$I,'Nursing Charges'!$A:$A,$A29,'Nursing Charges'!$C:$C,13))</f>
        <v/>
      </c>
      <c r="EA29" s="12" t="str">
        <f>IF($A29="","",DX29+(DZ29-SUMIFS('Nursing Charges'!$J:$J,'Nursing Charges'!$A:$A,$A29,'Nursing Charges'!$C:$C,13))+(DY29-SUMIFS('Consumable Usage'!$F:$F,'Consumable Usage'!$A:$A,$A29,'Consumable Usage'!$D:$D,13)))</f>
        <v/>
      </c>
      <c r="EB29" s="12" t="str">
        <f t="shared" si="37"/>
        <v/>
      </c>
      <c r="EC29" s="20"/>
      <c r="ED29" s="12" t="str">
        <f t="shared" si="38"/>
        <v/>
      </c>
      <c r="EE29" s="45" t="str">
        <f t="shared" si="39"/>
        <v/>
      </c>
      <c r="EF29" s="15"/>
      <c r="EG29" s="15"/>
      <c r="EH29" s="20"/>
      <c r="EI29" s="12" t="str">
        <f>IF($A29="","",SUMIFS('Consumable Usage'!$E:$E,'Consumable Usage'!$A:$A,$A29,'Consumable Usage'!$D:$D,14))</f>
        <v/>
      </c>
      <c r="EJ29" s="12" t="str">
        <f>IF($A29="","",SUMIFS('Nursing Charges'!$I:$I,'Nursing Charges'!$A:$A,$A29,'Nursing Charges'!$C:$C,14))</f>
        <v/>
      </c>
      <c r="EK29" s="12" t="str">
        <f>IF($A29="","",EH29+(EJ29-SUMIFS('Nursing Charges'!$J:$J,'Nursing Charges'!$A:$A,$A29,'Nursing Charges'!$C:$C,14))+(EI29-SUMIFS('Consumable Usage'!$F:$F,'Consumable Usage'!$A:$A,$A29,'Consumable Usage'!$D:$D,14)))</f>
        <v/>
      </c>
      <c r="EL29" s="12" t="str">
        <f t="shared" si="40"/>
        <v/>
      </c>
      <c r="EM29" s="20"/>
      <c r="EN29" s="12" t="str">
        <f t="shared" si="41"/>
        <v/>
      </c>
      <c r="EO29" s="45" t="str">
        <f t="shared" si="42"/>
        <v/>
      </c>
      <c r="EP29" s="15"/>
      <c r="EQ29" s="15"/>
      <c r="ER29" s="20"/>
      <c r="ES29" s="12" t="str">
        <f>IF($A29="","",SUMIFS('Consumable Usage'!$E:$E,'Consumable Usage'!$A:$A,$A29,'Consumable Usage'!$D:$D,15))</f>
        <v/>
      </c>
      <c r="ET29" s="12" t="str">
        <f>IF($A29="","",SUMIFS('Nursing Charges'!$I:$I,'Nursing Charges'!$A:$A,$A29,'Nursing Charges'!$C:$C,15))</f>
        <v/>
      </c>
      <c r="EU29" s="12" t="str">
        <f>IF($A29="","",ER29+(ET29-SUMIFS('Nursing Charges'!$J:$J,'Nursing Charges'!$A:$A,$A29,'Nursing Charges'!$C:$C,15))+(ES29-SUMIFS('Consumable Usage'!$F:$F,'Consumable Usage'!$A:$A,$A29,'Consumable Usage'!$D:$D,15)))</f>
        <v/>
      </c>
      <c r="EV29" s="12" t="str">
        <f t="shared" si="43"/>
        <v/>
      </c>
      <c r="EW29" s="20"/>
      <c r="EX29" s="12" t="str">
        <f t="shared" si="44"/>
        <v/>
      </c>
      <c r="EY29" s="45" t="str">
        <f t="shared" si="45"/>
        <v/>
      </c>
      <c r="EZ29" s="15"/>
      <c r="FA29" s="15"/>
      <c r="FB29" s="20"/>
      <c r="FC29" s="12" t="str">
        <f>IF($A29="","",SUMIFS('Consumable Usage'!$E:$E,'Consumable Usage'!$A:$A,$A29,'Consumable Usage'!$D:$D,16))</f>
        <v/>
      </c>
      <c r="FD29" s="12" t="str">
        <f>IF($A29="","",SUMIFS('Nursing Charges'!$I:$I,'Nursing Charges'!$A:$A,$A29,'Nursing Charges'!$C:$C,16))</f>
        <v/>
      </c>
      <c r="FE29" s="12" t="str">
        <f>IF($A29="","",FB29+(FD29-SUMIFS('Nursing Charges'!$J:$J,'Nursing Charges'!$A:$A,$A29,'Nursing Charges'!$C:$C,16))+(FC29-SUMIFS('Consumable Usage'!$F:$F,'Consumable Usage'!$A:$A,$A29,'Consumable Usage'!$D:$D,16)))</f>
        <v/>
      </c>
      <c r="FF29" s="12" t="str">
        <f t="shared" si="46"/>
        <v/>
      </c>
      <c r="FG29" s="20"/>
      <c r="FH29" s="12" t="str">
        <f t="shared" si="47"/>
        <v/>
      </c>
      <c r="FI29" s="45" t="str">
        <f t="shared" si="48"/>
        <v/>
      </c>
      <c r="FJ29" s="53"/>
      <c r="FK29" s="53"/>
      <c r="FL29" s="63"/>
      <c r="FM29" s="63" t="str">
        <f>IF($A29="","",SUMIFS('Consumable Usage'!$E:$E,'Consumable Usage'!$A:$A,$A29,'Consumable Usage'!$D:$D,16))</f>
        <v/>
      </c>
      <c r="FN29" s="63" t="str">
        <f>IF($A29="","",SUMIFS('Nursing Charges'!$I:$I,'Nursing Charges'!$A:$A,$A29,'Nursing Charges'!$C:$C,16))</f>
        <v/>
      </c>
      <c r="FO29" s="63" t="str">
        <f>IF($A29="","",FL29+(FN29-SUMIFS('Nursing Charges'!$J:$J,'Nursing Charges'!$A:$A,$A29,'Nursing Charges'!$C:$C,16))+(FM29-SUMIFS('Consumable Usage'!$F:$F,'Consumable Usage'!$A:$A,$A29,'Consumable Usage'!$D:$D,16)))</f>
        <v/>
      </c>
      <c r="FP29" s="63" t="str">
        <f t="shared" si="49"/>
        <v/>
      </c>
      <c r="FQ29" s="63"/>
      <c r="FR29" s="63" t="str">
        <f t="shared" si="50"/>
        <v/>
      </c>
      <c r="FS29" s="53" t="str">
        <f t="shared" si="51"/>
        <v/>
      </c>
    </row>
    <row r="30" ht="15.0" customHeight="1">
      <c r="A30" s="15"/>
      <c r="B30" s="15"/>
      <c r="C30" s="15"/>
      <c r="D30" s="15"/>
      <c r="E30" s="15"/>
      <c r="F30" s="15"/>
      <c r="G30" s="15"/>
      <c r="H30" s="20"/>
      <c r="I30" s="12" t="str">
        <f>IF($A30="","",SUMIFS('Consumable Usage'!$E:$E,'Consumable Usage'!$A:$A,$A30,'Consumable Usage'!$D:$D,1))</f>
        <v/>
      </c>
      <c r="J30" s="12" t="str">
        <f>IF($A30="","",SUMIFS('Nursing Charges'!$I:$I,'Nursing Charges'!$A:$A,$A30,'Nursing Charges'!$C:$C,1))</f>
        <v/>
      </c>
      <c r="K30" s="12" t="str">
        <f>IF($A30="","",H30+(J30-SUMIFS('Nursing Charges'!$J:$J,'Nursing Charges'!$A:$A,$A30,'Nursing Charges'!$C:$C,1))+(I30-SUMIFS('Consumable Usage'!$F:$F,'Consumable Usage'!$A:$A,$A30,'Consumable Usage'!$D:$D,1)))</f>
        <v/>
      </c>
      <c r="L30" s="12" t="str">
        <f t="shared" si="1"/>
        <v/>
      </c>
      <c r="M30" s="20"/>
      <c r="N30" s="12" t="str">
        <f t="shared" si="2"/>
        <v/>
      </c>
      <c r="O30" s="45" t="str">
        <f t="shared" si="3"/>
        <v/>
      </c>
      <c r="P30" s="15"/>
      <c r="Q30" s="15"/>
      <c r="R30" s="20"/>
      <c r="S30" s="12" t="str">
        <f>IF($A30="","",SUMIFS('Consumable Usage'!$E:$E,'Consumable Usage'!$A:$A,$A30,'Consumable Usage'!$D:$D,2))</f>
        <v/>
      </c>
      <c r="T30" s="12" t="str">
        <f>IF($A30="","",SUMIFS('Nursing Charges'!$I:$I,'Nursing Charges'!$A:$A,$A30,'Nursing Charges'!$C:$C,2))</f>
        <v/>
      </c>
      <c r="U30" s="12" t="str">
        <f>IF($A30="","",R30+(T30-SUMIFS('Nursing Charges'!$J:$J,'Nursing Charges'!$A:$A,$A30,'Nursing Charges'!$C:$C,2))+(S30-SUMIFS('Consumable Usage'!$F:$F,'Consumable Usage'!$A:$A,$A30,'Consumable Usage'!$D:$D,2)))</f>
        <v/>
      </c>
      <c r="V30" s="12" t="str">
        <f t="shared" si="4"/>
        <v/>
      </c>
      <c r="W30" s="20"/>
      <c r="X30" s="12" t="str">
        <f t="shared" si="5"/>
        <v/>
      </c>
      <c r="Y30" s="45" t="str">
        <f t="shared" si="6"/>
        <v/>
      </c>
      <c r="Z30" s="15"/>
      <c r="AA30" s="15"/>
      <c r="AB30" s="20"/>
      <c r="AC30" s="12" t="str">
        <f>IF($A30="","",SUMIFS('Consumable Usage'!$E:$E,'Consumable Usage'!$A:$A,$A30,'Consumable Usage'!$D:$D,3))</f>
        <v/>
      </c>
      <c r="AD30" s="12" t="str">
        <f>IF($A30="","",SUMIFS('Nursing Charges'!$I:$I,'Nursing Charges'!$A:$A,$A30,'Nursing Charges'!$C:$C,3))</f>
        <v/>
      </c>
      <c r="AE30" s="12" t="str">
        <f>IF($A30="","",AB30+(AD30-SUMIFS('Nursing Charges'!$J:$J,'Nursing Charges'!$A:$A,$A30,'Nursing Charges'!$C:$C,3))+(AC30-SUMIFS('Consumable Usage'!$F:$F,'Consumable Usage'!$A:$A,$A30,'Consumable Usage'!$D:$D,3)))</f>
        <v/>
      </c>
      <c r="AF30" s="12" t="str">
        <f t="shared" si="7"/>
        <v/>
      </c>
      <c r="AG30" s="20"/>
      <c r="AH30" s="12" t="str">
        <f t="shared" si="8"/>
        <v/>
      </c>
      <c r="AI30" s="45" t="str">
        <f t="shared" si="9"/>
        <v/>
      </c>
      <c r="AJ30" s="15"/>
      <c r="AK30" s="15"/>
      <c r="AL30" s="20"/>
      <c r="AM30" s="12" t="str">
        <f>IF($A30="","",SUMIFS('Consumable Usage'!$E:$E,'Consumable Usage'!$A:$A,$A30,'Consumable Usage'!$D:$D,4))</f>
        <v/>
      </c>
      <c r="AN30" s="12" t="str">
        <f>IF($A30="","",SUMIFS('Nursing Charges'!$I:$I,'Nursing Charges'!$A:$A,$A30,'Nursing Charges'!$C:$C,4))</f>
        <v/>
      </c>
      <c r="AO30" s="12" t="str">
        <f>IF($A30="","",AL30+(AN30-SUMIFS('Nursing Charges'!$J:$J,'Nursing Charges'!$A:$A,$A30,'Nursing Charges'!$C:$C,4))+(AM30-SUMIFS('Consumable Usage'!$F:$F,'Consumable Usage'!$A:$A,$A30,'Consumable Usage'!$D:$D,4)))</f>
        <v/>
      </c>
      <c r="AP30" s="12" t="str">
        <f t="shared" si="10"/>
        <v/>
      </c>
      <c r="AQ30" s="20"/>
      <c r="AR30" s="12" t="str">
        <f t="shared" si="11"/>
        <v/>
      </c>
      <c r="AS30" s="45" t="str">
        <f t="shared" si="12"/>
        <v/>
      </c>
      <c r="AT30" s="15"/>
      <c r="AU30" s="15"/>
      <c r="AV30" s="20"/>
      <c r="AW30" s="12" t="str">
        <f>IF($A30="","",SUMIFS('Consumable Usage'!$E:$E,'Consumable Usage'!$A:$A,$A30,'Consumable Usage'!$D:$D,5))</f>
        <v/>
      </c>
      <c r="AX30" s="12" t="str">
        <f>IF($A30="","",SUMIFS('Nursing Charges'!$I:$I,'Nursing Charges'!$A:$A,$A30,'Nursing Charges'!$C:$C,5))</f>
        <v/>
      </c>
      <c r="AY30" s="12" t="str">
        <f>IF($A30="","",AV30+(AX30-SUMIFS('Nursing Charges'!$J:$J,'Nursing Charges'!$A:$A,$A30,'Nursing Charges'!$C:$C,5))+(AW30-SUMIFS('Consumable Usage'!$F:$F,'Consumable Usage'!$A:$A,$A30,'Consumable Usage'!$D:$D,5)))</f>
        <v/>
      </c>
      <c r="AZ30" s="12" t="str">
        <f t="shared" si="13"/>
        <v/>
      </c>
      <c r="BA30" s="20"/>
      <c r="BB30" s="12" t="str">
        <f t="shared" si="14"/>
        <v/>
      </c>
      <c r="BC30" s="45" t="str">
        <f t="shared" si="15"/>
        <v/>
      </c>
      <c r="BD30" s="15"/>
      <c r="BE30" s="15"/>
      <c r="BF30" s="20"/>
      <c r="BG30" s="12" t="str">
        <f>IF($A30="","",SUMIFS('Consumable Usage'!$E:$E,'Consumable Usage'!$A:$A,$A30,'Consumable Usage'!$D:$D,6))</f>
        <v/>
      </c>
      <c r="BH30" s="12" t="str">
        <f>IF($A30="","",SUMIFS('Nursing Charges'!$I:$I,'Nursing Charges'!$A:$A,$A30,'Nursing Charges'!$C:$C,6))</f>
        <v/>
      </c>
      <c r="BI30" s="12" t="str">
        <f>IF($A30="","",BF30+(BH30-SUMIFS('Nursing Charges'!$J:$J,'Nursing Charges'!$A:$A,$A30,'Nursing Charges'!$C:$C,6))+(BG30-SUMIFS('Consumable Usage'!$F:$F,'Consumable Usage'!$A:$A,$A30,'Consumable Usage'!$D:$D,6)))</f>
        <v/>
      </c>
      <c r="BJ30" s="12" t="str">
        <f t="shared" si="16"/>
        <v/>
      </c>
      <c r="BK30" s="20"/>
      <c r="BL30" s="12" t="str">
        <f t="shared" si="17"/>
        <v/>
      </c>
      <c r="BM30" s="45" t="str">
        <f t="shared" si="18"/>
        <v/>
      </c>
      <c r="BN30" s="15"/>
      <c r="BO30" s="15"/>
      <c r="BP30" s="20"/>
      <c r="BQ30" s="12" t="str">
        <f>IF($A30="","",SUMIFS('Consumable Usage'!$E:$E,'Consumable Usage'!$A:$A,$A30,'Consumable Usage'!$D:$D,7))</f>
        <v/>
      </c>
      <c r="BR30" s="12" t="str">
        <f>IF($A30="","",SUMIFS('Nursing Charges'!$I:$I,'Nursing Charges'!$A:$A,$A30,'Nursing Charges'!$C:$C,7))</f>
        <v/>
      </c>
      <c r="BS30" s="12" t="str">
        <f>IF($A30="","",BP30+(BR30-SUMIFS('Nursing Charges'!$J:$J,'Nursing Charges'!$A:$A,$A30,'Nursing Charges'!$C:$C,7))+(BQ30-SUMIFS('Consumable Usage'!$F:$F,'Consumable Usage'!$A:$A,$A30,'Consumable Usage'!$D:$D,7)))</f>
        <v/>
      </c>
      <c r="BT30" s="12" t="str">
        <f t="shared" si="19"/>
        <v/>
      </c>
      <c r="BU30" s="20"/>
      <c r="BV30" s="12" t="str">
        <f t="shared" si="20"/>
        <v/>
      </c>
      <c r="BW30" s="45" t="str">
        <f t="shared" si="21"/>
        <v/>
      </c>
      <c r="BX30" s="15"/>
      <c r="BY30" s="15"/>
      <c r="BZ30" s="20"/>
      <c r="CA30" s="12" t="str">
        <f>IF($A30="","",SUMIFS('Consumable Usage'!$E:$E,'Consumable Usage'!$A:$A,$A30,'Consumable Usage'!$D:$D,8))</f>
        <v/>
      </c>
      <c r="CB30" s="12" t="str">
        <f>IF($A30="","",SUMIFS('Nursing Charges'!$I:$I,'Nursing Charges'!$A:$A,$A30,'Nursing Charges'!$C:$C,8))</f>
        <v/>
      </c>
      <c r="CC30" s="12" t="str">
        <f>IF($A30="","",BZ30+(CB30-SUMIFS('Nursing Charges'!$J:$J,'Nursing Charges'!$A:$A,$A30,'Nursing Charges'!$C:$C,8))+(CA30-SUMIFS('Consumable Usage'!$F:$F,'Consumable Usage'!$A:$A,$A30,'Consumable Usage'!$D:$D,8)))</f>
        <v/>
      </c>
      <c r="CD30" s="12" t="str">
        <f t="shared" si="22"/>
        <v/>
      </c>
      <c r="CE30" s="20"/>
      <c r="CF30" s="12" t="str">
        <f t="shared" si="23"/>
        <v/>
      </c>
      <c r="CG30" s="45" t="str">
        <f t="shared" si="24"/>
        <v/>
      </c>
      <c r="CH30" s="15"/>
      <c r="CI30" s="15"/>
      <c r="CJ30" s="20"/>
      <c r="CK30" s="12" t="str">
        <f>IF($A30="","",SUMIFS('Consumable Usage'!$E:$E,'Consumable Usage'!$A:$A,$A30,'Consumable Usage'!$D:$D,9))</f>
        <v/>
      </c>
      <c r="CL30" s="12" t="str">
        <f>IF($A30="","",SUMIFS('Nursing Charges'!$I:$I,'Nursing Charges'!$A:$A,$A30,'Nursing Charges'!$C:$C,9))</f>
        <v/>
      </c>
      <c r="CM30" s="12" t="str">
        <f>IF($A30="","",CJ30+(CL30-SUMIFS('Nursing Charges'!$J:$J,'Nursing Charges'!$A:$A,$A30,'Nursing Charges'!$C:$C,9))+(CK30-SUMIFS('Consumable Usage'!$F:$F,'Consumable Usage'!$A:$A,$A30,'Consumable Usage'!$D:$D,9)))</f>
        <v/>
      </c>
      <c r="CN30" s="12" t="str">
        <f t="shared" si="25"/>
        <v/>
      </c>
      <c r="CO30" s="20"/>
      <c r="CP30" s="12" t="str">
        <f t="shared" si="26"/>
        <v/>
      </c>
      <c r="CQ30" s="45" t="str">
        <f t="shared" si="27"/>
        <v/>
      </c>
      <c r="CR30" s="15"/>
      <c r="CS30" s="15"/>
      <c r="CT30" s="20"/>
      <c r="CU30" s="12" t="str">
        <f>IF($A30="","",SUMIFS('Consumable Usage'!$E:$E,'Consumable Usage'!$A:$A,$A30,'Consumable Usage'!$D:$D,10))</f>
        <v/>
      </c>
      <c r="CV30" s="12" t="str">
        <f>IF($A30="","",SUMIFS('Nursing Charges'!$I:$I,'Nursing Charges'!$A:$A,$A30,'Nursing Charges'!$C:$C,10))</f>
        <v/>
      </c>
      <c r="CW30" s="12" t="str">
        <f>IF($A30="","",CT30+(CV30-SUMIFS('Nursing Charges'!$J:$J,'Nursing Charges'!$A:$A,$A30,'Nursing Charges'!$C:$C,10))+(CU30-SUMIFS('Consumable Usage'!$F:$F,'Consumable Usage'!$A:$A,$A30,'Consumable Usage'!$D:$D,10)))</f>
        <v/>
      </c>
      <c r="CX30" s="12" t="str">
        <f t="shared" si="28"/>
        <v/>
      </c>
      <c r="CY30" s="20"/>
      <c r="CZ30" s="12" t="str">
        <f t="shared" si="29"/>
        <v/>
      </c>
      <c r="DA30" s="45" t="str">
        <f t="shared" si="30"/>
        <v/>
      </c>
      <c r="DB30" s="15"/>
      <c r="DC30" s="15"/>
      <c r="DD30" s="20"/>
      <c r="DE30" s="12" t="str">
        <f>IF($A30="","",SUMIFS('Consumable Usage'!$E:$E,'Consumable Usage'!$A:$A,$A30,'Consumable Usage'!$D:$D,11))</f>
        <v/>
      </c>
      <c r="DF30" s="12" t="str">
        <f>IF($A30="","",SUMIFS('Nursing Charges'!$I:$I,'Nursing Charges'!$A:$A,$A30,'Nursing Charges'!$C:$C,11))</f>
        <v/>
      </c>
      <c r="DG30" s="12" t="str">
        <f>IF($A30="","",DD30+(DF30-SUMIFS('Nursing Charges'!$J:$J,'Nursing Charges'!$A:$A,$A30,'Nursing Charges'!$C:$C,11))+(DE30-SUMIFS('Consumable Usage'!$F:$F,'Consumable Usage'!$A:$A,$A30,'Consumable Usage'!$D:$D,11)))</f>
        <v/>
      </c>
      <c r="DH30" s="12" t="str">
        <f t="shared" si="31"/>
        <v/>
      </c>
      <c r="DI30" s="20"/>
      <c r="DJ30" s="12" t="str">
        <f t="shared" si="32"/>
        <v/>
      </c>
      <c r="DK30" s="45" t="str">
        <f t="shared" si="33"/>
        <v/>
      </c>
      <c r="DL30" s="15"/>
      <c r="DM30" s="15"/>
      <c r="DN30" s="20"/>
      <c r="DO30" s="12" t="str">
        <f>IF($A30="","",SUMIFS('Consumable Usage'!$E:$E,'Consumable Usage'!$A:$A,$A30,'Consumable Usage'!$D:$D,12))</f>
        <v/>
      </c>
      <c r="DP30" s="12" t="str">
        <f>IF($A30="","",SUMIFS('Nursing Charges'!$I:$I,'Nursing Charges'!$A:$A,$A30,'Nursing Charges'!$C:$C,12))</f>
        <v/>
      </c>
      <c r="DQ30" s="12" t="str">
        <f>IF($A30="","",DN30+(DP30-SUMIFS('Nursing Charges'!$J:$J,'Nursing Charges'!$A:$A,$A30,'Nursing Charges'!$C:$C,12))+(DO30-SUMIFS('Consumable Usage'!$F:$F,'Consumable Usage'!$A:$A,$A30,'Consumable Usage'!$D:$D,12)))</f>
        <v/>
      </c>
      <c r="DR30" s="12" t="str">
        <f t="shared" si="34"/>
        <v/>
      </c>
      <c r="DS30" s="20"/>
      <c r="DT30" s="12" t="str">
        <f t="shared" si="35"/>
        <v/>
      </c>
      <c r="DU30" s="45" t="str">
        <f t="shared" si="36"/>
        <v/>
      </c>
      <c r="DV30" s="15"/>
      <c r="DW30" s="15"/>
      <c r="DX30" s="20"/>
      <c r="DY30" s="12" t="str">
        <f>IF($A30="","",SUMIFS('Consumable Usage'!$E:$E,'Consumable Usage'!$A:$A,$A30,'Consumable Usage'!$D:$D,13))</f>
        <v/>
      </c>
      <c r="DZ30" s="12" t="str">
        <f>IF($A30="","",SUMIFS('Nursing Charges'!$I:$I,'Nursing Charges'!$A:$A,$A30,'Nursing Charges'!$C:$C,13))</f>
        <v/>
      </c>
      <c r="EA30" s="12" t="str">
        <f>IF($A30="","",DX30+(DZ30-SUMIFS('Nursing Charges'!$J:$J,'Nursing Charges'!$A:$A,$A30,'Nursing Charges'!$C:$C,13))+(DY30-SUMIFS('Consumable Usage'!$F:$F,'Consumable Usage'!$A:$A,$A30,'Consumable Usage'!$D:$D,13)))</f>
        <v/>
      </c>
      <c r="EB30" s="12" t="str">
        <f t="shared" si="37"/>
        <v/>
      </c>
      <c r="EC30" s="20"/>
      <c r="ED30" s="12" t="str">
        <f t="shared" si="38"/>
        <v/>
      </c>
      <c r="EE30" s="45" t="str">
        <f t="shared" si="39"/>
        <v/>
      </c>
      <c r="EF30" s="15"/>
      <c r="EG30" s="15"/>
      <c r="EH30" s="20"/>
      <c r="EI30" s="12" t="str">
        <f>IF($A30="","",SUMIFS('Consumable Usage'!$E:$E,'Consumable Usage'!$A:$A,$A30,'Consumable Usage'!$D:$D,14))</f>
        <v/>
      </c>
      <c r="EJ30" s="12" t="str">
        <f>IF($A30="","",SUMIFS('Nursing Charges'!$I:$I,'Nursing Charges'!$A:$A,$A30,'Nursing Charges'!$C:$C,14))</f>
        <v/>
      </c>
      <c r="EK30" s="12" t="str">
        <f>IF($A30="","",EH30+(EJ30-SUMIFS('Nursing Charges'!$J:$J,'Nursing Charges'!$A:$A,$A30,'Nursing Charges'!$C:$C,14))+(EI30-SUMIFS('Consumable Usage'!$F:$F,'Consumable Usage'!$A:$A,$A30,'Consumable Usage'!$D:$D,14)))</f>
        <v/>
      </c>
      <c r="EL30" s="12" t="str">
        <f t="shared" si="40"/>
        <v/>
      </c>
      <c r="EM30" s="20"/>
      <c r="EN30" s="12" t="str">
        <f t="shared" si="41"/>
        <v/>
      </c>
      <c r="EO30" s="45" t="str">
        <f t="shared" si="42"/>
        <v/>
      </c>
      <c r="EP30" s="15"/>
      <c r="EQ30" s="15"/>
      <c r="ER30" s="20"/>
      <c r="ES30" s="12" t="str">
        <f>IF($A30="","",SUMIFS('Consumable Usage'!$E:$E,'Consumable Usage'!$A:$A,$A30,'Consumable Usage'!$D:$D,15))</f>
        <v/>
      </c>
      <c r="ET30" s="12" t="str">
        <f>IF($A30="","",SUMIFS('Nursing Charges'!$I:$I,'Nursing Charges'!$A:$A,$A30,'Nursing Charges'!$C:$C,15))</f>
        <v/>
      </c>
      <c r="EU30" s="12" t="str">
        <f>IF($A30="","",ER30+(ET30-SUMIFS('Nursing Charges'!$J:$J,'Nursing Charges'!$A:$A,$A30,'Nursing Charges'!$C:$C,15))+(ES30-SUMIFS('Consumable Usage'!$F:$F,'Consumable Usage'!$A:$A,$A30,'Consumable Usage'!$D:$D,15)))</f>
        <v/>
      </c>
      <c r="EV30" s="12" t="str">
        <f t="shared" si="43"/>
        <v/>
      </c>
      <c r="EW30" s="20"/>
      <c r="EX30" s="12" t="str">
        <f t="shared" si="44"/>
        <v/>
      </c>
      <c r="EY30" s="45" t="str">
        <f t="shared" si="45"/>
        <v/>
      </c>
      <c r="EZ30" s="15"/>
      <c r="FA30" s="15"/>
      <c r="FB30" s="20"/>
      <c r="FC30" s="12" t="str">
        <f>IF($A30="","",SUMIFS('Consumable Usage'!$E:$E,'Consumable Usage'!$A:$A,$A30,'Consumable Usage'!$D:$D,16))</f>
        <v/>
      </c>
      <c r="FD30" s="12" t="str">
        <f>IF($A30="","",SUMIFS('Nursing Charges'!$I:$I,'Nursing Charges'!$A:$A,$A30,'Nursing Charges'!$C:$C,16))</f>
        <v/>
      </c>
      <c r="FE30" s="12" t="str">
        <f>IF($A30="","",FB30+(FD30-SUMIFS('Nursing Charges'!$J:$J,'Nursing Charges'!$A:$A,$A30,'Nursing Charges'!$C:$C,16))+(FC30-SUMIFS('Consumable Usage'!$F:$F,'Consumable Usage'!$A:$A,$A30,'Consumable Usage'!$D:$D,16)))</f>
        <v/>
      </c>
      <c r="FF30" s="12" t="str">
        <f t="shared" si="46"/>
        <v/>
      </c>
      <c r="FG30" s="20"/>
      <c r="FH30" s="12" t="str">
        <f t="shared" si="47"/>
        <v/>
      </c>
      <c r="FI30" s="45" t="str">
        <f t="shared" si="48"/>
        <v/>
      </c>
      <c r="FJ30" s="53"/>
      <c r="FK30" s="53"/>
      <c r="FL30" s="63"/>
      <c r="FM30" s="63" t="str">
        <f>IF($A30="","",SUMIFS('Consumable Usage'!$E:$E,'Consumable Usage'!$A:$A,$A30,'Consumable Usage'!$D:$D,16))</f>
        <v/>
      </c>
      <c r="FN30" s="63" t="str">
        <f>IF($A30="","",SUMIFS('Nursing Charges'!$I:$I,'Nursing Charges'!$A:$A,$A30,'Nursing Charges'!$C:$C,16))</f>
        <v/>
      </c>
      <c r="FO30" s="63" t="str">
        <f>IF($A30="","",FL30+(FN30-SUMIFS('Nursing Charges'!$J:$J,'Nursing Charges'!$A:$A,$A30,'Nursing Charges'!$C:$C,16))+(FM30-SUMIFS('Consumable Usage'!$F:$F,'Consumable Usage'!$A:$A,$A30,'Consumable Usage'!$D:$D,16)))</f>
        <v/>
      </c>
      <c r="FP30" s="63" t="str">
        <f t="shared" si="49"/>
        <v/>
      </c>
      <c r="FQ30" s="63"/>
      <c r="FR30" s="63" t="str">
        <f t="shared" si="50"/>
        <v/>
      </c>
      <c r="FS30" s="53" t="str">
        <f t="shared" si="51"/>
        <v/>
      </c>
    </row>
    <row r="31" ht="15.0" customHeight="1">
      <c r="A31" s="15"/>
      <c r="B31" s="15"/>
      <c r="C31" s="15"/>
      <c r="D31" s="15"/>
      <c r="E31" s="15"/>
      <c r="F31" s="15"/>
      <c r="G31" s="15"/>
      <c r="H31" s="20"/>
      <c r="I31" s="12" t="str">
        <f>IF($A31="","",SUMIFS('Consumable Usage'!$E:$E,'Consumable Usage'!$A:$A,$A31,'Consumable Usage'!$D:$D,1))</f>
        <v/>
      </c>
      <c r="J31" s="12" t="str">
        <f>IF($A31="","",SUMIFS('Nursing Charges'!$I:$I,'Nursing Charges'!$A:$A,$A31,'Nursing Charges'!$C:$C,1))</f>
        <v/>
      </c>
      <c r="K31" s="12" t="str">
        <f>IF($A31="","",H31+(J31-SUMIFS('Nursing Charges'!$J:$J,'Nursing Charges'!$A:$A,$A31,'Nursing Charges'!$C:$C,1))+(I31-SUMIFS('Consumable Usage'!$F:$F,'Consumable Usage'!$A:$A,$A31,'Consumable Usage'!$D:$D,1)))</f>
        <v/>
      </c>
      <c r="L31" s="12" t="str">
        <f t="shared" si="1"/>
        <v/>
      </c>
      <c r="M31" s="20"/>
      <c r="N31" s="12" t="str">
        <f t="shared" si="2"/>
        <v/>
      </c>
      <c r="O31" s="45" t="str">
        <f t="shared" si="3"/>
        <v/>
      </c>
      <c r="P31" s="15"/>
      <c r="Q31" s="15"/>
      <c r="R31" s="20"/>
      <c r="S31" s="12" t="str">
        <f>IF($A31="","",SUMIFS('Consumable Usage'!$E:$E,'Consumable Usage'!$A:$A,$A31,'Consumable Usage'!$D:$D,2))</f>
        <v/>
      </c>
      <c r="T31" s="12" t="str">
        <f>IF($A31="","",SUMIFS('Nursing Charges'!$I:$I,'Nursing Charges'!$A:$A,$A31,'Nursing Charges'!$C:$C,2))</f>
        <v/>
      </c>
      <c r="U31" s="12" t="str">
        <f>IF($A31="","",R31+(T31-SUMIFS('Nursing Charges'!$J:$J,'Nursing Charges'!$A:$A,$A31,'Nursing Charges'!$C:$C,2))+(S31-SUMIFS('Consumable Usage'!$F:$F,'Consumable Usage'!$A:$A,$A31,'Consumable Usage'!$D:$D,2)))</f>
        <v/>
      </c>
      <c r="V31" s="12" t="str">
        <f t="shared" si="4"/>
        <v/>
      </c>
      <c r="W31" s="20"/>
      <c r="X31" s="12" t="str">
        <f t="shared" si="5"/>
        <v/>
      </c>
      <c r="Y31" s="45" t="str">
        <f t="shared" si="6"/>
        <v/>
      </c>
      <c r="Z31" s="15"/>
      <c r="AA31" s="15"/>
      <c r="AB31" s="20"/>
      <c r="AC31" s="12" t="str">
        <f>IF($A31="","",SUMIFS('Consumable Usage'!$E:$E,'Consumable Usage'!$A:$A,$A31,'Consumable Usage'!$D:$D,3))</f>
        <v/>
      </c>
      <c r="AD31" s="12" t="str">
        <f>IF($A31="","",SUMIFS('Nursing Charges'!$I:$I,'Nursing Charges'!$A:$A,$A31,'Nursing Charges'!$C:$C,3))</f>
        <v/>
      </c>
      <c r="AE31" s="12" t="str">
        <f>IF($A31="","",AB31+(AD31-SUMIFS('Nursing Charges'!$J:$J,'Nursing Charges'!$A:$A,$A31,'Nursing Charges'!$C:$C,3))+(AC31-SUMIFS('Consumable Usage'!$F:$F,'Consumable Usage'!$A:$A,$A31,'Consumable Usage'!$D:$D,3)))</f>
        <v/>
      </c>
      <c r="AF31" s="12" t="str">
        <f t="shared" si="7"/>
        <v/>
      </c>
      <c r="AG31" s="20"/>
      <c r="AH31" s="12" t="str">
        <f t="shared" si="8"/>
        <v/>
      </c>
      <c r="AI31" s="45" t="str">
        <f t="shared" si="9"/>
        <v/>
      </c>
      <c r="AJ31" s="15"/>
      <c r="AK31" s="15"/>
      <c r="AL31" s="20"/>
      <c r="AM31" s="12" t="str">
        <f>IF($A31="","",SUMIFS('Consumable Usage'!$E:$E,'Consumable Usage'!$A:$A,$A31,'Consumable Usage'!$D:$D,4))</f>
        <v/>
      </c>
      <c r="AN31" s="12" t="str">
        <f>IF($A31="","",SUMIFS('Nursing Charges'!$I:$I,'Nursing Charges'!$A:$A,$A31,'Nursing Charges'!$C:$C,4))</f>
        <v/>
      </c>
      <c r="AO31" s="12" t="str">
        <f>IF($A31="","",AL31+(AN31-SUMIFS('Nursing Charges'!$J:$J,'Nursing Charges'!$A:$A,$A31,'Nursing Charges'!$C:$C,4))+(AM31-SUMIFS('Consumable Usage'!$F:$F,'Consumable Usage'!$A:$A,$A31,'Consumable Usage'!$D:$D,4)))</f>
        <v/>
      </c>
      <c r="AP31" s="12" t="str">
        <f t="shared" si="10"/>
        <v/>
      </c>
      <c r="AQ31" s="20"/>
      <c r="AR31" s="12" t="str">
        <f t="shared" si="11"/>
        <v/>
      </c>
      <c r="AS31" s="45" t="str">
        <f t="shared" si="12"/>
        <v/>
      </c>
      <c r="AT31" s="15"/>
      <c r="AU31" s="15"/>
      <c r="AV31" s="20"/>
      <c r="AW31" s="12" t="str">
        <f>IF($A31="","",SUMIFS('Consumable Usage'!$E:$E,'Consumable Usage'!$A:$A,$A31,'Consumable Usage'!$D:$D,5))</f>
        <v/>
      </c>
      <c r="AX31" s="12" t="str">
        <f>IF($A31="","",SUMIFS('Nursing Charges'!$I:$I,'Nursing Charges'!$A:$A,$A31,'Nursing Charges'!$C:$C,5))</f>
        <v/>
      </c>
      <c r="AY31" s="12" t="str">
        <f>IF($A31="","",AV31+(AX31-SUMIFS('Nursing Charges'!$J:$J,'Nursing Charges'!$A:$A,$A31,'Nursing Charges'!$C:$C,5))+(AW31-SUMIFS('Consumable Usage'!$F:$F,'Consumable Usage'!$A:$A,$A31,'Consumable Usage'!$D:$D,5)))</f>
        <v/>
      </c>
      <c r="AZ31" s="12" t="str">
        <f t="shared" si="13"/>
        <v/>
      </c>
      <c r="BA31" s="20"/>
      <c r="BB31" s="12" t="str">
        <f t="shared" si="14"/>
        <v/>
      </c>
      <c r="BC31" s="45" t="str">
        <f t="shared" si="15"/>
        <v/>
      </c>
      <c r="BD31" s="15"/>
      <c r="BE31" s="15"/>
      <c r="BF31" s="20"/>
      <c r="BG31" s="12" t="str">
        <f>IF($A31="","",SUMIFS('Consumable Usage'!$E:$E,'Consumable Usage'!$A:$A,$A31,'Consumable Usage'!$D:$D,6))</f>
        <v/>
      </c>
      <c r="BH31" s="12" t="str">
        <f>IF($A31="","",SUMIFS('Nursing Charges'!$I:$I,'Nursing Charges'!$A:$A,$A31,'Nursing Charges'!$C:$C,6))</f>
        <v/>
      </c>
      <c r="BI31" s="12" t="str">
        <f>IF($A31="","",BF31+(BH31-SUMIFS('Nursing Charges'!$J:$J,'Nursing Charges'!$A:$A,$A31,'Nursing Charges'!$C:$C,6))+(BG31-SUMIFS('Consumable Usage'!$F:$F,'Consumable Usage'!$A:$A,$A31,'Consumable Usage'!$D:$D,6)))</f>
        <v/>
      </c>
      <c r="BJ31" s="12" t="str">
        <f t="shared" si="16"/>
        <v/>
      </c>
      <c r="BK31" s="20"/>
      <c r="BL31" s="12" t="str">
        <f t="shared" si="17"/>
        <v/>
      </c>
      <c r="BM31" s="45" t="str">
        <f t="shared" si="18"/>
        <v/>
      </c>
      <c r="BN31" s="15"/>
      <c r="BO31" s="15"/>
      <c r="BP31" s="20"/>
      <c r="BQ31" s="12" t="str">
        <f>IF($A31="","",SUMIFS('Consumable Usage'!$E:$E,'Consumable Usage'!$A:$A,$A31,'Consumable Usage'!$D:$D,7))</f>
        <v/>
      </c>
      <c r="BR31" s="12" t="str">
        <f>IF($A31="","",SUMIFS('Nursing Charges'!$I:$I,'Nursing Charges'!$A:$A,$A31,'Nursing Charges'!$C:$C,7))</f>
        <v/>
      </c>
      <c r="BS31" s="12" t="str">
        <f>IF($A31="","",BP31+(BR31-SUMIFS('Nursing Charges'!$J:$J,'Nursing Charges'!$A:$A,$A31,'Nursing Charges'!$C:$C,7))+(BQ31-SUMIFS('Consumable Usage'!$F:$F,'Consumable Usage'!$A:$A,$A31,'Consumable Usage'!$D:$D,7)))</f>
        <v/>
      </c>
      <c r="BT31" s="12" t="str">
        <f t="shared" si="19"/>
        <v/>
      </c>
      <c r="BU31" s="20"/>
      <c r="BV31" s="12" t="str">
        <f t="shared" si="20"/>
        <v/>
      </c>
      <c r="BW31" s="45" t="str">
        <f t="shared" si="21"/>
        <v/>
      </c>
      <c r="BX31" s="15"/>
      <c r="BY31" s="15"/>
      <c r="BZ31" s="20"/>
      <c r="CA31" s="12" t="str">
        <f>IF($A31="","",SUMIFS('Consumable Usage'!$E:$E,'Consumable Usage'!$A:$A,$A31,'Consumable Usage'!$D:$D,8))</f>
        <v/>
      </c>
      <c r="CB31" s="12" t="str">
        <f>IF($A31="","",SUMIFS('Nursing Charges'!$I:$I,'Nursing Charges'!$A:$A,$A31,'Nursing Charges'!$C:$C,8))</f>
        <v/>
      </c>
      <c r="CC31" s="12" t="str">
        <f>IF($A31="","",BZ31+(CB31-SUMIFS('Nursing Charges'!$J:$J,'Nursing Charges'!$A:$A,$A31,'Nursing Charges'!$C:$C,8))+(CA31-SUMIFS('Consumable Usage'!$F:$F,'Consumable Usage'!$A:$A,$A31,'Consumable Usage'!$D:$D,8)))</f>
        <v/>
      </c>
      <c r="CD31" s="12" t="str">
        <f t="shared" si="22"/>
        <v/>
      </c>
      <c r="CE31" s="20"/>
      <c r="CF31" s="12" t="str">
        <f t="shared" si="23"/>
        <v/>
      </c>
      <c r="CG31" s="45" t="str">
        <f t="shared" si="24"/>
        <v/>
      </c>
      <c r="CH31" s="15"/>
      <c r="CI31" s="15"/>
      <c r="CJ31" s="20"/>
      <c r="CK31" s="12" t="str">
        <f>IF($A31="","",SUMIFS('Consumable Usage'!$E:$E,'Consumable Usage'!$A:$A,$A31,'Consumable Usage'!$D:$D,9))</f>
        <v/>
      </c>
      <c r="CL31" s="12" t="str">
        <f>IF($A31="","",SUMIFS('Nursing Charges'!$I:$I,'Nursing Charges'!$A:$A,$A31,'Nursing Charges'!$C:$C,9))</f>
        <v/>
      </c>
      <c r="CM31" s="12" t="str">
        <f>IF($A31="","",CJ31+(CL31-SUMIFS('Nursing Charges'!$J:$J,'Nursing Charges'!$A:$A,$A31,'Nursing Charges'!$C:$C,9))+(CK31-SUMIFS('Consumable Usage'!$F:$F,'Consumable Usage'!$A:$A,$A31,'Consumable Usage'!$D:$D,9)))</f>
        <v/>
      </c>
      <c r="CN31" s="12" t="str">
        <f t="shared" si="25"/>
        <v/>
      </c>
      <c r="CO31" s="20"/>
      <c r="CP31" s="12" t="str">
        <f t="shared" si="26"/>
        <v/>
      </c>
      <c r="CQ31" s="45" t="str">
        <f t="shared" si="27"/>
        <v/>
      </c>
      <c r="CR31" s="15"/>
      <c r="CS31" s="15"/>
      <c r="CT31" s="20"/>
      <c r="CU31" s="12" t="str">
        <f>IF($A31="","",SUMIFS('Consumable Usage'!$E:$E,'Consumable Usage'!$A:$A,$A31,'Consumable Usage'!$D:$D,10))</f>
        <v/>
      </c>
      <c r="CV31" s="12" t="str">
        <f>IF($A31="","",SUMIFS('Nursing Charges'!$I:$I,'Nursing Charges'!$A:$A,$A31,'Nursing Charges'!$C:$C,10))</f>
        <v/>
      </c>
      <c r="CW31" s="12" t="str">
        <f>IF($A31="","",CT31+(CV31-SUMIFS('Nursing Charges'!$J:$J,'Nursing Charges'!$A:$A,$A31,'Nursing Charges'!$C:$C,10))+(CU31-SUMIFS('Consumable Usage'!$F:$F,'Consumable Usage'!$A:$A,$A31,'Consumable Usage'!$D:$D,10)))</f>
        <v/>
      </c>
      <c r="CX31" s="12" t="str">
        <f t="shared" si="28"/>
        <v/>
      </c>
      <c r="CY31" s="20"/>
      <c r="CZ31" s="12" t="str">
        <f t="shared" si="29"/>
        <v/>
      </c>
      <c r="DA31" s="45" t="str">
        <f t="shared" si="30"/>
        <v/>
      </c>
      <c r="DB31" s="15"/>
      <c r="DC31" s="15"/>
      <c r="DD31" s="20"/>
      <c r="DE31" s="12" t="str">
        <f>IF($A31="","",SUMIFS('Consumable Usage'!$E:$E,'Consumable Usage'!$A:$A,$A31,'Consumable Usage'!$D:$D,11))</f>
        <v/>
      </c>
      <c r="DF31" s="12" t="str">
        <f>IF($A31="","",SUMIFS('Nursing Charges'!$I:$I,'Nursing Charges'!$A:$A,$A31,'Nursing Charges'!$C:$C,11))</f>
        <v/>
      </c>
      <c r="DG31" s="12" t="str">
        <f>IF($A31="","",DD31+(DF31-SUMIFS('Nursing Charges'!$J:$J,'Nursing Charges'!$A:$A,$A31,'Nursing Charges'!$C:$C,11))+(DE31-SUMIFS('Consumable Usage'!$F:$F,'Consumable Usage'!$A:$A,$A31,'Consumable Usage'!$D:$D,11)))</f>
        <v/>
      </c>
      <c r="DH31" s="12" t="str">
        <f t="shared" si="31"/>
        <v/>
      </c>
      <c r="DI31" s="20"/>
      <c r="DJ31" s="12" t="str">
        <f t="shared" si="32"/>
        <v/>
      </c>
      <c r="DK31" s="45" t="str">
        <f t="shared" si="33"/>
        <v/>
      </c>
      <c r="DL31" s="15"/>
      <c r="DM31" s="15"/>
      <c r="DN31" s="20"/>
      <c r="DO31" s="12" t="str">
        <f>IF($A31="","",SUMIFS('Consumable Usage'!$E:$E,'Consumable Usage'!$A:$A,$A31,'Consumable Usage'!$D:$D,12))</f>
        <v/>
      </c>
      <c r="DP31" s="12" t="str">
        <f>IF($A31="","",SUMIFS('Nursing Charges'!$I:$I,'Nursing Charges'!$A:$A,$A31,'Nursing Charges'!$C:$C,12))</f>
        <v/>
      </c>
      <c r="DQ31" s="12" t="str">
        <f>IF($A31="","",DN31+(DP31-SUMIFS('Nursing Charges'!$J:$J,'Nursing Charges'!$A:$A,$A31,'Nursing Charges'!$C:$C,12))+(DO31-SUMIFS('Consumable Usage'!$F:$F,'Consumable Usage'!$A:$A,$A31,'Consumable Usage'!$D:$D,12)))</f>
        <v/>
      </c>
      <c r="DR31" s="12" t="str">
        <f t="shared" si="34"/>
        <v/>
      </c>
      <c r="DS31" s="20"/>
      <c r="DT31" s="12" t="str">
        <f t="shared" si="35"/>
        <v/>
      </c>
      <c r="DU31" s="45" t="str">
        <f t="shared" si="36"/>
        <v/>
      </c>
      <c r="DV31" s="15"/>
      <c r="DW31" s="15"/>
      <c r="DX31" s="20"/>
      <c r="DY31" s="12" t="str">
        <f>IF($A31="","",SUMIFS('Consumable Usage'!$E:$E,'Consumable Usage'!$A:$A,$A31,'Consumable Usage'!$D:$D,13))</f>
        <v/>
      </c>
      <c r="DZ31" s="12" t="str">
        <f>IF($A31="","",SUMIFS('Nursing Charges'!$I:$I,'Nursing Charges'!$A:$A,$A31,'Nursing Charges'!$C:$C,13))</f>
        <v/>
      </c>
      <c r="EA31" s="12" t="str">
        <f>IF($A31="","",DX31+(DZ31-SUMIFS('Nursing Charges'!$J:$J,'Nursing Charges'!$A:$A,$A31,'Nursing Charges'!$C:$C,13))+(DY31-SUMIFS('Consumable Usage'!$F:$F,'Consumable Usage'!$A:$A,$A31,'Consumable Usage'!$D:$D,13)))</f>
        <v/>
      </c>
      <c r="EB31" s="12" t="str">
        <f t="shared" si="37"/>
        <v/>
      </c>
      <c r="EC31" s="20"/>
      <c r="ED31" s="12" t="str">
        <f t="shared" si="38"/>
        <v/>
      </c>
      <c r="EE31" s="45" t="str">
        <f t="shared" si="39"/>
        <v/>
      </c>
      <c r="EF31" s="15"/>
      <c r="EG31" s="15"/>
      <c r="EH31" s="20"/>
      <c r="EI31" s="12" t="str">
        <f>IF($A31="","",SUMIFS('Consumable Usage'!$E:$E,'Consumable Usage'!$A:$A,$A31,'Consumable Usage'!$D:$D,14))</f>
        <v/>
      </c>
      <c r="EJ31" s="12" t="str">
        <f>IF($A31="","",SUMIFS('Nursing Charges'!$I:$I,'Nursing Charges'!$A:$A,$A31,'Nursing Charges'!$C:$C,14))</f>
        <v/>
      </c>
      <c r="EK31" s="12" t="str">
        <f>IF($A31="","",EH31+(EJ31-SUMIFS('Nursing Charges'!$J:$J,'Nursing Charges'!$A:$A,$A31,'Nursing Charges'!$C:$C,14))+(EI31-SUMIFS('Consumable Usage'!$F:$F,'Consumable Usage'!$A:$A,$A31,'Consumable Usage'!$D:$D,14)))</f>
        <v/>
      </c>
      <c r="EL31" s="12" t="str">
        <f t="shared" si="40"/>
        <v/>
      </c>
      <c r="EM31" s="20"/>
      <c r="EN31" s="12" t="str">
        <f t="shared" si="41"/>
        <v/>
      </c>
      <c r="EO31" s="45" t="str">
        <f t="shared" si="42"/>
        <v/>
      </c>
      <c r="EP31" s="15"/>
      <c r="EQ31" s="15"/>
      <c r="ER31" s="20"/>
      <c r="ES31" s="12" t="str">
        <f>IF($A31="","",SUMIFS('Consumable Usage'!$E:$E,'Consumable Usage'!$A:$A,$A31,'Consumable Usage'!$D:$D,15))</f>
        <v/>
      </c>
      <c r="ET31" s="12" t="str">
        <f>IF($A31="","",SUMIFS('Nursing Charges'!$I:$I,'Nursing Charges'!$A:$A,$A31,'Nursing Charges'!$C:$C,15))</f>
        <v/>
      </c>
      <c r="EU31" s="12" t="str">
        <f>IF($A31="","",ER31+(ET31-SUMIFS('Nursing Charges'!$J:$J,'Nursing Charges'!$A:$A,$A31,'Nursing Charges'!$C:$C,15))+(ES31-SUMIFS('Consumable Usage'!$F:$F,'Consumable Usage'!$A:$A,$A31,'Consumable Usage'!$D:$D,15)))</f>
        <v/>
      </c>
      <c r="EV31" s="12" t="str">
        <f t="shared" si="43"/>
        <v/>
      </c>
      <c r="EW31" s="20"/>
      <c r="EX31" s="12" t="str">
        <f t="shared" si="44"/>
        <v/>
      </c>
      <c r="EY31" s="45" t="str">
        <f t="shared" si="45"/>
        <v/>
      </c>
      <c r="EZ31" s="15"/>
      <c r="FA31" s="15"/>
      <c r="FB31" s="20"/>
      <c r="FC31" s="12" t="str">
        <f>IF($A31="","",SUMIFS('Consumable Usage'!$E:$E,'Consumable Usage'!$A:$A,$A31,'Consumable Usage'!$D:$D,16))</f>
        <v/>
      </c>
      <c r="FD31" s="12" t="str">
        <f>IF($A31="","",SUMIFS('Nursing Charges'!$I:$I,'Nursing Charges'!$A:$A,$A31,'Nursing Charges'!$C:$C,16))</f>
        <v/>
      </c>
      <c r="FE31" s="12" t="str">
        <f>IF($A31="","",FB31+(FD31-SUMIFS('Nursing Charges'!$J:$J,'Nursing Charges'!$A:$A,$A31,'Nursing Charges'!$C:$C,16))+(FC31-SUMIFS('Consumable Usage'!$F:$F,'Consumable Usage'!$A:$A,$A31,'Consumable Usage'!$D:$D,16)))</f>
        <v/>
      </c>
      <c r="FF31" s="12" t="str">
        <f t="shared" si="46"/>
        <v/>
      </c>
      <c r="FG31" s="20"/>
      <c r="FH31" s="12" t="str">
        <f t="shared" si="47"/>
        <v/>
      </c>
      <c r="FI31" s="45" t="str">
        <f t="shared" si="48"/>
        <v/>
      </c>
      <c r="FJ31" s="53"/>
      <c r="FK31" s="53"/>
      <c r="FL31" s="63"/>
      <c r="FM31" s="63" t="str">
        <f>IF($A31="","",SUMIFS('Consumable Usage'!$E:$E,'Consumable Usage'!$A:$A,$A31,'Consumable Usage'!$D:$D,16))</f>
        <v/>
      </c>
      <c r="FN31" s="63" t="str">
        <f>IF($A31="","",SUMIFS('Nursing Charges'!$I:$I,'Nursing Charges'!$A:$A,$A31,'Nursing Charges'!$C:$C,16))</f>
        <v/>
      </c>
      <c r="FO31" s="63" t="str">
        <f>IF($A31="","",FL31+(FN31-SUMIFS('Nursing Charges'!$J:$J,'Nursing Charges'!$A:$A,$A31,'Nursing Charges'!$C:$C,16))+(FM31-SUMIFS('Consumable Usage'!$F:$F,'Consumable Usage'!$A:$A,$A31,'Consumable Usage'!$D:$D,16)))</f>
        <v/>
      </c>
      <c r="FP31" s="63" t="str">
        <f t="shared" si="49"/>
        <v/>
      </c>
      <c r="FQ31" s="63"/>
      <c r="FR31" s="63" t="str">
        <f t="shared" si="50"/>
        <v/>
      </c>
      <c r="FS31" s="53" t="str">
        <f t="shared" si="51"/>
        <v/>
      </c>
    </row>
    <row r="32" ht="15.0" customHeight="1">
      <c r="A32" s="15"/>
      <c r="B32" s="15"/>
      <c r="C32" s="15"/>
      <c r="D32" s="15"/>
      <c r="E32" s="15"/>
      <c r="F32" s="15"/>
      <c r="G32" s="15"/>
      <c r="H32" s="20"/>
      <c r="I32" s="12" t="str">
        <f>IF($A32="","",SUMIFS('Consumable Usage'!$E:$E,'Consumable Usage'!$A:$A,$A32,'Consumable Usage'!$D:$D,1))</f>
        <v/>
      </c>
      <c r="J32" s="12" t="str">
        <f>IF($A32="","",SUMIFS('Nursing Charges'!$I:$I,'Nursing Charges'!$A:$A,$A32,'Nursing Charges'!$C:$C,1))</f>
        <v/>
      </c>
      <c r="K32" s="12" t="str">
        <f>IF($A32="","",H32+(J32-SUMIFS('Nursing Charges'!$J:$J,'Nursing Charges'!$A:$A,$A32,'Nursing Charges'!$C:$C,1))+(I32-SUMIFS('Consumable Usage'!$F:$F,'Consumable Usage'!$A:$A,$A32,'Consumable Usage'!$D:$D,1)))</f>
        <v/>
      </c>
      <c r="L32" s="12" t="str">
        <f t="shared" si="1"/>
        <v/>
      </c>
      <c r="M32" s="20"/>
      <c r="N32" s="12" t="str">
        <f t="shared" si="2"/>
        <v/>
      </c>
      <c r="O32" s="45" t="str">
        <f t="shared" si="3"/>
        <v/>
      </c>
      <c r="P32" s="15"/>
      <c r="Q32" s="15"/>
      <c r="R32" s="20"/>
      <c r="S32" s="12" t="str">
        <f>IF($A32="","",SUMIFS('Consumable Usage'!$E:$E,'Consumable Usage'!$A:$A,$A32,'Consumable Usage'!$D:$D,2))</f>
        <v/>
      </c>
      <c r="T32" s="12" t="str">
        <f>IF($A32="","",SUMIFS('Nursing Charges'!$I:$I,'Nursing Charges'!$A:$A,$A32,'Nursing Charges'!$C:$C,2))</f>
        <v/>
      </c>
      <c r="U32" s="12" t="str">
        <f>IF($A32="","",R32+(T32-SUMIFS('Nursing Charges'!$J:$J,'Nursing Charges'!$A:$A,$A32,'Nursing Charges'!$C:$C,2))+(S32-SUMIFS('Consumable Usage'!$F:$F,'Consumable Usage'!$A:$A,$A32,'Consumable Usage'!$D:$D,2)))</f>
        <v/>
      </c>
      <c r="V32" s="12" t="str">
        <f t="shared" si="4"/>
        <v/>
      </c>
      <c r="W32" s="20"/>
      <c r="X32" s="12" t="str">
        <f t="shared" si="5"/>
        <v/>
      </c>
      <c r="Y32" s="45" t="str">
        <f t="shared" si="6"/>
        <v/>
      </c>
      <c r="Z32" s="15"/>
      <c r="AA32" s="15"/>
      <c r="AB32" s="20"/>
      <c r="AC32" s="12" t="str">
        <f>IF($A32="","",SUMIFS('Consumable Usage'!$E:$E,'Consumable Usage'!$A:$A,$A32,'Consumable Usage'!$D:$D,3))</f>
        <v/>
      </c>
      <c r="AD32" s="12" t="str">
        <f>IF($A32="","",SUMIFS('Nursing Charges'!$I:$I,'Nursing Charges'!$A:$A,$A32,'Nursing Charges'!$C:$C,3))</f>
        <v/>
      </c>
      <c r="AE32" s="12" t="str">
        <f>IF($A32="","",AB32+(AD32-SUMIFS('Nursing Charges'!$J:$J,'Nursing Charges'!$A:$A,$A32,'Nursing Charges'!$C:$C,3))+(AC32-SUMIFS('Consumable Usage'!$F:$F,'Consumable Usage'!$A:$A,$A32,'Consumable Usage'!$D:$D,3)))</f>
        <v/>
      </c>
      <c r="AF32" s="12" t="str">
        <f t="shared" si="7"/>
        <v/>
      </c>
      <c r="AG32" s="20"/>
      <c r="AH32" s="12" t="str">
        <f t="shared" si="8"/>
        <v/>
      </c>
      <c r="AI32" s="45" t="str">
        <f t="shared" si="9"/>
        <v/>
      </c>
      <c r="AJ32" s="15"/>
      <c r="AK32" s="15"/>
      <c r="AL32" s="20"/>
      <c r="AM32" s="12" t="str">
        <f>IF($A32="","",SUMIFS('Consumable Usage'!$E:$E,'Consumable Usage'!$A:$A,$A32,'Consumable Usage'!$D:$D,4))</f>
        <v/>
      </c>
      <c r="AN32" s="12" t="str">
        <f>IF($A32="","",SUMIFS('Nursing Charges'!$I:$I,'Nursing Charges'!$A:$A,$A32,'Nursing Charges'!$C:$C,4))</f>
        <v/>
      </c>
      <c r="AO32" s="12" t="str">
        <f>IF($A32="","",AL32+(AN32-SUMIFS('Nursing Charges'!$J:$J,'Nursing Charges'!$A:$A,$A32,'Nursing Charges'!$C:$C,4))+(AM32-SUMIFS('Consumable Usage'!$F:$F,'Consumable Usage'!$A:$A,$A32,'Consumable Usage'!$D:$D,4)))</f>
        <v/>
      </c>
      <c r="AP32" s="12" t="str">
        <f t="shared" si="10"/>
        <v/>
      </c>
      <c r="AQ32" s="20"/>
      <c r="AR32" s="12" t="str">
        <f t="shared" si="11"/>
        <v/>
      </c>
      <c r="AS32" s="45" t="str">
        <f t="shared" si="12"/>
        <v/>
      </c>
      <c r="AT32" s="15"/>
      <c r="AU32" s="15"/>
      <c r="AV32" s="20"/>
      <c r="AW32" s="12" t="str">
        <f>IF($A32="","",SUMIFS('Consumable Usage'!$E:$E,'Consumable Usage'!$A:$A,$A32,'Consumable Usage'!$D:$D,5))</f>
        <v/>
      </c>
      <c r="AX32" s="12" t="str">
        <f>IF($A32="","",SUMIFS('Nursing Charges'!$I:$I,'Nursing Charges'!$A:$A,$A32,'Nursing Charges'!$C:$C,5))</f>
        <v/>
      </c>
      <c r="AY32" s="12" t="str">
        <f>IF($A32="","",AV32+(AX32-SUMIFS('Nursing Charges'!$J:$J,'Nursing Charges'!$A:$A,$A32,'Nursing Charges'!$C:$C,5))+(AW32-SUMIFS('Consumable Usage'!$F:$F,'Consumable Usage'!$A:$A,$A32,'Consumable Usage'!$D:$D,5)))</f>
        <v/>
      </c>
      <c r="AZ32" s="12" t="str">
        <f t="shared" si="13"/>
        <v/>
      </c>
      <c r="BA32" s="20"/>
      <c r="BB32" s="12" t="str">
        <f t="shared" si="14"/>
        <v/>
      </c>
      <c r="BC32" s="45" t="str">
        <f t="shared" si="15"/>
        <v/>
      </c>
      <c r="BD32" s="15"/>
      <c r="BE32" s="15"/>
      <c r="BF32" s="20"/>
      <c r="BG32" s="12" t="str">
        <f>IF($A32="","",SUMIFS('Consumable Usage'!$E:$E,'Consumable Usage'!$A:$A,$A32,'Consumable Usage'!$D:$D,6))</f>
        <v/>
      </c>
      <c r="BH32" s="12" t="str">
        <f>IF($A32="","",SUMIFS('Nursing Charges'!$I:$I,'Nursing Charges'!$A:$A,$A32,'Nursing Charges'!$C:$C,6))</f>
        <v/>
      </c>
      <c r="BI32" s="12" t="str">
        <f>IF($A32="","",BF32+(BH32-SUMIFS('Nursing Charges'!$J:$J,'Nursing Charges'!$A:$A,$A32,'Nursing Charges'!$C:$C,6))+(BG32-SUMIFS('Consumable Usage'!$F:$F,'Consumable Usage'!$A:$A,$A32,'Consumable Usage'!$D:$D,6)))</f>
        <v/>
      </c>
      <c r="BJ32" s="12" t="str">
        <f t="shared" si="16"/>
        <v/>
      </c>
      <c r="BK32" s="20"/>
      <c r="BL32" s="12" t="str">
        <f t="shared" si="17"/>
        <v/>
      </c>
      <c r="BM32" s="45" t="str">
        <f t="shared" si="18"/>
        <v/>
      </c>
      <c r="BN32" s="15"/>
      <c r="BO32" s="15"/>
      <c r="BP32" s="20"/>
      <c r="BQ32" s="12" t="str">
        <f>IF($A32="","",SUMIFS('Consumable Usage'!$E:$E,'Consumable Usage'!$A:$A,$A32,'Consumable Usage'!$D:$D,7))</f>
        <v/>
      </c>
      <c r="BR32" s="12" t="str">
        <f>IF($A32="","",SUMIFS('Nursing Charges'!$I:$I,'Nursing Charges'!$A:$A,$A32,'Nursing Charges'!$C:$C,7))</f>
        <v/>
      </c>
      <c r="BS32" s="12" t="str">
        <f>IF($A32="","",BP32+(BR32-SUMIFS('Nursing Charges'!$J:$J,'Nursing Charges'!$A:$A,$A32,'Nursing Charges'!$C:$C,7))+(BQ32-SUMIFS('Consumable Usage'!$F:$F,'Consumable Usage'!$A:$A,$A32,'Consumable Usage'!$D:$D,7)))</f>
        <v/>
      </c>
      <c r="BT32" s="12" t="str">
        <f t="shared" si="19"/>
        <v/>
      </c>
      <c r="BU32" s="20"/>
      <c r="BV32" s="12" t="str">
        <f t="shared" si="20"/>
        <v/>
      </c>
      <c r="BW32" s="45" t="str">
        <f t="shared" si="21"/>
        <v/>
      </c>
      <c r="BX32" s="15"/>
      <c r="BY32" s="15"/>
      <c r="BZ32" s="20"/>
      <c r="CA32" s="12" t="str">
        <f>IF($A32="","",SUMIFS('Consumable Usage'!$E:$E,'Consumable Usage'!$A:$A,$A32,'Consumable Usage'!$D:$D,8))</f>
        <v/>
      </c>
      <c r="CB32" s="12" t="str">
        <f>IF($A32="","",SUMIFS('Nursing Charges'!$I:$I,'Nursing Charges'!$A:$A,$A32,'Nursing Charges'!$C:$C,8))</f>
        <v/>
      </c>
      <c r="CC32" s="12" t="str">
        <f>IF($A32="","",BZ32+(CB32-SUMIFS('Nursing Charges'!$J:$J,'Nursing Charges'!$A:$A,$A32,'Nursing Charges'!$C:$C,8))+(CA32-SUMIFS('Consumable Usage'!$F:$F,'Consumable Usage'!$A:$A,$A32,'Consumable Usage'!$D:$D,8)))</f>
        <v/>
      </c>
      <c r="CD32" s="12" t="str">
        <f t="shared" si="22"/>
        <v/>
      </c>
      <c r="CE32" s="20"/>
      <c r="CF32" s="12" t="str">
        <f t="shared" si="23"/>
        <v/>
      </c>
      <c r="CG32" s="45" t="str">
        <f t="shared" si="24"/>
        <v/>
      </c>
      <c r="CH32" s="15"/>
      <c r="CI32" s="15"/>
      <c r="CJ32" s="20"/>
      <c r="CK32" s="12" t="str">
        <f>IF($A32="","",SUMIFS('Consumable Usage'!$E:$E,'Consumable Usage'!$A:$A,$A32,'Consumable Usage'!$D:$D,9))</f>
        <v/>
      </c>
      <c r="CL32" s="12" t="str">
        <f>IF($A32="","",SUMIFS('Nursing Charges'!$I:$I,'Nursing Charges'!$A:$A,$A32,'Nursing Charges'!$C:$C,9))</f>
        <v/>
      </c>
      <c r="CM32" s="12" t="str">
        <f>IF($A32="","",CJ32+(CL32-SUMIFS('Nursing Charges'!$J:$J,'Nursing Charges'!$A:$A,$A32,'Nursing Charges'!$C:$C,9))+(CK32-SUMIFS('Consumable Usage'!$F:$F,'Consumable Usage'!$A:$A,$A32,'Consumable Usage'!$D:$D,9)))</f>
        <v/>
      </c>
      <c r="CN32" s="12" t="str">
        <f t="shared" si="25"/>
        <v/>
      </c>
      <c r="CO32" s="20"/>
      <c r="CP32" s="12" t="str">
        <f t="shared" si="26"/>
        <v/>
      </c>
      <c r="CQ32" s="45" t="str">
        <f t="shared" si="27"/>
        <v/>
      </c>
      <c r="CR32" s="15"/>
      <c r="CS32" s="15"/>
      <c r="CT32" s="20"/>
      <c r="CU32" s="12" t="str">
        <f>IF($A32="","",SUMIFS('Consumable Usage'!$E:$E,'Consumable Usage'!$A:$A,$A32,'Consumable Usage'!$D:$D,10))</f>
        <v/>
      </c>
      <c r="CV32" s="12" t="str">
        <f>IF($A32="","",SUMIFS('Nursing Charges'!$I:$I,'Nursing Charges'!$A:$A,$A32,'Nursing Charges'!$C:$C,10))</f>
        <v/>
      </c>
      <c r="CW32" s="12" t="str">
        <f>IF($A32="","",CT32+(CV32-SUMIFS('Nursing Charges'!$J:$J,'Nursing Charges'!$A:$A,$A32,'Nursing Charges'!$C:$C,10))+(CU32-SUMIFS('Consumable Usage'!$F:$F,'Consumable Usage'!$A:$A,$A32,'Consumable Usage'!$D:$D,10)))</f>
        <v/>
      </c>
      <c r="CX32" s="12" t="str">
        <f t="shared" si="28"/>
        <v/>
      </c>
      <c r="CY32" s="20"/>
      <c r="CZ32" s="12" t="str">
        <f t="shared" si="29"/>
        <v/>
      </c>
      <c r="DA32" s="45" t="str">
        <f t="shared" si="30"/>
        <v/>
      </c>
      <c r="DB32" s="15"/>
      <c r="DC32" s="15"/>
      <c r="DD32" s="20"/>
      <c r="DE32" s="12" t="str">
        <f>IF($A32="","",SUMIFS('Consumable Usage'!$E:$E,'Consumable Usage'!$A:$A,$A32,'Consumable Usage'!$D:$D,11))</f>
        <v/>
      </c>
      <c r="DF32" s="12" t="str">
        <f>IF($A32="","",SUMIFS('Nursing Charges'!$I:$I,'Nursing Charges'!$A:$A,$A32,'Nursing Charges'!$C:$C,11))</f>
        <v/>
      </c>
      <c r="DG32" s="12" t="str">
        <f>IF($A32="","",DD32+(DF32-SUMIFS('Nursing Charges'!$J:$J,'Nursing Charges'!$A:$A,$A32,'Nursing Charges'!$C:$C,11))+(DE32-SUMIFS('Consumable Usage'!$F:$F,'Consumable Usage'!$A:$A,$A32,'Consumable Usage'!$D:$D,11)))</f>
        <v/>
      </c>
      <c r="DH32" s="12" t="str">
        <f t="shared" si="31"/>
        <v/>
      </c>
      <c r="DI32" s="20"/>
      <c r="DJ32" s="12" t="str">
        <f t="shared" si="32"/>
        <v/>
      </c>
      <c r="DK32" s="45" t="str">
        <f t="shared" si="33"/>
        <v/>
      </c>
      <c r="DL32" s="15"/>
      <c r="DM32" s="15"/>
      <c r="DN32" s="20"/>
      <c r="DO32" s="12" t="str">
        <f>IF($A32="","",SUMIFS('Consumable Usage'!$E:$E,'Consumable Usage'!$A:$A,$A32,'Consumable Usage'!$D:$D,12))</f>
        <v/>
      </c>
      <c r="DP32" s="12" t="str">
        <f>IF($A32="","",SUMIFS('Nursing Charges'!$I:$I,'Nursing Charges'!$A:$A,$A32,'Nursing Charges'!$C:$C,12))</f>
        <v/>
      </c>
      <c r="DQ32" s="12" t="str">
        <f>IF($A32="","",DN32+(DP32-SUMIFS('Nursing Charges'!$J:$J,'Nursing Charges'!$A:$A,$A32,'Nursing Charges'!$C:$C,12))+(DO32-SUMIFS('Consumable Usage'!$F:$F,'Consumable Usage'!$A:$A,$A32,'Consumable Usage'!$D:$D,12)))</f>
        <v/>
      </c>
      <c r="DR32" s="12" t="str">
        <f t="shared" si="34"/>
        <v/>
      </c>
      <c r="DS32" s="20"/>
      <c r="DT32" s="12" t="str">
        <f t="shared" si="35"/>
        <v/>
      </c>
      <c r="DU32" s="45" t="str">
        <f t="shared" si="36"/>
        <v/>
      </c>
      <c r="DV32" s="15"/>
      <c r="DW32" s="15"/>
      <c r="DX32" s="20"/>
      <c r="DY32" s="12" t="str">
        <f>IF($A32="","",SUMIFS('Consumable Usage'!$E:$E,'Consumable Usage'!$A:$A,$A32,'Consumable Usage'!$D:$D,13))</f>
        <v/>
      </c>
      <c r="DZ32" s="12" t="str">
        <f>IF($A32="","",SUMIFS('Nursing Charges'!$I:$I,'Nursing Charges'!$A:$A,$A32,'Nursing Charges'!$C:$C,13))</f>
        <v/>
      </c>
      <c r="EA32" s="12" t="str">
        <f>IF($A32="","",DX32+(DZ32-SUMIFS('Nursing Charges'!$J:$J,'Nursing Charges'!$A:$A,$A32,'Nursing Charges'!$C:$C,13))+(DY32-SUMIFS('Consumable Usage'!$F:$F,'Consumable Usage'!$A:$A,$A32,'Consumable Usage'!$D:$D,13)))</f>
        <v/>
      </c>
      <c r="EB32" s="12" t="str">
        <f t="shared" si="37"/>
        <v/>
      </c>
      <c r="EC32" s="20"/>
      <c r="ED32" s="12" t="str">
        <f t="shared" si="38"/>
        <v/>
      </c>
      <c r="EE32" s="45" t="str">
        <f t="shared" si="39"/>
        <v/>
      </c>
      <c r="EF32" s="15"/>
      <c r="EG32" s="15"/>
      <c r="EH32" s="20"/>
      <c r="EI32" s="12" t="str">
        <f>IF($A32="","",SUMIFS('Consumable Usage'!$E:$E,'Consumable Usage'!$A:$A,$A32,'Consumable Usage'!$D:$D,14))</f>
        <v/>
      </c>
      <c r="EJ32" s="12" t="str">
        <f>IF($A32="","",SUMIFS('Nursing Charges'!$I:$I,'Nursing Charges'!$A:$A,$A32,'Nursing Charges'!$C:$C,14))</f>
        <v/>
      </c>
      <c r="EK32" s="12" t="str">
        <f>IF($A32="","",EH32+(EJ32-SUMIFS('Nursing Charges'!$J:$J,'Nursing Charges'!$A:$A,$A32,'Nursing Charges'!$C:$C,14))+(EI32-SUMIFS('Consumable Usage'!$F:$F,'Consumable Usage'!$A:$A,$A32,'Consumable Usage'!$D:$D,14)))</f>
        <v/>
      </c>
      <c r="EL32" s="12" t="str">
        <f t="shared" si="40"/>
        <v/>
      </c>
      <c r="EM32" s="20"/>
      <c r="EN32" s="12" t="str">
        <f t="shared" si="41"/>
        <v/>
      </c>
      <c r="EO32" s="45" t="str">
        <f t="shared" si="42"/>
        <v/>
      </c>
      <c r="EP32" s="15"/>
      <c r="EQ32" s="15"/>
      <c r="ER32" s="20"/>
      <c r="ES32" s="12" t="str">
        <f>IF($A32="","",SUMIFS('Consumable Usage'!$E:$E,'Consumable Usage'!$A:$A,$A32,'Consumable Usage'!$D:$D,15))</f>
        <v/>
      </c>
      <c r="ET32" s="12" t="str">
        <f>IF($A32="","",SUMIFS('Nursing Charges'!$I:$I,'Nursing Charges'!$A:$A,$A32,'Nursing Charges'!$C:$C,15))</f>
        <v/>
      </c>
      <c r="EU32" s="12" t="str">
        <f>IF($A32="","",ER32+(ET32-SUMIFS('Nursing Charges'!$J:$J,'Nursing Charges'!$A:$A,$A32,'Nursing Charges'!$C:$C,15))+(ES32-SUMIFS('Consumable Usage'!$F:$F,'Consumable Usage'!$A:$A,$A32,'Consumable Usage'!$D:$D,15)))</f>
        <v/>
      </c>
      <c r="EV32" s="12" t="str">
        <f t="shared" si="43"/>
        <v/>
      </c>
      <c r="EW32" s="20"/>
      <c r="EX32" s="12" t="str">
        <f t="shared" si="44"/>
        <v/>
      </c>
      <c r="EY32" s="45" t="str">
        <f t="shared" si="45"/>
        <v/>
      </c>
      <c r="EZ32" s="15"/>
      <c r="FA32" s="15"/>
      <c r="FB32" s="20"/>
      <c r="FC32" s="12" t="str">
        <f>IF($A32="","",SUMIFS('Consumable Usage'!$E:$E,'Consumable Usage'!$A:$A,$A32,'Consumable Usage'!$D:$D,16))</f>
        <v/>
      </c>
      <c r="FD32" s="12" t="str">
        <f>IF($A32="","",SUMIFS('Nursing Charges'!$I:$I,'Nursing Charges'!$A:$A,$A32,'Nursing Charges'!$C:$C,16))</f>
        <v/>
      </c>
      <c r="FE32" s="12" t="str">
        <f>IF($A32="","",FB32+(FD32-SUMIFS('Nursing Charges'!$J:$J,'Nursing Charges'!$A:$A,$A32,'Nursing Charges'!$C:$C,16))+(FC32-SUMIFS('Consumable Usage'!$F:$F,'Consumable Usage'!$A:$A,$A32,'Consumable Usage'!$D:$D,16)))</f>
        <v/>
      </c>
      <c r="FF32" s="12" t="str">
        <f t="shared" si="46"/>
        <v/>
      </c>
      <c r="FG32" s="20"/>
      <c r="FH32" s="12" t="str">
        <f t="shared" si="47"/>
        <v/>
      </c>
      <c r="FI32" s="45" t="str">
        <f t="shared" si="48"/>
        <v/>
      </c>
      <c r="FJ32" s="53"/>
      <c r="FK32" s="53"/>
      <c r="FL32" s="63"/>
      <c r="FM32" s="63" t="str">
        <f>IF($A32="","",SUMIFS('Consumable Usage'!$E:$E,'Consumable Usage'!$A:$A,$A32,'Consumable Usage'!$D:$D,16))</f>
        <v/>
      </c>
      <c r="FN32" s="63" t="str">
        <f>IF($A32="","",SUMIFS('Nursing Charges'!$I:$I,'Nursing Charges'!$A:$A,$A32,'Nursing Charges'!$C:$C,16))</f>
        <v/>
      </c>
      <c r="FO32" s="63" t="str">
        <f>IF($A32="","",FL32+(FN32-SUMIFS('Nursing Charges'!$J:$J,'Nursing Charges'!$A:$A,$A32,'Nursing Charges'!$C:$C,16))+(FM32-SUMIFS('Consumable Usage'!$F:$F,'Consumable Usage'!$A:$A,$A32,'Consumable Usage'!$D:$D,16)))</f>
        <v/>
      </c>
      <c r="FP32" s="63" t="str">
        <f t="shared" si="49"/>
        <v/>
      </c>
      <c r="FQ32" s="63"/>
      <c r="FR32" s="63" t="str">
        <f t="shared" si="50"/>
        <v/>
      </c>
      <c r="FS32" s="53" t="str">
        <f t="shared" si="51"/>
        <v/>
      </c>
    </row>
    <row r="33" ht="15.0" customHeight="1">
      <c r="A33" s="15"/>
      <c r="B33" s="15"/>
      <c r="C33" s="15"/>
      <c r="D33" s="15"/>
      <c r="E33" s="15"/>
      <c r="F33" s="15"/>
      <c r="G33" s="15"/>
      <c r="H33" s="20"/>
      <c r="I33" s="12" t="str">
        <f>IF($A33="","",SUMIFS('Consumable Usage'!$E:$E,'Consumable Usage'!$A:$A,$A33,'Consumable Usage'!$D:$D,1))</f>
        <v/>
      </c>
      <c r="J33" s="12" t="str">
        <f>IF($A33="","",SUMIFS('Nursing Charges'!$I:$I,'Nursing Charges'!$A:$A,$A33,'Nursing Charges'!$C:$C,1))</f>
        <v/>
      </c>
      <c r="K33" s="12" t="str">
        <f>IF($A33="","",H33+(J33-SUMIFS('Nursing Charges'!$J:$J,'Nursing Charges'!$A:$A,$A33,'Nursing Charges'!$C:$C,1))+(I33-SUMIFS('Consumable Usage'!$F:$F,'Consumable Usage'!$A:$A,$A33,'Consumable Usage'!$D:$D,1)))</f>
        <v/>
      </c>
      <c r="L33" s="12" t="str">
        <f t="shared" si="1"/>
        <v/>
      </c>
      <c r="M33" s="20"/>
      <c r="N33" s="12" t="str">
        <f t="shared" si="2"/>
        <v/>
      </c>
      <c r="O33" s="45" t="str">
        <f t="shared" si="3"/>
        <v/>
      </c>
      <c r="P33" s="15"/>
      <c r="Q33" s="15"/>
      <c r="R33" s="20"/>
      <c r="S33" s="12" t="str">
        <f>IF($A33="","",SUMIFS('Consumable Usage'!$E:$E,'Consumable Usage'!$A:$A,$A33,'Consumable Usage'!$D:$D,2))</f>
        <v/>
      </c>
      <c r="T33" s="12" t="str">
        <f>IF($A33="","",SUMIFS('Nursing Charges'!$I:$I,'Nursing Charges'!$A:$A,$A33,'Nursing Charges'!$C:$C,2))</f>
        <v/>
      </c>
      <c r="U33" s="12" t="str">
        <f>IF($A33="","",R33+(T33-SUMIFS('Nursing Charges'!$J:$J,'Nursing Charges'!$A:$A,$A33,'Nursing Charges'!$C:$C,2))+(S33-SUMIFS('Consumable Usage'!$F:$F,'Consumable Usage'!$A:$A,$A33,'Consumable Usage'!$D:$D,2)))</f>
        <v/>
      </c>
      <c r="V33" s="12" t="str">
        <f t="shared" si="4"/>
        <v/>
      </c>
      <c r="W33" s="20"/>
      <c r="X33" s="12" t="str">
        <f t="shared" si="5"/>
        <v/>
      </c>
      <c r="Y33" s="45" t="str">
        <f t="shared" si="6"/>
        <v/>
      </c>
      <c r="Z33" s="15"/>
      <c r="AA33" s="15"/>
      <c r="AB33" s="20"/>
      <c r="AC33" s="12" t="str">
        <f>IF($A33="","",SUMIFS('Consumable Usage'!$E:$E,'Consumable Usage'!$A:$A,$A33,'Consumable Usage'!$D:$D,3))</f>
        <v/>
      </c>
      <c r="AD33" s="12" t="str">
        <f>IF($A33="","",SUMIFS('Nursing Charges'!$I:$I,'Nursing Charges'!$A:$A,$A33,'Nursing Charges'!$C:$C,3))</f>
        <v/>
      </c>
      <c r="AE33" s="12" t="str">
        <f>IF($A33="","",AB33+(AD33-SUMIFS('Nursing Charges'!$J:$J,'Nursing Charges'!$A:$A,$A33,'Nursing Charges'!$C:$C,3))+(AC33-SUMIFS('Consumable Usage'!$F:$F,'Consumable Usage'!$A:$A,$A33,'Consumable Usage'!$D:$D,3)))</f>
        <v/>
      </c>
      <c r="AF33" s="12" t="str">
        <f t="shared" si="7"/>
        <v/>
      </c>
      <c r="AG33" s="20"/>
      <c r="AH33" s="12" t="str">
        <f t="shared" si="8"/>
        <v/>
      </c>
      <c r="AI33" s="45" t="str">
        <f t="shared" si="9"/>
        <v/>
      </c>
      <c r="AJ33" s="15"/>
      <c r="AK33" s="15"/>
      <c r="AL33" s="20"/>
      <c r="AM33" s="12" t="str">
        <f>IF($A33="","",SUMIFS('Consumable Usage'!$E:$E,'Consumable Usage'!$A:$A,$A33,'Consumable Usage'!$D:$D,4))</f>
        <v/>
      </c>
      <c r="AN33" s="12" t="str">
        <f>IF($A33="","",SUMIFS('Nursing Charges'!$I:$I,'Nursing Charges'!$A:$A,$A33,'Nursing Charges'!$C:$C,4))</f>
        <v/>
      </c>
      <c r="AO33" s="12" t="str">
        <f>IF($A33="","",AL33+(AN33-SUMIFS('Nursing Charges'!$J:$J,'Nursing Charges'!$A:$A,$A33,'Nursing Charges'!$C:$C,4))+(AM33-SUMIFS('Consumable Usage'!$F:$F,'Consumable Usage'!$A:$A,$A33,'Consumable Usage'!$D:$D,4)))</f>
        <v/>
      </c>
      <c r="AP33" s="12" t="str">
        <f t="shared" si="10"/>
        <v/>
      </c>
      <c r="AQ33" s="20"/>
      <c r="AR33" s="12" t="str">
        <f t="shared" si="11"/>
        <v/>
      </c>
      <c r="AS33" s="45" t="str">
        <f t="shared" si="12"/>
        <v/>
      </c>
      <c r="AT33" s="15"/>
      <c r="AU33" s="15"/>
      <c r="AV33" s="20"/>
      <c r="AW33" s="12" t="str">
        <f>IF($A33="","",SUMIFS('Consumable Usage'!$E:$E,'Consumable Usage'!$A:$A,$A33,'Consumable Usage'!$D:$D,5))</f>
        <v/>
      </c>
      <c r="AX33" s="12" t="str">
        <f>IF($A33="","",SUMIFS('Nursing Charges'!$I:$I,'Nursing Charges'!$A:$A,$A33,'Nursing Charges'!$C:$C,5))</f>
        <v/>
      </c>
      <c r="AY33" s="12" t="str">
        <f>IF($A33="","",AV33+(AX33-SUMIFS('Nursing Charges'!$J:$J,'Nursing Charges'!$A:$A,$A33,'Nursing Charges'!$C:$C,5))+(AW33-SUMIFS('Consumable Usage'!$F:$F,'Consumable Usage'!$A:$A,$A33,'Consumable Usage'!$D:$D,5)))</f>
        <v/>
      </c>
      <c r="AZ33" s="12" t="str">
        <f t="shared" si="13"/>
        <v/>
      </c>
      <c r="BA33" s="20"/>
      <c r="BB33" s="12" t="str">
        <f t="shared" si="14"/>
        <v/>
      </c>
      <c r="BC33" s="45" t="str">
        <f t="shared" si="15"/>
        <v/>
      </c>
      <c r="BD33" s="15"/>
      <c r="BE33" s="15"/>
      <c r="BF33" s="20"/>
      <c r="BG33" s="12" t="str">
        <f>IF($A33="","",SUMIFS('Consumable Usage'!$E:$E,'Consumable Usage'!$A:$A,$A33,'Consumable Usage'!$D:$D,6))</f>
        <v/>
      </c>
      <c r="BH33" s="12" t="str">
        <f>IF($A33="","",SUMIFS('Nursing Charges'!$I:$I,'Nursing Charges'!$A:$A,$A33,'Nursing Charges'!$C:$C,6))</f>
        <v/>
      </c>
      <c r="BI33" s="12" t="str">
        <f>IF($A33="","",BF33+(BH33-SUMIFS('Nursing Charges'!$J:$J,'Nursing Charges'!$A:$A,$A33,'Nursing Charges'!$C:$C,6))+(BG33-SUMIFS('Consumable Usage'!$F:$F,'Consumable Usage'!$A:$A,$A33,'Consumable Usage'!$D:$D,6)))</f>
        <v/>
      </c>
      <c r="BJ33" s="12" t="str">
        <f t="shared" si="16"/>
        <v/>
      </c>
      <c r="BK33" s="20"/>
      <c r="BL33" s="12" t="str">
        <f t="shared" si="17"/>
        <v/>
      </c>
      <c r="BM33" s="45" t="str">
        <f t="shared" si="18"/>
        <v/>
      </c>
      <c r="BN33" s="15"/>
      <c r="BO33" s="15"/>
      <c r="BP33" s="20"/>
      <c r="BQ33" s="12" t="str">
        <f>IF($A33="","",SUMIFS('Consumable Usage'!$E:$E,'Consumable Usage'!$A:$A,$A33,'Consumable Usage'!$D:$D,7))</f>
        <v/>
      </c>
      <c r="BR33" s="12" t="str">
        <f>IF($A33="","",SUMIFS('Nursing Charges'!$I:$I,'Nursing Charges'!$A:$A,$A33,'Nursing Charges'!$C:$C,7))</f>
        <v/>
      </c>
      <c r="BS33" s="12" t="str">
        <f>IF($A33="","",BP33+(BR33-SUMIFS('Nursing Charges'!$J:$J,'Nursing Charges'!$A:$A,$A33,'Nursing Charges'!$C:$C,7))+(BQ33-SUMIFS('Consumable Usage'!$F:$F,'Consumable Usage'!$A:$A,$A33,'Consumable Usage'!$D:$D,7)))</f>
        <v/>
      </c>
      <c r="BT33" s="12" t="str">
        <f t="shared" si="19"/>
        <v/>
      </c>
      <c r="BU33" s="20"/>
      <c r="BV33" s="12" t="str">
        <f t="shared" si="20"/>
        <v/>
      </c>
      <c r="BW33" s="45" t="str">
        <f t="shared" si="21"/>
        <v/>
      </c>
      <c r="BX33" s="15"/>
      <c r="BY33" s="15"/>
      <c r="BZ33" s="20"/>
      <c r="CA33" s="12" t="str">
        <f>IF($A33="","",SUMIFS('Consumable Usage'!$E:$E,'Consumable Usage'!$A:$A,$A33,'Consumable Usage'!$D:$D,8))</f>
        <v/>
      </c>
      <c r="CB33" s="12" t="str">
        <f>IF($A33="","",SUMIFS('Nursing Charges'!$I:$I,'Nursing Charges'!$A:$A,$A33,'Nursing Charges'!$C:$C,8))</f>
        <v/>
      </c>
      <c r="CC33" s="12" t="str">
        <f>IF($A33="","",BZ33+(CB33-SUMIFS('Nursing Charges'!$J:$J,'Nursing Charges'!$A:$A,$A33,'Nursing Charges'!$C:$C,8))+(CA33-SUMIFS('Consumable Usage'!$F:$F,'Consumable Usage'!$A:$A,$A33,'Consumable Usage'!$D:$D,8)))</f>
        <v/>
      </c>
      <c r="CD33" s="12" t="str">
        <f t="shared" si="22"/>
        <v/>
      </c>
      <c r="CE33" s="20"/>
      <c r="CF33" s="12" t="str">
        <f t="shared" si="23"/>
        <v/>
      </c>
      <c r="CG33" s="45" t="str">
        <f t="shared" si="24"/>
        <v/>
      </c>
      <c r="CH33" s="15"/>
      <c r="CI33" s="15"/>
      <c r="CJ33" s="20"/>
      <c r="CK33" s="12" t="str">
        <f>IF($A33="","",SUMIFS('Consumable Usage'!$E:$E,'Consumable Usage'!$A:$A,$A33,'Consumable Usage'!$D:$D,9))</f>
        <v/>
      </c>
      <c r="CL33" s="12" t="str">
        <f>IF($A33="","",SUMIFS('Nursing Charges'!$I:$I,'Nursing Charges'!$A:$A,$A33,'Nursing Charges'!$C:$C,9))</f>
        <v/>
      </c>
      <c r="CM33" s="12" t="str">
        <f>IF($A33="","",CJ33+(CL33-SUMIFS('Nursing Charges'!$J:$J,'Nursing Charges'!$A:$A,$A33,'Nursing Charges'!$C:$C,9))+(CK33-SUMIFS('Consumable Usage'!$F:$F,'Consumable Usage'!$A:$A,$A33,'Consumable Usage'!$D:$D,9)))</f>
        <v/>
      </c>
      <c r="CN33" s="12" t="str">
        <f t="shared" si="25"/>
        <v/>
      </c>
      <c r="CO33" s="20"/>
      <c r="CP33" s="12" t="str">
        <f t="shared" si="26"/>
        <v/>
      </c>
      <c r="CQ33" s="45" t="str">
        <f t="shared" si="27"/>
        <v/>
      </c>
      <c r="CR33" s="15"/>
      <c r="CS33" s="15"/>
      <c r="CT33" s="20"/>
      <c r="CU33" s="12" t="str">
        <f>IF($A33="","",SUMIFS('Consumable Usage'!$E:$E,'Consumable Usage'!$A:$A,$A33,'Consumable Usage'!$D:$D,10))</f>
        <v/>
      </c>
      <c r="CV33" s="12" t="str">
        <f>IF($A33="","",SUMIFS('Nursing Charges'!$I:$I,'Nursing Charges'!$A:$A,$A33,'Nursing Charges'!$C:$C,10))</f>
        <v/>
      </c>
      <c r="CW33" s="12" t="str">
        <f>IF($A33="","",CT33+(CV33-SUMIFS('Nursing Charges'!$J:$J,'Nursing Charges'!$A:$A,$A33,'Nursing Charges'!$C:$C,10))+(CU33-SUMIFS('Consumable Usage'!$F:$F,'Consumable Usage'!$A:$A,$A33,'Consumable Usage'!$D:$D,10)))</f>
        <v/>
      </c>
      <c r="CX33" s="12" t="str">
        <f t="shared" si="28"/>
        <v/>
      </c>
      <c r="CY33" s="20"/>
      <c r="CZ33" s="12" t="str">
        <f t="shared" si="29"/>
        <v/>
      </c>
      <c r="DA33" s="45" t="str">
        <f t="shared" si="30"/>
        <v/>
      </c>
      <c r="DB33" s="15"/>
      <c r="DC33" s="15"/>
      <c r="DD33" s="20"/>
      <c r="DE33" s="12" t="str">
        <f>IF($A33="","",SUMIFS('Consumable Usage'!$E:$E,'Consumable Usage'!$A:$A,$A33,'Consumable Usage'!$D:$D,11))</f>
        <v/>
      </c>
      <c r="DF33" s="12" t="str">
        <f>IF($A33="","",SUMIFS('Nursing Charges'!$I:$I,'Nursing Charges'!$A:$A,$A33,'Nursing Charges'!$C:$C,11))</f>
        <v/>
      </c>
      <c r="DG33" s="12" t="str">
        <f>IF($A33="","",DD33+(DF33-SUMIFS('Nursing Charges'!$J:$J,'Nursing Charges'!$A:$A,$A33,'Nursing Charges'!$C:$C,11))+(DE33-SUMIFS('Consumable Usage'!$F:$F,'Consumable Usage'!$A:$A,$A33,'Consumable Usage'!$D:$D,11)))</f>
        <v/>
      </c>
      <c r="DH33" s="12" t="str">
        <f t="shared" si="31"/>
        <v/>
      </c>
      <c r="DI33" s="20"/>
      <c r="DJ33" s="12" t="str">
        <f t="shared" si="32"/>
        <v/>
      </c>
      <c r="DK33" s="45" t="str">
        <f t="shared" si="33"/>
        <v/>
      </c>
      <c r="DL33" s="15"/>
      <c r="DM33" s="15"/>
      <c r="DN33" s="20"/>
      <c r="DO33" s="12" t="str">
        <f>IF($A33="","",SUMIFS('Consumable Usage'!$E:$E,'Consumable Usage'!$A:$A,$A33,'Consumable Usage'!$D:$D,12))</f>
        <v/>
      </c>
      <c r="DP33" s="12" t="str">
        <f>IF($A33="","",SUMIFS('Nursing Charges'!$I:$I,'Nursing Charges'!$A:$A,$A33,'Nursing Charges'!$C:$C,12))</f>
        <v/>
      </c>
      <c r="DQ33" s="12" t="str">
        <f>IF($A33="","",DN33+(DP33-SUMIFS('Nursing Charges'!$J:$J,'Nursing Charges'!$A:$A,$A33,'Nursing Charges'!$C:$C,12))+(DO33-SUMIFS('Consumable Usage'!$F:$F,'Consumable Usage'!$A:$A,$A33,'Consumable Usage'!$D:$D,12)))</f>
        <v/>
      </c>
      <c r="DR33" s="12" t="str">
        <f t="shared" si="34"/>
        <v/>
      </c>
      <c r="DS33" s="20"/>
      <c r="DT33" s="12" t="str">
        <f t="shared" si="35"/>
        <v/>
      </c>
      <c r="DU33" s="45" t="str">
        <f t="shared" si="36"/>
        <v/>
      </c>
      <c r="DV33" s="15"/>
      <c r="DW33" s="15"/>
      <c r="DX33" s="20"/>
      <c r="DY33" s="12" t="str">
        <f>IF($A33="","",SUMIFS('Consumable Usage'!$E:$E,'Consumable Usage'!$A:$A,$A33,'Consumable Usage'!$D:$D,13))</f>
        <v/>
      </c>
      <c r="DZ33" s="12" t="str">
        <f>IF($A33="","",SUMIFS('Nursing Charges'!$I:$I,'Nursing Charges'!$A:$A,$A33,'Nursing Charges'!$C:$C,13))</f>
        <v/>
      </c>
      <c r="EA33" s="12" t="str">
        <f>IF($A33="","",DX33+(DZ33-SUMIFS('Nursing Charges'!$J:$J,'Nursing Charges'!$A:$A,$A33,'Nursing Charges'!$C:$C,13))+(DY33-SUMIFS('Consumable Usage'!$F:$F,'Consumable Usage'!$A:$A,$A33,'Consumable Usage'!$D:$D,13)))</f>
        <v/>
      </c>
      <c r="EB33" s="12" t="str">
        <f t="shared" si="37"/>
        <v/>
      </c>
      <c r="EC33" s="20"/>
      <c r="ED33" s="12" t="str">
        <f t="shared" si="38"/>
        <v/>
      </c>
      <c r="EE33" s="45" t="str">
        <f t="shared" si="39"/>
        <v/>
      </c>
      <c r="EF33" s="15"/>
      <c r="EG33" s="15"/>
      <c r="EH33" s="20"/>
      <c r="EI33" s="12" t="str">
        <f>IF($A33="","",SUMIFS('Consumable Usage'!$E:$E,'Consumable Usage'!$A:$A,$A33,'Consumable Usage'!$D:$D,14))</f>
        <v/>
      </c>
      <c r="EJ33" s="12" t="str">
        <f>IF($A33="","",SUMIFS('Nursing Charges'!$I:$I,'Nursing Charges'!$A:$A,$A33,'Nursing Charges'!$C:$C,14))</f>
        <v/>
      </c>
      <c r="EK33" s="12" t="str">
        <f>IF($A33="","",EH33+(EJ33-SUMIFS('Nursing Charges'!$J:$J,'Nursing Charges'!$A:$A,$A33,'Nursing Charges'!$C:$C,14))+(EI33-SUMIFS('Consumable Usage'!$F:$F,'Consumable Usage'!$A:$A,$A33,'Consumable Usage'!$D:$D,14)))</f>
        <v/>
      </c>
      <c r="EL33" s="12" t="str">
        <f t="shared" si="40"/>
        <v/>
      </c>
      <c r="EM33" s="20"/>
      <c r="EN33" s="12" t="str">
        <f t="shared" si="41"/>
        <v/>
      </c>
      <c r="EO33" s="45" t="str">
        <f t="shared" si="42"/>
        <v/>
      </c>
      <c r="EP33" s="15"/>
      <c r="EQ33" s="15"/>
      <c r="ER33" s="20"/>
      <c r="ES33" s="12" t="str">
        <f>IF($A33="","",SUMIFS('Consumable Usage'!$E:$E,'Consumable Usage'!$A:$A,$A33,'Consumable Usage'!$D:$D,15))</f>
        <v/>
      </c>
      <c r="ET33" s="12" t="str">
        <f>IF($A33="","",SUMIFS('Nursing Charges'!$I:$I,'Nursing Charges'!$A:$A,$A33,'Nursing Charges'!$C:$C,15))</f>
        <v/>
      </c>
      <c r="EU33" s="12" t="str">
        <f>IF($A33="","",ER33+(ET33-SUMIFS('Nursing Charges'!$J:$J,'Nursing Charges'!$A:$A,$A33,'Nursing Charges'!$C:$C,15))+(ES33-SUMIFS('Consumable Usage'!$F:$F,'Consumable Usage'!$A:$A,$A33,'Consumable Usage'!$D:$D,15)))</f>
        <v/>
      </c>
      <c r="EV33" s="12" t="str">
        <f t="shared" si="43"/>
        <v/>
      </c>
      <c r="EW33" s="20"/>
      <c r="EX33" s="12" t="str">
        <f t="shared" si="44"/>
        <v/>
      </c>
      <c r="EY33" s="45" t="str">
        <f t="shared" si="45"/>
        <v/>
      </c>
      <c r="EZ33" s="15"/>
      <c r="FA33" s="15"/>
      <c r="FB33" s="20"/>
      <c r="FC33" s="12" t="str">
        <f>IF($A33="","",SUMIFS('Consumable Usage'!$E:$E,'Consumable Usage'!$A:$A,$A33,'Consumable Usage'!$D:$D,16))</f>
        <v/>
      </c>
      <c r="FD33" s="12" t="str">
        <f>IF($A33="","",SUMIFS('Nursing Charges'!$I:$I,'Nursing Charges'!$A:$A,$A33,'Nursing Charges'!$C:$C,16))</f>
        <v/>
      </c>
      <c r="FE33" s="12" t="str">
        <f>IF($A33="","",FB33+(FD33-SUMIFS('Nursing Charges'!$J:$J,'Nursing Charges'!$A:$A,$A33,'Nursing Charges'!$C:$C,16))+(FC33-SUMIFS('Consumable Usage'!$F:$F,'Consumable Usage'!$A:$A,$A33,'Consumable Usage'!$D:$D,16)))</f>
        <v/>
      </c>
      <c r="FF33" s="12" t="str">
        <f t="shared" si="46"/>
        <v/>
      </c>
      <c r="FG33" s="20"/>
      <c r="FH33" s="12" t="str">
        <f t="shared" si="47"/>
        <v/>
      </c>
      <c r="FI33" s="45" t="str">
        <f t="shared" si="48"/>
        <v/>
      </c>
      <c r="FJ33" s="53"/>
      <c r="FK33" s="53"/>
      <c r="FL33" s="63"/>
      <c r="FM33" s="63" t="str">
        <f>IF($A33="","",SUMIFS('Consumable Usage'!$E:$E,'Consumable Usage'!$A:$A,$A33,'Consumable Usage'!$D:$D,16))</f>
        <v/>
      </c>
      <c r="FN33" s="63" t="str">
        <f>IF($A33="","",SUMIFS('Nursing Charges'!$I:$I,'Nursing Charges'!$A:$A,$A33,'Nursing Charges'!$C:$C,16))</f>
        <v/>
      </c>
      <c r="FO33" s="63" t="str">
        <f>IF($A33="","",FL33+(FN33-SUMIFS('Nursing Charges'!$J:$J,'Nursing Charges'!$A:$A,$A33,'Nursing Charges'!$C:$C,16))+(FM33-SUMIFS('Consumable Usage'!$F:$F,'Consumable Usage'!$A:$A,$A33,'Consumable Usage'!$D:$D,16)))</f>
        <v/>
      </c>
      <c r="FP33" s="63" t="str">
        <f t="shared" si="49"/>
        <v/>
      </c>
      <c r="FQ33" s="63"/>
      <c r="FR33" s="63" t="str">
        <f t="shared" si="50"/>
        <v/>
      </c>
      <c r="FS33" s="53" t="str">
        <f t="shared" si="51"/>
        <v/>
      </c>
    </row>
    <row r="34" ht="15.0" customHeight="1">
      <c r="A34" s="15"/>
      <c r="B34" s="15"/>
      <c r="C34" s="15"/>
      <c r="D34" s="15"/>
      <c r="E34" s="15"/>
      <c r="F34" s="15"/>
      <c r="G34" s="15"/>
      <c r="H34" s="20"/>
      <c r="I34" s="12" t="str">
        <f>IF($A34="","",SUMIFS('Consumable Usage'!$E:$E,'Consumable Usage'!$A:$A,$A34,'Consumable Usage'!$D:$D,1))</f>
        <v/>
      </c>
      <c r="J34" s="12" t="str">
        <f>IF($A34="","",SUMIFS('Nursing Charges'!$I:$I,'Nursing Charges'!$A:$A,$A34,'Nursing Charges'!$C:$C,1))</f>
        <v/>
      </c>
      <c r="K34" s="12" t="str">
        <f>IF($A34="","",H34+(J34-SUMIFS('Nursing Charges'!$J:$J,'Nursing Charges'!$A:$A,$A34,'Nursing Charges'!$C:$C,1))+(I34-SUMIFS('Consumable Usage'!$F:$F,'Consumable Usage'!$A:$A,$A34,'Consumable Usage'!$D:$D,1)))</f>
        <v/>
      </c>
      <c r="L34" s="12" t="str">
        <f t="shared" si="1"/>
        <v/>
      </c>
      <c r="M34" s="20"/>
      <c r="N34" s="12" t="str">
        <f t="shared" si="2"/>
        <v/>
      </c>
      <c r="O34" s="45" t="str">
        <f t="shared" si="3"/>
        <v/>
      </c>
      <c r="P34" s="15"/>
      <c r="Q34" s="15"/>
      <c r="R34" s="20"/>
      <c r="S34" s="12" t="str">
        <f>IF($A34="","",SUMIFS('Consumable Usage'!$E:$E,'Consumable Usage'!$A:$A,$A34,'Consumable Usage'!$D:$D,2))</f>
        <v/>
      </c>
      <c r="T34" s="12" t="str">
        <f>IF($A34="","",SUMIFS('Nursing Charges'!$I:$I,'Nursing Charges'!$A:$A,$A34,'Nursing Charges'!$C:$C,2))</f>
        <v/>
      </c>
      <c r="U34" s="12" t="str">
        <f>IF($A34="","",R34+(T34-SUMIFS('Nursing Charges'!$J:$J,'Nursing Charges'!$A:$A,$A34,'Nursing Charges'!$C:$C,2))+(S34-SUMIFS('Consumable Usage'!$F:$F,'Consumable Usage'!$A:$A,$A34,'Consumable Usage'!$D:$D,2)))</f>
        <v/>
      </c>
      <c r="V34" s="12" t="str">
        <f t="shared" si="4"/>
        <v/>
      </c>
      <c r="W34" s="20"/>
      <c r="X34" s="12" t="str">
        <f t="shared" si="5"/>
        <v/>
      </c>
      <c r="Y34" s="45" t="str">
        <f t="shared" si="6"/>
        <v/>
      </c>
      <c r="Z34" s="15"/>
      <c r="AA34" s="15"/>
      <c r="AB34" s="20"/>
      <c r="AC34" s="12" t="str">
        <f>IF($A34="","",SUMIFS('Consumable Usage'!$E:$E,'Consumable Usage'!$A:$A,$A34,'Consumable Usage'!$D:$D,3))</f>
        <v/>
      </c>
      <c r="AD34" s="12" t="str">
        <f>IF($A34="","",SUMIFS('Nursing Charges'!$I:$I,'Nursing Charges'!$A:$A,$A34,'Nursing Charges'!$C:$C,3))</f>
        <v/>
      </c>
      <c r="AE34" s="12" t="str">
        <f>IF($A34="","",AB34+(AD34-SUMIFS('Nursing Charges'!$J:$J,'Nursing Charges'!$A:$A,$A34,'Nursing Charges'!$C:$C,3))+(AC34-SUMIFS('Consumable Usage'!$F:$F,'Consumable Usage'!$A:$A,$A34,'Consumable Usage'!$D:$D,3)))</f>
        <v/>
      </c>
      <c r="AF34" s="12" t="str">
        <f t="shared" si="7"/>
        <v/>
      </c>
      <c r="AG34" s="20"/>
      <c r="AH34" s="12" t="str">
        <f t="shared" si="8"/>
        <v/>
      </c>
      <c r="AI34" s="45" t="str">
        <f t="shared" si="9"/>
        <v/>
      </c>
      <c r="AJ34" s="15"/>
      <c r="AK34" s="15"/>
      <c r="AL34" s="20"/>
      <c r="AM34" s="12" t="str">
        <f>IF($A34="","",SUMIFS('Consumable Usage'!$E:$E,'Consumable Usage'!$A:$A,$A34,'Consumable Usage'!$D:$D,4))</f>
        <v/>
      </c>
      <c r="AN34" s="12" t="str">
        <f>IF($A34="","",SUMIFS('Nursing Charges'!$I:$I,'Nursing Charges'!$A:$A,$A34,'Nursing Charges'!$C:$C,4))</f>
        <v/>
      </c>
      <c r="AO34" s="12" t="str">
        <f>IF($A34="","",AL34+(AN34-SUMIFS('Nursing Charges'!$J:$J,'Nursing Charges'!$A:$A,$A34,'Nursing Charges'!$C:$C,4))+(AM34-SUMIFS('Consumable Usage'!$F:$F,'Consumable Usage'!$A:$A,$A34,'Consumable Usage'!$D:$D,4)))</f>
        <v/>
      </c>
      <c r="AP34" s="12" t="str">
        <f t="shared" si="10"/>
        <v/>
      </c>
      <c r="AQ34" s="20"/>
      <c r="AR34" s="12" t="str">
        <f t="shared" si="11"/>
        <v/>
      </c>
      <c r="AS34" s="45" t="str">
        <f t="shared" si="12"/>
        <v/>
      </c>
      <c r="AT34" s="15"/>
      <c r="AU34" s="15"/>
      <c r="AV34" s="20"/>
      <c r="AW34" s="12" t="str">
        <f>IF($A34="","",SUMIFS('Consumable Usage'!$E:$E,'Consumable Usage'!$A:$A,$A34,'Consumable Usage'!$D:$D,5))</f>
        <v/>
      </c>
      <c r="AX34" s="12" t="str">
        <f>IF($A34="","",SUMIFS('Nursing Charges'!$I:$I,'Nursing Charges'!$A:$A,$A34,'Nursing Charges'!$C:$C,5))</f>
        <v/>
      </c>
      <c r="AY34" s="12" t="str">
        <f>IF($A34="","",AV34+(AX34-SUMIFS('Nursing Charges'!$J:$J,'Nursing Charges'!$A:$A,$A34,'Nursing Charges'!$C:$C,5))+(AW34-SUMIFS('Consumable Usage'!$F:$F,'Consumable Usage'!$A:$A,$A34,'Consumable Usage'!$D:$D,5)))</f>
        <v/>
      </c>
      <c r="AZ34" s="12" t="str">
        <f t="shared" si="13"/>
        <v/>
      </c>
      <c r="BA34" s="20"/>
      <c r="BB34" s="12" t="str">
        <f t="shared" si="14"/>
        <v/>
      </c>
      <c r="BC34" s="45" t="str">
        <f t="shared" si="15"/>
        <v/>
      </c>
      <c r="BD34" s="15"/>
      <c r="BE34" s="15"/>
      <c r="BF34" s="20"/>
      <c r="BG34" s="12" t="str">
        <f>IF($A34="","",SUMIFS('Consumable Usage'!$E:$E,'Consumable Usage'!$A:$A,$A34,'Consumable Usage'!$D:$D,6))</f>
        <v/>
      </c>
      <c r="BH34" s="12" t="str">
        <f>IF($A34="","",SUMIFS('Nursing Charges'!$I:$I,'Nursing Charges'!$A:$A,$A34,'Nursing Charges'!$C:$C,6))</f>
        <v/>
      </c>
      <c r="BI34" s="12" t="str">
        <f>IF($A34="","",BF34+(BH34-SUMIFS('Nursing Charges'!$J:$J,'Nursing Charges'!$A:$A,$A34,'Nursing Charges'!$C:$C,6))+(BG34-SUMIFS('Consumable Usage'!$F:$F,'Consumable Usage'!$A:$A,$A34,'Consumable Usage'!$D:$D,6)))</f>
        <v/>
      </c>
      <c r="BJ34" s="12" t="str">
        <f t="shared" si="16"/>
        <v/>
      </c>
      <c r="BK34" s="20"/>
      <c r="BL34" s="12" t="str">
        <f t="shared" si="17"/>
        <v/>
      </c>
      <c r="BM34" s="45" t="str">
        <f t="shared" si="18"/>
        <v/>
      </c>
      <c r="BN34" s="15"/>
      <c r="BO34" s="15"/>
      <c r="BP34" s="20"/>
      <c r="BQ34" s="12" t="str">
        <f>IF($A34="","",SUMIFS('Consumable Usage'!$E:$E,'Consumable Usage'!$A:$A,$A34,'Consumable Usage'!$D:$D,7))</f>
        <v/>
      </c>
      <c r="BR34" s="12" t="str">
        <f>IF($A34="","",SUMIFS('Nursing Charges'!$I:$I,'Nursing Charges'!$A:$A,$A34,'Nursing Charges'!$C:$C,7))</f>
        <v/>
      </c>
      <c r="BS34" s="12" t="str">
        <f>IF($A34="","",BP34+(BR34-SUMIFS('Nursing Charges'!$J:$J,'Nursing Charges'!$A:$A,$A34,'Nursing Charges'!$C:$C,7))+(BQ34-SUMIFS('Consumable Usage'!$F:$F,'Consumable Usage'!$A:$A,$A34,'Consumable Usage'!$D:$D,7)))</f>
        <v/>
      </c>
      <c r="BT34" s="12" t="str">
        <f t="shared" si="19"/>
        <v/>
      </c>
      <c r="BU34" s="20"/>
      <c r="BV34" s="12" t="str">
        <f t="shared" si="20"/>
        <v/>
      </c>
      <c r="BW34" s="45" t="str">
        <f t="shared" si="21"/>
        <v/>
      </c>
      <c r="BX34" s="15"/>
      <c r="BY34" s="15"/>
      <c r="BZ34" s="20"/>
      <c r="CA34" s="12" t="str">
        <f>IF($A34="","",SUMIFS('Consumable Usage'!$E:$E,'Consumable Usage'!$A:$A,$A34,'Consumable Usage'!$D:$D,8))</f>
        <v/>
      </c>
      <c r="CB34" s="12" t="str">
        <f>IF($A34="","",SUMIFS('Nursing Charges'!$I:$I,'Nursing Charges'!$A:$A,$A34,'Nursing Charges'!$C:$C,8))</f>
        <v/>
      </c>
      <c r="CC34" s="12" t="str">
        <f>IF($A34="","",BZ34+(CB34-SUMIFS('Nursing Charges'!$J:$J,'Nursing Charges'!$A:$A,$A34,'Nursing Charges'!$C:$C,8))+(CA34-SUMIFS('Consumable Usage'!$F:$F,'Consumable Usage'!$A:$A,$A34,'Consumable Usage'!$D:$D,8)))</f>
        <v/>
      </c>
      <c r="CD34" s="12" t="str">
        <f t="shared" si="22"/>
        <v/>
      </c>
      <c r="CE34" s="20"/>
      <c r="CF34" s="12" t="str">
        <f t="shared" si="23"/>
        <v/>
      </c>
      <c r="CG34" s="45" t="str">
        <f t="shared" si="24"/>
        <v/>
      </c>
      <c r="CH34" s="15"/>
      <c r="CI34" s="15"/>
      <c r="CJ34" s="20"/>
      <c r="CK34" s="12" t="str">
        <f>IF($A34="","",SUMIFS('Consumable Usage'!$E:$E,'Consumable Usage'!$A:$A,$A34,'Consumable Usage'!$D:$D,9))</f>
        <v/>
      </c>
      <c r="CL34" s="12" t="str">
        <f>IF($A34="","",SUMIFS('Nursing Charges'!$I:$I,'Nursing Charges'!$A:$A,$A34,'Nursing Charges'!$C:$C,9))</f>
        <v/>
      </c>
      <c r="CM34" s="12" t="str">
        <f>IF($A34="","",CJ34+(CL34-SUMIFS('Nursing Charges'!$J:$J,'Nursing Charges'!$A:$A,$A34,'Nursing Charges'!$C:$C,9))+(CK34-SUMIFS('Consumable Usage'!$F:$F,'Consumable Usage'!$A:$A,$A34,'Consumable Usage'!$D:$D,9)))</f>
        <v/>
      </c>
      <c r="CN34" s="12" t="str">
        <f t="shared" si="25"/>
        <v/>
      </c>
      <c r="CO34" s="20"/>
      <c r="CP34" s="12" t="str">
        <f t="shared" si="26"/>
        <v/>
      </c>
      <c r="CQ34" s="45" t="str">
        <f t="shared" si="27"/>
        <v/>
      </c>
      <c r="CR34" s="15"/>
      <c r="CS34" s="15"/>
      <c r="CT34" s="20"/>
      <c r="CU34" s="12" t="str">
        <f>IF($A34="","",SUMIFS('Consumable Usage'!$E:$E,'Consumable Usage'!$A:$A,$A34,'Consumable Usage'!$D:$D,10))</f>
        <v/>
      </c>
      <c r="CV34" s="12" t="str">
        <f>IF($A34="","",SUMIFS('Nursing Charges'!$I:$I,'Nursing Charges'!$A:$A,$A34,'Nursing Charges'!$C:$C,10))</f>
        <v/>
      </c>
      <c r="CW34" s="12" t="str">
        <f>IF($A34="","",CT34+(CV34-SUMIFS('Nursing Charges'!$J:$J,'Nursing Charges'!$A:$A,$A34,'Nursing Charges'!$C:$C,10))+(CU34-SUMIFS('Consumable Usage'!$F:$F,'Consumable Usage'!$A:$A,$A34,'Consumable Usage'!$D:$D,10)))</f>
        <v/>
      </c>
      <c r="CX34" s="12" t="str">
        <f t="shared" si="28"/>
        <v/>
      </c>
      <c r="CY34" s="20"/>
      <c r="CZ34" s="12" t="str">
        <f t="shared" si="29"/>
        <v/>
      </c>
      <c r="DA34" s="45" t="str">
        <f t="shared" si="30"/>
        <v/>
      </c>
      <c r="DB34" s="15"/>
      <c r="DC34" s="15"/>
      <c r="DD34" s="20"/>
      <c r="DE34" s="12" t="str">
        <f>IF($A34="","",SUMIFS('Consumable Usage'!$E:$E,'Consumable Usage'!$A:$A,$A34,'Consumable Usage'!$D:$D,11))</f>
        <v/>
      </c>
      <c r="DF34" s="12" t="str">
        <f>IF($A34="","",SUMIFS('Nursing Charges'!$I:$I,'Nursing Charges'!$A:$A,$A34,'Nursing Charges'!$C:$C,11))</f>
        <v/>
      </c>
      <c r="DG34" s="12" t="str">
        <f>IF($A34="","",DD34+(DF34-SUMIFS('Nursing Charges'!$J:$J,'Nursing Charges'!$A:$A,$A34,'Nursing Charges'!$C:$C,11))+(DE34-SUMIFS('Consumable Usage'!$F:$F,'Consumable Usage'!$A:$A,$A34,'Consumable Usage'!$D:$D,11)))</f>
        <v/>
      </c>
      <c r="DH34" s="12" t="str">
        <f t="shared" si="31"/>
        <v/>
      </c>
      <c r="DI34" s="20"/>
      <c r="DJ34" s="12" t="str">
        <f t="shared" si="32"/>
        <v/>
      </c>
      <c r="DK34" s="45" t="str">
        <f t="shared" si="33"/>
        <v/>
      </c>
      <c r="DL34" s="15"/>
      <c r="DM34" s="15"/>
      <c r="DN34" s="20"/>
      <c r="DO34" s="12" t="str">
        <f>IF($A34="","",SUMIFS('Consumable Usage'!$E:$E,'Consumable Usage'!$A:$A,$A34,'Consumable Usage'!$D:$D,12))</f>
        <v/>
      </c>
      <c r="DP34" s="12" t="str">
        <f>IF($A34="","",SUMIFS('Nursing Charges'!$I:$I,'Nursing Charges'!$A:$A,$A34,'Nursing Charges'!$C:$C,12))</f>
        <v/>
      </c>
      <c r="DQ34" s="12" t="str">
        <f>IF($A34="","",DN34+(DP34-SUMIFS('Nursing Charges'!$J:$J,'Nursing Charges'!$A:$A,$A34,'Nursing Charges'!$C:$C,12))+(DO34-SUMIFS('Consumable Usage'!$F:$F,'Consumable Usage'!$A:$A,$A34,'Consumable Usage'!$D:$D,12)))</f>
        <v/>
      </c>
      <c r="DR34" s="12" t="str">
        <f t="shared" si="34"/>
        <v/>
      </c>
      <c r="DS34" s="20"/>
      <c r="DT34" s="12" t="str">
        <f t="shared" si="35"/>
        <v/>
      </c>
      <c r="DU34" s="45" t="str">
        <f t="shared" si="36"/>
        <v/>
      </c>
      <c r="DV34" s="15"/>
      <c r="DW34" s="15"/>
      <c r="DX34" s="20"/>
      <c r="DY34" s="12" t="str">
        <f>IF($A34="","",SUMIFS('Consumable Usage'!$E:$E,'Consumable Usage'!$A:$A,$A34,'Consumable Usage'!$D:$D,13))</f>
        <v/>
      </c>
      <c r="DZ34" s="12" t="str">
        <f>IF($A34="","",SUMIFS('Nursing Charges'!$I:$I,'Nursing Charges'!$A:$A,$A34,'Nursing Charges'!$C:$C,13))</f>
        <v/>
      </c>
      <c r="EA34" s="12" t="str">
        <f>IF($A34="","",DX34+(DZ34-SUMIFS('Nursing Charges'!$J:$J,'Nursing Charges'!$A:$A,$A34,'Nursing Charges'!$C:$C,13))+(DY34-SUMIFS('Consumable Usage'!$F:$F,'Consumable Usage'!$A:$A,$A34,'Consumable Usage'!$D:$D,13)))</f>
        <v/>
      </c>
      <c r="EB34" s="12" t="str">
        <f t="shared" si="37"/>
        <v/>
      </c>
      <c r="EC34" s="20"/>
      <c r="ED34" s="12" t="str">
        <f t="shared" si="38"/>
        <v/>
      </c>
      <c r="EE34" s="45" t="str">
        <f t="shared" si="39"/>
        <v/>
      </c>
      <c r="EF34" s="15"/>
      <c r="EG34" s="15"/>
      <c r="EH34" s="20"/>
      <c r="EI34" s="12" t="str">
        <f>IF($A34="","",SUMIFS('Consumable Usage'!$E:$E,'Consumable Usage'!$A:$A,$A34,'Consumable Usage'!$D:$D,14))</f>
        <v/>
      </c>
      <c r="EJ34" s="12" t="str">
        <f>IF($A34="","",SUMIFS('Nursing Charges'!$I:$I,'Nursing Charges'!$A:$A,$A34,'Nursing Charges'!$C:$C,14))</f>
        <v/>
      </c>
      <c r="EK34" s="12" t="str">
        <f>IF($A34="","",EH34+(EJ34-SUMIFS('Nursing Charges'!$J:$J,'Nursing Charges'!$A:$A,$A34,'Nursing Charges'!$C:$C,14))+(EI34-SUMIFS('Consumable Usage'!$F:$F,'Consumable Usage'!$A:$A,$A34,'Consumable Usage'!$D:$D,14)))</f>
        <v/>
      </c>
      <c r="EL34" s="12" t="str">
        <f t="shared" si="40"/>
        <v/>
      </c>
      <c r="EM34" s="20"/>
      <c r="EN34" s="12" t="str">
        <f t="shared" si="41"/>
        <v/>
      </c>
      <c r="EO34" s="45" t="str">
        <f t="shared" si="42"/>
        <v/>
      </c>
      <c r="EP34" s="15"/>
      <c r="EQ34" s="15"/>
      <c r="ER34" s="20"/>
      <c r="ES34" s="12" t="str">
        <f>IF($A34="","",SUMIFS('Consumable Usage'!$E:$E,'Consumable Usage'!$A:$A,$A34,'Consumable Usage'!$D:$D,15))</f>
        <v/>
      </c>
      <c r="ET34" s="12" t="str">
        <f>IF($A34="","",SUMIFS('Nursing Charges'!$I:$I,'Nursing Charges'!$A:$A,$A34,'Nursing Charges'!$C:$C,15))</f>
        <v/>
      </c>
      <c r="EU34" s="12" t="str">
        <f>IF($A34="","",ER34+(ET34-SUMIFS('Nursing Charges'!$J:$J,'Nursing Charges'!$A:$A,$A34,'Nursing Charges'!$C:$C,15))+(ES34-SUMIFS('Consumable Usage'!$F:$F,'Consumable Usage'!$A:$A,$A34,'Consumable Usage'!$D:$D,15)))</f>
        <v/>
      </c>
      <c r="EV34" s="12" t="str">
        <f t="shared" si="43"/>
        <v/>
      </c>
      <c r="EW34" s="20"/>
      <c r="EX34" s="12" t="str">
        <f t="shared" si="44"/>
        <v/>
      </c>
      <c r="EY34" s="45" t="str">
        <f t="shared" si="45"/>
        <v/>
      </c>
      <c r="EZ34" s="15"/>
      <c r="FA34" s="15"/>
      <c r="FB34" s="20"/>
      <c r="FC34" s="12" t="str">
        <f>IF($A34="","",SUMIFS('Consumable Usage'!$E:$E,'Consumable Usage'!$A:$A,$A34,'Consumable Usage'!$D:$D,16))</f>
        <v/>
      </c>
      <c r="FD34" s="12" t="str">
        <f>IF($A34="","",SUMIFS('Nursing Charges'!$I:$I,'Nursing Charges'!$A:$A,$A34,'Nursing Charges'!$C:$C,16))</f>
        <v/>
      </c>
      <c r="FE34" s="12" t="str">
        <f>IF($A34="","",FB34+(FD34-SUMIFS('Nursing Charges'!$J:$J,'Nursing Charges'!$A:$A,$A34,'Nursing Charges'!$C:$C,16))+(FC34-SUMIFS('Consumable Usage'!$F:$F,'Consumable Usage'!$A:$A,$A34,'Consumable Usage'!$D:$D,16)))</f>
        <v/>
      </c>
      <c r="FF34" s="12" t="str">
        <f t="shared" si="46"/>
        <v/>
      </c>
      <c r="FG34" s="20"/>
      <c r="FH34" s="12" t="str">
        <f t="shared" si="47"/>
        <v/>
      </c>
      <c r="FI34" s="45" t="str">
        <f t="shared" si="48"/>
        <v/>
      </c>
      <c r="FJ34" s="53"/>
      <c r="FK34" s="53"/>
      <c r="FL34" s="63"/>
      <c r="FM34" s="63" t="str">
        <f>IF($A34="","",SUMIFS('Consumable Usage'!$E:$E,'Consumable Usage'!$A:$A,$A34,'Consumable Usage'!$D:$D,16))</f>
        <v/>
      </c>
      <c r="FN34" s="63" t="str">
        <f>IF($A34="","",SUMIFS('Nursing Charges'!$I:$I,'Nursing Charges'!$A:$A,$A34,'Nursing Charges'!$C:$C,16))</f>
        <v/>
      </c>
      <c r="FO34" s="63" t="str">
        <f>IF($A34="","",FL34+(FN34-SUMIFS('Nursing Charges'!$J:$J,'Nursing Charges'!$A:$A,$A34,'Nursing Charges'!$C:$C,16))+(FM34-SUMIFS('Consumable Usage'!$F:$F,'Consumable Usage'!$A:$A,$A34,'Consumable Usage'!$D:$D,16)))</f>
        <v/>
      </c>
      <c r="FP34" s="63" t="str">
        <f t="shared" si="49"/>
        <v/>
      </c>
      <c r="FQ34" s="63"/>
      <c r="FR34" s="63" t="str">
        <f t="shared" si="50"/>
        <v/>
      </c>
      <c r="FS34" s="53" t="str">
        <f t="shared" si="51"/>
        <v/>
      </c>
    </row>
    <row r="35" ht="15.0" customHeight="1">
      <c r="A35" s="15"/>
      <c r="B35" s="15"/>
      <c r="C35" s="15"/>
      <c r="D35" s="15"/>
      <c r="E35" s="15"/>
      <c r="F35" s="15"/>
      <c r="G35" s="15"/>
      <c r="H35" s="20"/>
      <c r="I35" s="12" t="str">
        <f>IF($A35="","",SUMIFS('Consumable Usage'!$E:$E,'Consumable Usage'!$A:$A,$A35,'Consumable Usage'!$D:$D,1))</f>
        <v/>
      </c>
      <c r="J35" s="12" t="str">
        <f>IF($A35="","",SUMIFS('Nursing Charges'!$I:$I,'Nursing Charges'!$A:$A,$A35,'Nursing Charges'!$C:$C,1))</f>
        <v/>
      </c>
      <c r="K35" s="12" t="str">
        <f>IF($A35="","",H35+(J35-SUMIFS('Nursing Charges'!$J:$J,'Nursing Charges'!$A:$A,$A35,'Nursing Charges'!$C:$C,1))+(I35-SUMIFS('Consumable Usage'!$F:$F,'Consumable Usage'!$A:$A,$A35,'Consumable Usage'!$D:$D,1)))</f>
        <v/>
      </c>
      <c r="L35" s="12" t="str">
        <f t="shared" si="1"/>
        <v/>
      </c>
      <c r="M35" s="20"/>
      <c r="N35" s="12" t="str">
        <f t="shared" si="2"/>
        <v/>
      </c>
      <c r="O35" s="45" t="str">
        <f t="shared" si="3"/>
        <v/>
      </c>
      <c r="P35" s="15"/>
      <c r="Q35" s="15"/>
      <c r="R35" s="20"/>
      <c r="S35" s="12" t="str">
        <f>IF($A35="","",SUMIFS('Consumable Usage'!$E:$E,'Consumable Usage'!$A:$A,$A35,'Consumable Usage'!$D:$D,2))</f>
        <v/>
      </c>
      <c r="T35" s="12" t="str">
        <f>IF($A35="","",SUMIFS('Nursing Charges'!$I:$I,'Nursing Charges'!$A:$A,$A35,'Nursing Charges'!$C:$C,2))</f>
        <v/>
      </c>
      <c r="U35" s="12" t="str">
        <f>IF($A35="","",R35+(T35-SUMIFS('Nursing Charges'!$J:$J,'Nursing Charges'!$A:$A,$A35,'Nursing Charges'!$C:$C,2))+(S35-SUMIFS('Consumable Usage'!$F:$F,'Consumable Usage'!$A:$A,$A35,'Consumable Usage'!$D:$D,2)))</f>
        <v/>
      </c>
      <c r="V35" s="12" t="str">
        <f t="shared" si="4"/>
        <v/>
      </c>
      <c r="W35" s="20"/>
      <c r="X35" s="12" t="str">
        <f t="shared" si="5"/>
        <v/>
      </c>
      <c r="Y35" s="45" t="str">
        <f t="shared" si="6"/>
        <v/>
      </c>
      <c r="Z35" s="15"/>
      <c r="AA35" s="15"/>
      <c r="AB35" s="20"/>
      <c r="AC35" s="12" t="str">
        <f>IF($A35="","",SUMIFS('Consumable Usage'!$E:$E,'Consumable Usage'!$A:$A,$A35,'Consumable Usage'!$D:$D,3))</f>
        <v/>
      </c>
      <c r="AD35" s="12" t="str">
        <f>IF($A35="","",SUMIFS('Nursing Charges'!$I:$I,'Nursing Charges'!$A:$A,$A35,'Nursing Charges'!$C:$C,3))</f>
        <v/>
      </c>
      <c r="AE35" s="12" t="str">
        <f>IF($A35="","",AB35+(AD35-SUMIFS('Nursing Charges'!$J:$J,'Nursing Charges'!$A:$A,$A35,'Nursing Charges'!$C:$C,3))+(AC35-SUMIFS('Consumable Usage'!$F:$F,'Consumable Usage'!$A:$A,$A35,'Consumable Usage'!$D:$D,3)))</f>
        <v/>
      </c>
      <c r="AF35" s="12" t="str">
        <f t="shared" si="7"/>
        <v/>
      </c>
      <c r="AG35" s="20"/>
      <c r="AH35" s="12" t="str">
        <f t="shared" si="8"/>
        <v/>
      </c>
      <c r="AI35" s="45" t="str">
        <f t="shared" si="9"/>
        <v/>
      </c>
      <c r="AJ35" s="15"/>
      <c r="AK35" s="15"/>
      <c r="AL35" s="20"/>
      <c r="AM35" s="12" t="str">
        <f>IF($A35="","",SUMIFS('Consumable Usage'!$E:$E,'Consumable Usage'!$A:$A,$A35,'Consumable Usage'!$D:$D,4))</f>
        <v/>
      </c>
      <c r="AN35" s="12" t="str">
        <f>IF($A35="","",SUMIFS('Nursing Charges'!$I:$I,'Nursing Charges'!$A:$A,$A35,'Nursing Charges'!$C:$C,4))</f>
        <v/>
      </c>
      <c r="AO35" s="12" t="str">
        <f>IF($A35="","",AL35+(AN35-SUMIFS('Nursing Charges'!$J:$J,'Nursing Charges'!$A:$A,$A35,'Nursing Charges'!$C:$C,4))+(AM35-SUMIFS('Consumable Usage'!$F:$F,'Consumable Usage'!$A:$A,$A35,'Consumable Usage'!$D:$D,4)))</f>
        <v/>
      </c>
      <c r="AP35" s="12" t="str">
        <f t="shared" si="10"/>
        <v/>
      </c>
      <c r="AQ35" s="20"/>
      <c r="AR35" s="12" t="str">
        <f t="shared" si="11"/>
        <v/>
      </c>
      <c r="AS35" s="45" t="str">
        <f t="shared" si="12"/>
        <v/>
      </c>
      <c r="AT35" s="15"/>
      <c r="AU35" s="15"/>
      <c r="AV35" s="20"/>
      <c r="AW35" s="12" t="str">
        <f>IF($A35="","",SUMIFS('Consumable Usage'!$E:$E,'Consumable Usage'!$A:$A,$A35,'Consumable Usage'!$D:$D,5))</f>
        <v/>
      </c>
      <c r="AX35" s="12" t="str">
        <f>IF($A35="","",SUMIFS('Nursing Charges'!$I:$I,'Nursing Charges'!$A:$A,$A35,'Nursing Charges'!$C:$C,5))</f>
        <v/>
      </c>
      <c r="AY35" s="12" t="str">
        <f>IF($A35="","",AV35+(AX35-SUMIFS('Nursing Charges'!$J:$J,'Nursing Charges'!$A:$A,$A35,'Nursing Charges'!$C:$C,5))+(AW35-SUMIFS('Consumable Usage'!$F:$F,'Consumable Usage'!$A:$A,$A35,'Consumable Usage'!$D:$D,5)))</f>
        <v/>
      </c>
      <c r="AZ35" s="12" t="str">
        <f t="shared" si="13"/>
        <v/>
      </c>
      <c r="BA35" s="20"/>
      <c r="BB35" s="12" t="str">
        <f t="shared" si="14"/>
        <v/>
      </c>
      <c r="BC35" s="45" t="str">
        <f t="shared" si="15"/>
        <v/>
      </c>
      <c r="BD35" s="15"/>
      <c r="BE35" s="15"/>
      <c r="BF35" s="20"/>
      <c r="BG35" s="12" t="str">
        <f>IF($A35="","",SUMIFS('Consumable Usage'!$E:$E,'Consumable Usage'!$A:$A,$A35,'Consumable Usage'!$D:$D,6))</f>
        <v/>
      </c>
      <c r="BH35" s="12" t="str">
        <f>IF($A35="","",SUMIFS('Nursing Charges'!$I:$I,'Nursing Charges'!$A:$A,$A35,'Nursing Charges'!$C:$C,6))</f>
        <v/>
      </c>
      <c r="BI35" s="12" t="str">
        <f>IF($A35="","",BF35+(BH35-SUMIFS('Nursing Charges'!$J:$J,'Nursing Charges'!$A:$A,$A35,'Nursing Charges'!$C:$C,6))+(BG35-SUMIFS('Consumable Usage'!$F:$F,'Consumable Usage'!$A:$A,$A35,'Consumable Usage'!$D:$D,6)))</f>
        <v/>
      </c>
      <c r="BJ35" s="12" t="str">
        <f t="shared" si="16"/>
        <v/>
      </c>
      <c r="BK35" s="20"/>
      <c r="BL35" s="12" t="str">
        <f t="shared" si="17"/>
        <v/>
      </c>
      <c r="BM35" s="45" t="str">
        <f t="shared" si="18"/>
        <v/>
      </c>
      <c r="BN35" s="15"/>
      <c r="BO35" s="15"/>
      <c r="BP35" s="20"/>
      <c r="BQ35" s="12" t="str">
        <f>IF($A35="","",SUMIFS('Consumable Usage'!$E:$E,'Consumable Usage'!$A:$A,$A35,'Consumable Usage'!$D:$D,7))</f>
        <v/>
      </c>
      <c r="BR35" s="12" t="str">
        <f>IF($A35="","",SUMIFS('Nursing Charges'!$I:$I,'Nursing Charges'!$A:$A,$A35,'Nursing Charges'!$C:$C,7))</f>
        <v/>
      </c>
      <c r="BS35" s="12" t="str">
        <f>IF($A35="","",BP35+(BR35-SUMIFS('Nursing Charges'!$J:$J,'Nursing Charges'!$A:$A,$A35,'Nursing Charges'!$C:$C,7))+(BQ35-SUMIFS('Consumable Usage'!$F:$F,'Consumable Usage'!$A:$A,$A35,'Consumable Usage'!$D:$D,7)))</f>
        <v/>
      </c>
      <c r="BT35" s="12" t="str">
        <f t="shared" si="19"/>
        <v/>
      </c>
      <c r="BU35" s="20"/>
      <c r="BV35" s="12" t="str">
        <f t="shared" si="20"/>
        <v/>
      </c>
      <c r="BW35" s="45" t="str">
        <f t="shared" si="21"/>
        <v/>
      </c>
      <c r="BX35" s="15"/>
      <c r="BY35" s="15"/>
      <c r="BZ35" s="20"/>
      <c r="CA35" s="12" t="str">
        <f>IF($A35="","",SUMIFS('Consumable Usage'!$E:$E,'Consumable Usage'!$A:$A,$A35,'Consumable Usage'!$D:$D,8))</f>
        <v/>
      </c>
      <c r="CB35" s="12" t="str">
        <f>IF($A35="","",SUMIFS('Nursing Charges'!$I:$I,'Nursing Charges'!$A:$A,$A35,'Nursing Charges'!$C:$C,8))</f>
        <v/>
      </c>
      <c r="CC35" s="12" t="str">
        <f>IF($A35="","",BZ35+(CB35-SUMIFS('Nursing Charges'!$J:$J,'Nursing Charges'!$A:$A,$A35,'Nursing Charges'!$C:$C,8))+(CA35-SUMIFS('Consumable Usage'!$F:$F,'Consumable Usage'!$A:$A,$A35,'Consumable Usage'!$D:$D,8)))</f>
        <v/>
      </c>
      <c r="CD35" s="12" t="str">
        <f t="shared" si="22"/>
        <v/>
      </c>
      <c r="CE35" s="20"/>
      <c r="CF35" s="12" t="str">
        <f t="shared" si="23"/>
        <v/>
      </c>
      <c r="CG35" s="45" t="str">
        <f t="shared" si="24"/>
        <v/>
      </c>
      <c r="CH35" s="15"/>
      <c r="CI35" s="15"/>
      <c r="CJ35" s="20"/>
      <c r="CK35" s="12" t="str">
        <f>IF($A35="","",SUMIFS('Consumable Usage'!$E:$E,'Consumable Usage'!$A:$A,$A35,'Consumable Usage'!$D:$D,9))</f>
        <v/>
      </c>
      <c r="CL35" s="12" t="str">
        <f>IF($A35="","",SUMIFS('Nursing Charges'!$I:$I,'Nursing Charges'!$A:$A,$A35,'Nursing Charges'!$C:$C,9))</f>
        <v/>
      </c>
      <c r="CM35" s="12" t="str">
        <f>IF($A35="","",CJ35+(CL35-SUMIFS('Nursing Charges'!$J:$J,'Nursing Charges'!$A:$A,$A35,'Nursing Charges'!$C:$C,9))+(CK35-SUMIFS('Consumable Usage'!$F:$F,'Consumable Usage'!$A:$A,$A35,'Consumable Usage'!$D:$D,9)))</f>
        <v/>
      </c>
      <c r="CN35" s="12" t="str">
        <f t="shared" si="25"/>
        <v/>
      </c>
      <c r="CO35" s="20"/>
      <c r="CP35" s="12" t="str">
        <f t="shared" si="26"/>
        <v/>
      </c>
      <c r="CQ35" s="45" t="str">
        <f t="shared" si="27"/>
        <v/>
      </c>
      <c r="CR35" s="15"/>
      <c r="CS35" s="15"/>
      <c r="CT35" s="20"/>
      <c r="CU35" s="12" t="str">
        <f>IF($A35="","",SUMIFS('Consumable Usage'!$E:$E,'Consumable Usage'!$A:$A,$A35,'Consumable Usage'!$D:$D,10))</f>
        <v/>
      </c>
      <c r="CV35" s="12" t="str">
        <f>IF($A35="","",SUMIFS('Nursing Charges'!$I:$I,'Nursing Charges'!$A:$A,$A35,'Nursing Charges'!$C:$C,10))</f>
        <v/>
      </c>
      <c r="CW35" s="12" t="str">
        <f>IF($A35="","",CT35+(CV35-SUMIFS('Nursing Charges'!$J:$J,'Nursing Charges'!$A:$A,$A35,'Nursing Charges'!$C:$C,10))+(CU35-SUMIFS('Consumable Usage'!$F:$F,'Consumable Usage'!$A:$A,$A35,'Consumable Usage'!$D:$D,10)))</f>
        <v/>
      </c>
      <c r="CX35" s="12" t="str">
        <f t="shared" si="28"/>
        <v/>
      </c>
      <c r="CY35" s="20"/>
      <c r="CZ35" s="12" t="str">
        <f t="shared" si="29"/>
        <v/>
      </c>
      <c r="DA35" s="45" t="str">
        <f t="shared" si="30"/>
        <v/>
      </c>
      <c r="DB35" s="15"/>
      <c r="DC35" s="15"/>
      <c r="DD35" s="20"/>
      <c r="DE35" s="12" t="str">
        <f>IF($A35="","",SUMIFS('Consumable Usage'!$E:$E,'Consumable Usage'!$A:$A,$A35,'Consumable Usage'!$D:$D,11))</f>
        <v/>
      </c>
      <c r="DF35" s="12" t="str">
        <f>IF($A35="","",SUMIFS('Nursing Charges'!$I:$I,'Nursing Charges'!$A:$A,$A35,'Nursing Charges'!$C:$C,11))</f>
        <v/>
      </c>
      <c r="DG35" s="12" t="str">
        <f>IF($A35="","",DD35+(DF35-SUMIFS('Nursing Charges'!$J:$J,'Nursing Charges'!$A:$A,$A35,'Nursing Charges'!$C:$C,11))+(DE35-SUMIFS('Consumable Usage'!$F:$F,'Consumable Usage'!$A:$A,$A35,'Consumable Usage'!$D:$D,11)))</f>
        <v/>
      </c>
      <c r="DH35" s="12" t="str">
        <f t="shared" si="31"/>
        <v/>
      </c>
      <c r="DI35" s="20"/>
      <c r="DJ35" s="12" t="str">
        <f t="shared" si="32"/>
        <v/>
      </c>
      <c r="DK35" s="45" t="str">
        <f t="shared" si="33"/>
        <v/>
      </c>
      <c r="DL35" s="15"/>
      <c r="DM35" s="15"/>
      <c r="DN35" s="20"/>
      <c r="DO35" s="12" t="str">
        <f>IF($A35="","",SUMIFS('Consumable Usage'!$E:$E,'Consumable Usage'!$A:$A,$A35,'Consumable Usage'!$D:$D,12))</f>
        <v/>
      </c>
      <c r="DP35" s="12" t="str">
        <f>IF($A35="","",SUMIFS('Nursing Charges'!$I:$I,'Nursing Charges'!$A:$A,$A35,'Nursing Charges'!$C:$C,12))</f>
        <v/>
      </c>
      <c r="DQ35" s="12" t="str">
        <f>IF($A35="","",DN35+(DP35-SUMIFS('Nursing Charges'!$J:$J,'Nursing Charges'!$A:$A,$A35,'Nursing Charges'!$C:$C,12))+(DO35-SUMIFS('Consumable Usage'!$F:$F,'Consumable Usage'!$A:$A,$A35,'Consumable Usage'!$D:$D,12)))</f>
        <v/>
      </c>
      <c r="DR35" s="12" t="str">
        <f t="shared" si="34"/>
        <v/>
      </c>
      <c r="DS35" s="20"/>
      <c r="DT35" s="12" t="str">
        <f t="shared" si="35"/>
        <v/>
      </c>
      <c r="DU35" s="45" t="str">
        <f t="shared" si="36"/>
        <v/>
      </c>
      <c r="DV35" s="15"/>
      <c r="DW35" s="15"/>
      <c r="DX35" s="20"/>
      <c r="DY35" s="12" t="str">
        <f>IF($A35="","",SUMIFS('Consumable Usage'!$E:$E,'Consumable Usage'!$A:$A,$A35,'Consumable Usage'!$D:$D,13))</f>
        <v/>
      </c>
      <c r="DZ35" s="12" t="str">
        <f>IF($A35="","",SUMIFS('Nursing Charges'!$I:$I,'Nursing Charges'!$A:$A,$A35,'Nursing Charges'!$C:$C,13))</f>
        <v/>
      </c>
      <c r="EA35" s="12" t="str">
        <f>IF($A35="","",DX35+(DZ35-SUMIFS('Nursing Charges'!$J:$J,'Nursing Charges'!$A:$A,$A35,'Nursing Charges'!$C:$C,13))+(DY35-SUMIFS('Consumable Usage'!$F:$F,'Consumable Usage'!$A:$A,$A35,'Consumable Usage'!$D:$D,13)))</f>
        <v/>
      </c>
      <c r="EB35" s="12" t="str">
        <f t="shared" si="37"/>
        <v/>
      </c>
      <c r="EC35" s="20"/>
      <c r="ED35" s="12" t="str">
        <f t="shared" si="38"/>
        <v/>
      </c>
      <c r="EE35" s="45" t="str">
        <f t="shared" si="39"/>
        <v/>
      </c>
      <c r="EF35" s="15"/>
      <c r="EG35" s="15"/>
      <c r="EH35" s="20"/>
      <c r="EI35" s="12" t="str">
        <f>IF($A35="","",SUMIFS('Consumable Usage'!$E:$E,'Consumable Usage'!$A:$A,$A35,'Consumable Usage'!$D:$D,14))</f>
        <v/>
      </c>
      <c r="EJ35" s="12" t="str">
        <f>IF($A35="","",SUMIFS('Nursing Charges'!$I:$I,'Nursing Charges'!$A:$A,$A35,'Nursing Charges'!$C:$C,14))</f>
        <v/>
      </c>
      <c r="EK35" s="12" t="str">
        <f>IF($A35="","",EH35+(EJ35-SUMIFS('Nursing Charges'!$J:$J,'Nursing Charges'!$A:$A,$A35,'Nursing Charges'!$C:$C,14))+(EI35-SUMIFS('Consumable Usage'!$F:$F,'Consumable Usage'!$A:$A,$A35,'Consumable Usage'!$D:$D,14)))</f>
        <v/>
      </c>
      <c r="EL35" s="12" t="str">
        <f t="shared" si="40"/>
        <v/>
      </c>
      <c r="EM35" s="20"/>
      <c r="EN35" s="12" t="str">
        <f t="shared" si="41"/>
        <v/>
      </c>
      <c r="EO35" s="45" t="str">
        <f t="shared" si="42"/>
        <v/>
      </c>
      <c r="EP35" s="15"/>
      <c r="EQ35" s="15"/>
      <c r="ER35" s="20"/>
      <c r="ES35" s="12" t="str">
        <f>IF($A35="","",SUMIFS('Consumable Usage'!$E:$E,'Consumable Usage'!$A:$A,$A35,'Consumable Usage'!$D:$D,15))</f>
        <v/>
      </c>
      <c r="ET35" s="12" t="str">
        <f>IF($A35="","",SUMIFS('Nursing Charges'!$I:$I,'Nursing Charges'!$A:$A,$A35,'Nursing Charges'!$C:$C,15))</f>
        <v/>
      </c>
      <c r="EU35" s="12" t="str">
        <f>IF($A35="","",ER35+(ET35-SUMIFS('Nursing Charges'!$J:$J,'Nursing Charges'!$A:$A,$A35,'Nursing Charges'!$C:$C,15))+(ES35-SUMIFS('Consumable Usage'!$F:$F,'Consumable Usage'!$A:$A,$A35,'Consumable Usage'!$D:$D,15)))</f>
        <v/>
      </c>
      <c r="EV35" s="12" t="str">
        <f t="shared" si="43"/>
        <v/>
      </c>
      <c r="EW35" s="20"/>
      <c r="EX35" s="12" t="str">
        <f t="shared" si="44"/>
        <v/>
      </c>
      <c r="EY35" s="45" t="str">
        <f t="shared" si="45"/>
        <v/>
      </c>
      <c r="EZ35" s="15"/>
      <c r="FA35" s="15"/>
      <c r="FB35" s="20"/>
      <c r="FC35" s="12" t="str">
        <f>IF($A35="","",SUMIFS('Consumable Usage'!$E:$E,'Consumable Usage'!$A:$A,$A35,'Consumable Usage'!$D:$D,16))</f>
        <v/>
      </c>
      <c r="FD35" s="12" t="str">
        <f>IF($A35="","",SUMIFS('Nursing Charges'!$I:$I,'Nursing Charges'!$A:$A,$A35,'Nursing Charges'!$C:$C,16))</f>
        <v/>
      </c>
      <c r="FE35" s="12" t="str">
        <f>IF($A35="","",FB35+(FD35-SUMIFS('Nursing Charges'!$J:$J,'Nursing Charges'!$A:$A,$A35,'Nursing Charges'!$C:$C,16))+(FC35-SUMIFS('Consumable Usage'!$F:$F,'Consumable Usage'!$A:$A,$A35,'Consumable Usage'!$D:$D,16)))</f>
        <v/>
      </c>
      <c r="FF35" s="12" t="str">
        <f t="shared" si="46"/>
        <v/>
      </c>
      <c r="FG35" s="20"/>
      <c r="FH35" s="12" t="str">
        <f t="shared" si="47"/>
        <v/>
      </c>
      <c r="FI35" s="45" t="str">
        <f t="shared" si="48"/>
        <v/>
      </c>
      <c r="FJ35" s="53"/>
      <c r="FK35" s="53"/>
      <c r="FL35" s="63"/>
      <c r="FM35" s="63" t="str">
        <f>IF($A35="","",SUMIFS('Consumable Usage'!$E:$E,'Consumable Usage'!$A:$A,$A35,'Consumable Usage'!$D:$D,16))</f>
        <v/>
      </c>
      <c r="FN35" s="63" t="str">
        <f>IF($A35="","",SUMIFS('Nursing Charges'!$I:$I,'Nursing Charges'!$A:$A,$A35,'Nursing Charges'!$C:$C,16))</f>
        <v/>
      </c>
      <c r="FO35" s="63" t="str">
        <f>IF($A35="","",FL35+(FN35-SUMIFS('Nursing Charges'!$J:$J,'Nursing Charges'!$A:$A,$A35,'Nursing Charges'!$C:$C,16))+(FM35-SUMIFS('Consumable Usage'!$F:$F,'Consumable Usage'!$A:$A,$A35,'Consumable Usage'!$D:$D,16)))</f>
        <v/>
      </c>
      <c r="FP35" s="63" t="str">
        <f t="shared" si="49"/>
        <v/>
      </c>
      <c r="FQ35" s="63"/>
      <c r="FR35" s="63" t="str">
        <f t="shared" si="50"/>
        <v/>
      </c>
      <c r="FS35" s="53" t="str">
        <f t="shared" si="51"/>
        <v/>
      </c>
    </row>
    <row r="36" ht="15.0" customHeight="1">
      <c r="A36" s="15"/>
      <c r="B36" s="15"/>
      <c r="C36" s="15"/>
      <c r="D36" s="15"/>
      <c r="E36" s="15"/>
      <c r="F36" s="15"/>
      <c r="G36" s="15"/>
      <c r="H36" s="20"/>
      <c r="I36" s="12" t="str">
        <f>IF($A36="","",SUMIFS('Consumable Usage'!$E:$E,'Consumable Usage'!$A:$A,$A36,'Consumable Usage'!$D:$D,1))</f>
        <v/>
      </c>
      <c r="J36" s="12" t="str">
        <f>IF($A36="","",SUMIFS('Nursing Charges'!$I:$I,'Nursing Charges'!$A:$A,$A36,'Nursing Charges'!$C:$C,1))</f>
        <v/>
      </c>
      <c r="K36" s="12" t="str">
        <f>IF($A36="","",H36+(J36-SUMIFS('Nursing Charges'!$J:$J,'Nursing Charges'!$A:$A,$A36,'Nursing Charges'!$C:$C,1))+(I36-SUMIFS('Consumable Usage'!$F:$F,'Consumable Usage'!$A:$A,$A36,'Consumable Usage'!$D:$D,1)))</f>
        <v/>
      </c>
      <c r="L36" s="12" t="str">
        <f t="shared" si="1"/>
        <v/>
      </c>
      <c r="M36" s="20"/>
      <c r="N36" s="12" t="str">
        <f t="shared" si="2"/>
        <v/>
      </c>
      <c r="O36" s="45" t="str">
        <f t="shared" si="3"/>
        <v/>
      </c>
      <c r="P36" s="15"/>
      <c r="Q36" s="15"/>
      <c r="R36" s="20"/>
      <c r="S36" s="12" t="str">
        <f>IF($A36="","",SUMIFS('Consumable Usage'!$E:$E,'Consumable Usage'!$A:$A,$A36,'Consumable Usage'!$D:$D,2))</f>
        <v/>
      </c>
      <c r="T36" s="12" t="str">
        <f>IF($A36="","",SUMIFS('Nursing Charges'!$I:$I,'Nursing Charges'!$A:$A,$A36,'Nursing Charges'!$C:$C,2))</f>
        <v/>
      </c>
      <c r="U36" s="12" t="str">
        <f>IF($A36="","",R36+(T36-SUMIFS('Nursing Charges'!$J:$J,'Nursing Charges'!$A:$A,$A36,'Nursing Charges'!$C:$C,2))+(S36-SUMIFS('Consumable Usage'!$F:$F,'Consumable Usage'!$A:$A,$A36,'Consumable Usage'!$D:$D,2)))</f>
        <v/>
      </c>
      <c r="V36" s="12" t="str">
        <f t="shared" si="4"/>
        <v/>
      </c>
      <c r="W36" s="20"/>
      <c r="X36" s="12" t="str">
        <f t="shared" si="5"/>
        <v/>
      </c>
      <c r="Y36" s="45" t="str">
        <f t="shared" si="6"/>
        <v/>
      </c>
      <c r="Z36" s="15"/>
      <c r="AA36" s="15"/>
      <c r="AB36" s="20"/>
      <c r="AC36" s="12" t="str">
        <f>IF($A36="","",SUMIFS('Consumable Usage'!$E:$E,'Consumable Usage'!$A:$A,$A36,'Consumable Usage'!$D:$D,3))</f>
        <v/>
      </c>
      <c r="AD36" s="12" t="str">
        <f>IF($A36="","",SUMIFS('Nursing Charges'!$I:$I,'Nursing Charges'!$A:$A,$A36,'Nursing Charges'!$C:$C,3))</f>
        <v/>
      </c>
      <c r="AE36" s="12" t="str">
        <f>IF($A36="","",AB36+(AD36-SUMIFS('Nursing Charges'!$J:$J,'Nursing Charges'!$A:$A,$A36,'Nursing Charges'!$C:$C,3))+(AC36-SUMIFS('Consumable Usage'!$F:$F,'Consumable Usage'!$A:$A,$A36,'Consumable Usage'!$D:$D,3)))</f>
        <v/>
      </c>
      <c r="AF36" s="12" t="str">
        <f t="shared" si="7"/>
        <v/>
      </c>
      <c r="AG36" s="20"/>
      <c r="AH36" s="12" t="str">
        <f t="shared" si="8"/>
        <v/>
      </c>
      <c r="AI36" s="45" t="str">
        <f t="shared" si="9"/>
        <v/>
      </c>
      <c r="AJ36" s="15"/>
      <c r="AK36" s="15"/>
      <c r="AL36" s="20"/>
      <c r="AM36" s="12" t="str">
        <f>IF($A36="","",SUMIFS('Consumable Usage'!$E:$E,'Consumable Usage'!$A:$A,$A36,'Consumable Usage'!$D:$D,4))</f>
        <v/>
      </c>
      <c r="AN36" s="12" t="str">
        <f>IF($A36="","",SUMIFS('Nursing Charges'!$I:$I,'Nursing Charges'!$A:$A,$A36,'Nursing Charges'!$C:$C,4))</f>
        <v/>
      </c>
      <c r="AO36" s="12" t="str">
        <f>IF($A36="","",AL36+(AN36-SUMIFS('Nursing Charges'!$J:$J,'Nursing Charges'!$A:$A,$A36,'Nursing Charges'!$C:$C,4))+(AM36-SUMIFS('Consumable Usage'!$F:$F,'Consumable Usage'!$A:$A,$A36,'Consumable Usage'!$D:$D,4)))</f>
        <v/>
      </c>
      <c r="AP36" s="12" t="str">
        <f t="shared" si="10"/>
        <v/>
      </c>
      <c r="AQ36" s="20"/>
      <c r="AR36" s="12" t="str">
        <f t="shared" si="11"/>
        <v/>
      </c>
      <c r="AS36" s="45" t="str">
        <f t="shared" si="12"/>
        <v/>
      </c>
      <c r="AT36" s="15"/>
      <c r="AU36" s="15"/>
      <c r="AV36" s="20"/>
      <c r="AW36" s="12" t="str">
        <f>IF($A36="","",SUMIFS('Consumable Usage'!$E:$E,'Consumable Usage'!$A:$A,$A36,'Consumable Usage'!$D:$D,5))</f>
        <v/>
      </c>
      <c r="AX36" s="12" t="str">
        <f>IF($A36="","",SUMIFS('Nursing Charges'!$I:$I,'Nursing Charges'!$A:$A,$A36,'Nursing Charges'!$C:$C,5))</f>
        <v/>
      </c>
      <c r="AY36" s="12" t="str">
        <f>IF($A36="","",AV36+(AX36-SUMIFS('Nursing Charges'!$J:$J,'Nursing Charges'!$A:$A,$A36,'Nursing Charges'!$C:$C,5))+(AW36-SUMIFS('Consumable Usage'!$F:$F,'Consumable Usage'!$A:$A,$A36,'Consumable Usage'!$D:$D,5)))</f>
        <v/>
      </c>
      <c r="AZ36" s="12" t="str">
        <f t="shared" si="13"/>
        <v/>
      </c>
      <c r="BA36" s="20"/>
      <c r="BB36" s="12" t="str">
        <f t="shared" si="14"/>
        <v/>
      </c>
      <c r="BC36" s="45" t="str">
        <f t="shared" si="15"/>
        <v/>
      </c>
      <c r="BD36" s="15"/>
      <c r="BE36" s="15"/>
      <c r="BF36" s="20"/>
      <c r="BG36" s="12" t="str">
        <f>IF($A36="","",SUMIFS('Consumable Usage'!$E:$E,'Consumable Usage'!$A:$A,$A36,'Consumable Usage'!$D:$D,6))</f>
        <v/>
      </c>
      <c r="BH36" s="12" t="str">
        <f>IF($A36="","",SUMIFS('Nursing Charges'!$I:$I,'Nursing Charges'!$A:$A,$A36,'Nursing Charges'!$C:$C,6))</f>
        <v/>
      </c>
      <c r="BI36" s="12" t="str">
        <f>IF($A36="","",BF36+(BH36-SUMIFS('Nursing Charges'!$J:$J,'Nursing Charges'!$A:$A,$A36,'Nursing Charges'!$C:$C,6))+(BG36-SUMIFS('Consumable Usage'!$F:$F,'Consumable Usage'!$A:$A,$A36,'Consumable Usage'!$D:$D,6)))</f>
        <v/>
      </c>
      <c r="BJ36" s="12" t="str">
        <f t="shared" si="16"/>
        <v/>
      </c>
      <c r="BK36" s="20"/>
      <c r="BL36" s="12" t="str">
        <f t="shared" si="17"/>
        <v/>
      </c>
      <c r="BM36" s="45" t="str">
        <f t="shared" si="18"/>
        <v/>
      </c>
      <c r="BN36" s="15"/>
      <c r="BO36" s="15"/>
      <c r="BP36" s="20"/>
      <c r="BQ36" s="12" t="str">
        <f>IF($A36="","",SUMIFS('Consumable Usage'!$E:$E,'Consumable Usage'!$A:$A,$A36,'Consumable Usage'!$D:$D,7))</f>
        <v/>
      </c>
      <c r="BR36" s="12" t="str">
        <f>IF($A36="","",SUMIFS('Nursing Charges'!$I:$I,'Nursing Charges'!$A:$A,$A36,'Nursing Charges'!$C:$C,7))</f>
        <v/>
      </c>
      <c r="BS36" s="12" t="str">
        <f>IF($A36="","",BP36+(BR36-SUMIFS('Nursing Charges'!$J:$J,'Nursing Charges'!$A:$A,$A36,'Nursing Charges'!$C:$C,7))+(BQ36-SUMIFS('Consumable Usage'!$F:$F,'Consumable Usage'!$A:$A,$A36,'Consumable Usage'!$D:$D,7)))</f>
        <v/>
      </c>
      <c r="BT36" s="12" t="str">
        <f t="shared" si="19"/>
        <v/>
      </c>
      <c r="BU36" s="20"/>
      <c r="BV36" s="12" t="str">
        <f t="shared" si="20"/>
        <v/>
      </c>
      <c r="BW36" s="45" t="str">
        <f t="shared" si="21"/>
        <v/>
      </c>
      <c r="BX36" s="15"/>
      <c r="BY36" s="15"/>
      <c r="BZ36" s="20"/>
      <c r="CA36" s="12" t="str">
        <f>IF($A36="","",SUMIFS('Consumable Usage'!$E:$E,'Consumable Usage'!$A:$A,$A36,'Consumable Usage'!$D:$D,8))</f>
        <v/>
      </c>
      <c r="CB36" s="12" t="str">
        <f>IF($A36="","",SUMIFS('Nursing Charges'!$I:$I,'Nursing Charges'!$A:$A,$A36,'Nursing Charges'!$C:$C,8))</f>
        <v/>
      </c>
      <c r="CC36" s="12" t="str">
        <f>IF($A36="","",BZ36+(CB36-SUMIFS('Nursing Charges'!$J:$J,'Nursing Charges'!$A:$A,$A36,'Nursing Charges'!$C:$C,8))+(CA36-SUMIFS('Consumable Usage'!$F:$F,'Consumable Usage'!$A:$A,$A36,'Consumable Usage'!$D:$D,8)))</f>
        <v/>
      </c>
      <c r="CD36" s="12" t="str">
        <f t="shared" si="22"/>
        <v/>
      </c>
      <c r="CE36" s="20"/>
      <c r="CF36" s="12" t="str">
        <f t="shared" si="23"/>
        <v/>
      </c>
      <c r="CG36" s="45" t="str">
        <f t="shared" si="24"/>
        <v/>
      </c>
      <c r="CH36" s="15"/>
      <c r="CI36" s="15"/>
      <c r="CJ36" s="20"/>
      <c r="CK36" s="12" t="str">
        <f>IF($A36="","",SUMIFS('Consumable Usage'!$E:$E,'Consumable Usage'!$A:$A,$A36,'Consumable Usage'!$D:$D,9))</f>
        <v/>
      </c>
      <c r="CL36" s="12" t="str">
        <f>IF($A36="","",SUMIFS('Nursing Charges'!$I:$I,'Nursing Charges'!$A:$A,$A36,'Nursing Charges'!$C:$C,9))</f>
        <v/>
      </c>
      <c r="CM36" s="12" t="str">
        <f>IF($A36="","",CJ36+(CL36-SUMIFS('Nursing Charges'!$J:$J,'Nursing Charges'!$A:$A,$A36,'Nursing Charges'!$C:$C,9))+(CK36-SUMIFS('Consumable Usage'!$F:$F,'Consumable Usage'!$A:$A,$A36,'Consumable Usage'!$D:$D,9)))</f>
        <v/>
      </c>
      <c r="CN36" s="12" t="str">
        <f t="shared" si="25"/>
        <v/>
      </c>
      <c r="CO36" s="20"/>
      <c r="CP36" s="12" t="str">
        <f t="shared" si="26"/>
        <v/>
      </c>
      <c r="CQ36" s="45" t="str">
        <f t="shared" si="27"/>
        <v/>
      </c>
      <c r="CR36" s="15"/>
      <c r="CS36" s="15"/>
      <c r="CT36" s="20"/>
      <c r="CU36" s="12" t="str">
        <f>IF($A36="","",SUMIFS('Consumable Usage'!$E:$E,'Consumable Usage'!$A:$A,$A36,'Consumable Usage'!$D:$D,10))</f>
        <v/>
      </c>
      <c r="CV36" s="12" t="str">
        <f>IF($A36="","",SUMIFS('Nursing Charges'!$I:$I,'Nursing Charges'!$A:$A,$A36,'Nursing Charges'!$C:$C,10))</f>
        <v/>
      </c>
      <c r="CW36" s="12" t="str">
        <f>IF($A36="","",CT36+(CV36-SUMIFS('Nursing Charges'!$J:$J,'Nursing Charges'!$A:$A,$A36,'Nursing Charges'!$C:$C,10))+(CU36-SUMIFS('Consumable Usage'!$F:$F,'Consumable Usage'!$A:$A,$A36,'Consumable Usage'!$D:$D,10)))</f>
        <v/>
      </c>
      <c r="CX36" s="12" t="str">
        <f t="shared" si="28"/>
        <v/>
      </c>
      <c r="CY36" s="20"/>
      <c r="CZ36" s="12" t="str">
        <f t="shared" si="29"/>
        <v/>
      </c>
      <c r="DA36" s="45" t="str">
        <f t="shared" si="30"/>
        <v/>
      </c>
      <c r="DB36" s="15"/>
      <c r="DC36" s="15"/>
      <c r="DD36" s="20"/>
      <c r="DE36" s="12" t="str">
        <f>IF($A36="","",SUMIFS('Consumable Usage'!$E:$E,'Consumable Usage'!$A:$A,$A36,'Consumable Usage'!$D:$D,11))</f>
        <v/>
      </c>
      <c r="DF36" s="12" t="str">
        <f>IF($A36="","",SUMIFS('Nursing Charges'!$I:$I,'Nursing Charges'!$A:$A,$A36,'Nursing Charges'!$C:$C,11))</f>
        <v/>
      </c>
      <c r="DG36" s="12" t="str">
        <f>IF($A36="","",DD36+(DF36-SUMIFS('Nursing Charges'!$J:$J,'Nursing Charges'!$A:$A,$A36,'Nursing Charges'!$C:$C,11))+(DE36-SUMIFS('Consumable Usage'!$F:$F,'Consumable Usage'!$A:$A,$A36,'Consumable Usage'!$D:$D,11)))</f>
        <v/>
      </c>
      <c r="DH36" s="12" t="str">
        <f t="shared" si="31"/>
        <v/>
      </c>
      <c r="DI36" s="20"/>
      <c r="DJ36" s="12" t="str">
        <f t="shared" si="32"/>
        <v/>
      </c>
      <c r="DK36" s="45" t="str">
        <f t="shared" si="33"/>
        <v/>
      </c>
      <c r="DL36" s="15"/>
      <c r="DM36" s="15"/>
      <c r="DN36" s="20"/>
      <c r="DO36" s="12" t="str">
        <f>IF($A36="","",SUMIFS('Consumable Usage'!$E:$E,'Consumable Usage'!$A:$A,$A36,'Consumable Usage'!$D:$D,12))</f>
        <v/>
      </c>
      <c r="DP36" s="12" t="str">
        <f>IF($A36="","",SUMIFS('Nursing Charges'!$I:$I,'Nursing Charges'!$A:$A,$A36,'Nursing Charges'!$C:$C,12))</f>
        <v/>
      </c>
      <c r="DQ36" s="12" t="str">
        <f>IF($A36="","",DN36+(DP36-SUMIFS('Nursing Charges'!$J:$J,'Nursing Charges'!$A:$A,$A36,'Nursing Charges'!$C:$C,12))+(DO36-SUMIFS('Consumable Usage'!$F:$F,'Consumable Usage'!$A:$A,$A36,'Consumable Usage'!$D:$D,12)))</f>
        <v/>
      </c>
      <c r="DR36" s="12" t="str">
        <f t="shared" si="34"/>
        <v/>
      </c>
      <c r="DS36" s="20"/>
      <c r="DT36" s="12" t="str">
        <f t="shared" si="35"/>
        <v/>
      </c>
      <c r="DU36" s="45" t="str">
        <f t="shared" si="36"/>
        <v/>
      </c>
      <c r="DV36" s="15"/>
      <c r="DW36" s="15"/>
      <c r="DX36" s="20"/>
      <c r="DY36" s="12" t="str">
        <f>IF($A36="","",SUMIFS('Consumable Usage'!$E:$E,'Consumable Usage'!$A:$A,$A36,'Consumable Usage'!$D:$D,13))</f>
        <v/>
      </c>
      <c r="DZ36" s="12" t="str">
        <f>IF($A36="","",SUMIFS('Nursing Charges'!$I:$I,'Nursing Charges'!$A:$A,$A36,'Nursing Charges'!$C:$C,13))</f>
        <v/>
      </c>
      <c r="EA36" s="12" t="str">
        <f>IF($A36="","",DX36+(DZ36-SUMIFS('Nursing Charges'!$J:$J,'Nursing Charges'!$A:$A,$A36,'Nursing Charges'!$C:$C,13))+(DY36-SUMIFS('Consumable Usage'!$F:$F,'Consumable Usage'!$A:$A,$A36,'Consumable Usage'!$D:$D,13)))</f>
        <v/>
      </c>
      <c r="EB36" s="12" t="str">
        <f t="shared" si="37"/>
        <v/>
      </c>
      <c r="EC36" s="20"/>
      <c r="ED36" s="12" t="str">
        <f t="shared" si="38"/>
        <v/>
      </c>
      <c r="EE36" s="45" t="str">
        <f t="shared" si="39"/>
        <v/>
      </c>
      <c r="EF36" s="15"/>
      <c r="EG36" s="15"/>
      <c r="EH36" s="20"/>
      <c r="EI36" s="12" t="str">
        <f>IF($A36="","",SUMIFS('Consumable Usage'!$E:$E,'Consumable Usage'!$A:$A,$A36,'Consumable Usage'!$D:$D,14))</f>
        <v/>
      </c>
      <c r="EJ36" s="12" t="str">
        <f>IF($A36="","",SUMIFS('Nursing Charges'!$I:$I,'Nursing Charges'!$A:$A,$A36,'Nursing Charges'!$C:$C,14))</f>
        <v/>
      </c>
      <c r="EK36" s="12" t="str">
        <f>IF($A36="","",EH36+(EJ36-SUMIFS('Nursing Charges'!$J:$J,'Nursing Charges'!$A:$A,$A36,'Nursing Charges'!$C:$C,14))+(EI36-SUMIFS('Consumable Usage'!$F:$F,'Consumable Usage'!$A:$A,$A36,'Consumable Usage'!$D:$D,14)))</f>
        <v/>
      </c>
      <c r="EL36" s="12" t="str">
        <f t="shared" si="40"/>
        <v/>
      </c>
      <c r="EM36" s="20"/>
      <c r="EN36" s="12" t="str">
        <f t="shared" si="41"/>
        <v/>
      </c>
      <c r="EO36" s="45" t="str">
        <f t="shared" si="42"/>
        <v/>
      </c>
      <c r="EP36" s="15"/>
      <c r="EQ36" s="15"/>
      <c r="ER36" s="20"/>
      <c r="ES36" s="12" t="str">
        <f>IF($A36="","",SUMIFS('Consumable Usage'!$E:$E,'Consumable Usage'!$A:$A,$A36,'Consumable Usage'!$D:$D,15))</f>
        <v/>
      </c>
      <c r="ET36" s="12" t="str">
        <f>IF($A36="","",SUMIFS('Nursing Charges'!$I:$I,'Nursing Charges'!$A:$A,$A36,'Nursing Charges'!$C:$C,15))</f>
        <v/>
      </c>
      <c r="EU36" s="12" t="str">
        <f>IF($A36="","",ER36+(ET36-SUMIFS('Nursing Charges'!$J:$J,'Nursing Charges'!$A:$A,$A36,'Nursing Charges'!$C:$C,15))+(ES36-SUMIFS('Consumable Usage'!$F:$F,'Consumable Usage'!$A:$A,$A36,'Consumable Usage'!$D:$D,15)))</f>
        <v/>
      </c>
      <c r="EV36" s="12" t="str">
        <f t="shared" si="43"/>
        <v/>
      </c>
      <c r="EW36" s="20"/>
      <c r="EX36" s="12" t="str">
        <f t="shared" si="44"/>
        <v/>
      </c>
      <c r="EY36" s="45" t="str">
        <f t="shared" si="45"/>
        <v/>
      </c>
      <c r="EZ36" s="15"/>
      <c r="FA36" s="15"/>
      <c r="FB36" s="20"/>
      <c r="FC36" s="12" t="str">
        <f>IF($A36="","",SUMIFS('Consumable Usage'!$E:$E,'Consumable Usage'!$A:$A,$A36,'Consumable Usage'!$D:$D,16))</f>
        <v/>
      </c>
      <c r="FD36" s="12" t="str">
        <f>IF($A36="","",SUMIFS('Nursing Charges'!$I:$I,'Nursing Charges'!$A:$A,$A36,'Nursing Charges'!$C:$C,16))</f>
        <v/>
      </c>
      <c r="FE36" s="12" t="str">
        <f>IF($A36="","",FB36+(FD36-SUMIFS('Nursing Charges'!$J:$J,'Nursing Charges'!$A:$A,$A36,'Nursing Charges'!$C:$C,16))+(FC36-SUMIFS('Consumable Usage'!$F:$F,'Consumable Usage'!$A:$A,$A36,'Consumable Usage'!$D:$D,16)))</f>
        <v/>
      </c>
      <c r="FF36" s="12" t="str">
        <f t="shared" si="46"/>
        <v/>
      </c>
      <c r="FG36" s="20"/>
      <c r="FH36" s="12" t="str">
        <f t="shared" si="47"/>
        <v/>
      </c>
      <c r="FI36" s="45" t="str">
        <f t="shared" si="48"/>
        <v/>
      </c>
      <c r="FJ36" s="53"/>
      <c r="FK36" s="53"/>
      <c r="FL36" s="63"/>
      <c r="FM36" s="63" t="str">
        <f>IF($A36="","",SUMIFS('Consumable Usage'!$E:$E,'Consumable Usage'!$A:$A,$A36,'Consumable Usage'!$D:$D,16))</f>
        <v/>
      </c>
      <c r="FN36" s="63" t="str">
        <f>IF($A36="","",SUMIFS('Nursing Charges'!$I:$I,'Nursing Charges'!$A:$A,$A36,'Nursing Charges'!$C:$C,16))</f>
        <v/>
      </c>
      <c r="FO36" s="63" t="str">
        <f>IF($A36="","",FL36+(FN36-SUMIFS('Nursing Charges'!$J:$J,'Nursing Charges'!$A:$A,$A36,'Nursing Charges'!$C:$C,16))+(FM36-SUMIFS('Consumable Usage'!$F:$F,'Consumable Usage'!$A:$A,$A36,'Consumable Usage'!$D:$D,16)))</f>
        <v/>
      </c>
      <c r="FP36" s="63" t="str">
        <f t="shared" si="49"/>
        <v/>
      </c>
      <c r="FQ36" s="63"/>
      <c r="FR36" s="63" t="str">
        <f t="shared" si="50"/>
        <v/>
      </c>
      <c r="FS36" s="53" t="str">
        <f t="shared" si="51"/>
        <v/>
      </c>
    </row>
    <row r="37" ht="15.0" customHeight="1">
      <c r="A37" s="15"/>
      <c r="B37" s="15"/>
      <c r="C37" s="15"/>
      <c r="D37" s="15"/>
      <c r="E37" s="15"/>
      <c r="F37" s="15"/>
      <c r="G37" s="15"/>
      <c r="H37" s="20"/>
      <c r="I37" s="12" t="str">
        <f>IF($A37="","",SUMIFS('Consumable Usage'!$E:$E,'Consumable Usage'!$A:$A,$A37,'Consumable Usage'!$D:$D,1))</f>
        <v/>
      </c>
      <c r="J37" s="12" t="str">
        <f>IF($A37="","",SUMIFS('Nursing Charges'!$I:$I,'Nursing Charges'!$A:$A,$A37,'Nursing Charges'!$C:$C,1))</f>
        <v/>
      </c>
      <c r="K37" s="12" t="str">
        <f>IF($A37="","",H37+(J37-SUMIFS('Nursing Charges'!$J:$J,'Nursing Charges'!$A:$A,$A37,'Nursing Charges'!$C:$C,1))+(I37-SUMIFS('Consumable Usage'!$F:$F,'Consumable Usage'!$A:$A,$A37,'Consumable Usage'!$D:$D,1)))</f>
        <v/>
      </c>
      <c r="L37" s="12" t="str">
        <f t="shared" si="1"/>
        <v/>
      </c>
      <c r="M37" s="20"/>
      <c r="N37" s="12" t="str">
        <f t="shared" si="2"/>
        <v/>
      </c>
      <c r="O37" s="45" t="str">
        <f t="shared" si="3"/>
        <v/>
      </c>
      <c r="P37" s="15"/>
      <c r="Q37" s="15"/>
      <c r="R37" s="20"/>
      <c r="S37" s="12" t="str">
        <f>IF($A37="","",SUMIFS('Consumable Usage'!$E:$E,'Consumable Usage'!$A:$A,$A37,'Consumable Usage'!$D:$D,2))</f>
        <v/>
      </c>
      <c r="T37" s="12" t="str">
        <f>IF($A37="","",SUMIFS('Nursing Charges'!$I:$I,'Nursing Charges'!$A:$A,$A37,'Nursing Charges'!$C:$C,2))</f>
        <v/>
      </c>
      <c r="U37" s="12" t="str">
        <f>IF($A37="","",R37+(T37-SUMIFS('Nursing Charges'!$J:$J,'Nursing Charges'!$A:$A,$A37,'Nursing Charges'!$C:$C,2))+(S37-SUMIFS('Consumable Usage'!$F:$F,'Consumable Usage'!$A:$A,$A37,'Consumable Usage'!$D:$D,2)))</f>
        <v/>
      </c>
      <c r="V37" s="12" t="str">
        <f t="shared" si="4"/>
        <v/>
      </c>
      <c r="W37" s="20"/>
      <c r="X37" s="12" t="str">
        <f t="shared" si="5"/>
        <v/>
      </c>
      <c r="Y37" s="45" t="str">
        <f t="shared" si="6"/>
        <v/>
      </c>
      <c r="Z37" s="15"/>
      <c r="AA37" s="15"/>
      <c r="AB37" s="20"/>
      <c r="AC37" s="12" t="str">
        <f>IF($A37="","",SUMIFS('Consumable Usage'!$E:$E,'Consumable Usage'!$A:$A,$A37,'Consumable Usage'!$D:$D,3))</f>
        <v/>
      </c>
      <c r="AD37" s="12" t="str">
        <f>IF($A37="","",SUMIFS('Nursing Charges'!$I:$I,'Nursing Charges'!$A:$A,$A37,'Nursing Charges'!$C:$C,3))</f>
        <v/>
      </c>
      <c r="AE37" s="12" t="str">
        <f>IF($A37="","",AB37+(AD37-SUMIFS('Nursing Charges'!$J:$J,'Nursing Charges'!$A:$A,$A37,'Nursing Charges'!$C:$C,3))+(AC37-SUMIFS('Consumable Usage'!$F:$F,'Consumable Usage'!$A:$A,$A37,'Consumable Usage'!$D:$D,3)))</f>
        <v/>
      </c>
      <c r="AF37" s="12" t="str">
        <f t="shared" si="7"/>
        <v/>
      </c>
      <c r="AG37" s="20"/>
      <c r="AH37" s="12" t="str">
        <f t="shared" si="8"/>
        <v/>
      </c>
      <c r="AI37" s="45" t="str">
        <f t="shared" si="9"/>
        <v/>
      </c>
      <c r="AJ37" s="15"/>
      <c r="AK37" s="15"/>
      <c r="AL37" s="20"/>
      <c r="AM37" s="12" t="str">
        <f>IF($A37="","",SUMIFS('Consumable Usage'!$E:$E,'Consumable Usage'!$A:$A,$A37,'Consumable Usage'!$D:$D,4))</f>
        <v/>
      </c>
      <c r="AN37" s="12" t="str">
        <f>IF($A37="","",SUMIFS('Nursing Charges'!$I:$I,'Nursing Charges'!$A:$A,$A37,'Nursing Charges'!$C:$C,4))</f>
        <v/>
      </c>
      <c r="AO37" s="12" t="str">
        <f>IF($A37="","",AL37+(AN37-SUMIFS('Nursing Charges'!$J:$J,'Nursing Charges'!$A:$A,$A37,'Nursing Charges'!$C:$C,4))+(AM37-SUMIFS('Consumable Usage'!$F:$F,'Consumable Usage'!$A:$A,$A37,'Consumable Usage'!$D:$D,4)))</f>
        <v/>
      </c>
      <c r="AP37" s="12" t="str">
        <f t="shared" si="10"/>
        <v/>
      </c>
      <c r="AQ37" s="20"/>
      <c r="AR37" s="12" t="str">
        <f t="shared" si="11"/>
        <v/>
      </c>
      <c r="AS37" s="45" t="str">
        <f t="shared" si="12"/>
        <v/>
      </c>
      <c r="AT37" s="15"/>
      <c r="AU37" s="15"/>
      <c r="AV37" s="20"/>
      <c r="AW37" s="12" t="str">
        <f>IF($A37="","",SUMIFS('Consumable Usage'!$E:$E,'Consumable Usage'!$A:$A,$A37,'Consumable Usage'!$D:$D,5))</f>
        <v/>
      </c>
      <c r="AX37" s="12" t="str">
        <f>IF($A37="","",SUMIFS('Nursing Charges'!$I:$I,'Nursing Charges'!$A:$A,$A37,'Nursing Charges'!$C:$C,5))</f>
        <v/>
      </c>
      <c r="AY37" s="12" t="str">
        <f>IF($A37="","",AV37+(AX37-SUMIFS('Nursing Charges'!$J:$J,'Nursing Charges'!$A:$A,$A37,'Nursing Charges'!$C:$C,5))+(AW37-SUMIFS('Consumable Usage'!$F:$F,'Consumable Usage'!$A:$A,$A37,'Consumable Usage'!$D:$D,5)))</f>
        <v/>
      </c>
      <c r="AZ37" s="12" t="str">
        <f t="shared" si="13"/>
        <v/>
      </c>
      <c r="BA37" s="20"/>
      <c r="BB37" s="12" t="str">
        <f t="shared" si="14"/>
        <v/>
      </c>
      <c r="BC37" s="45" t="str">
        <f t="shared" si="15"/>
        <v/>
      </c>
      <c r="BD37" s="15"/>
      <c r="BE37" s="15"/>
      <c r="BF37" s="20"/>
      <c r="BG37" s="12" t="str">
        <f>IF($A37="","",SUMIFS('Consumable Usage'!$E:$E,'Consumable Usage'!$A:$A,$A37,'Consumable Usage'!$D:$D,6))</f>
        <v/>
      </c>
      <c r="BH37" s="12" t="str">
        <f>IF($A37="","",SUMIFS('Nursing Charges'!$I:$I,'Nursing Charges'!$A:$A,$A37,'Nursing Charges'!$C:$C,6))</f>
        <v/>
      </c>
      <c r="BI37" s="12" t="str">
        <f>IF($A37="","",BF37+(BH37-SUMIFS('Nursing Charges'!$J:$J,'Nursing Charges'!$A:$A,$A37,'Nursing Charges'!$C:$C,6))+(BG37-SUMIFS('Consumable Usage'!$F:$F,'Consumable Usage'!$A:$A,$A37,'Consumable Usage'!$D:$D,6)))</f>
        <v/>
      </c>
      <c r="BJ37" s="12" t="str">
        <f t="shared" si="16"/>
        <v/>
      </c>
      <c r="BK37" s="20"/>
      <c r="BL37" s="12" t="str">
        <f t="shared" si="17"/>
        <v/>
      </c>
      <c r="BM37" s="45" t="str">
        <f t="shared" si="18"/>
        <v/>
      </c>
      <c r="BN37" s="15"/>
      <c r="BO37" s="15"/>
      <c r="BP37" s="20"/>
      <c r="BQ37" s="12" t="str">
        <f>IF($A37="","",SUMIFS('Consumable Usage'!$E:$E,'Consumable Usage'!$A:$A,$A37,'Consumable Usage'!$D:$D,7))</f>
        <v/>
      </c>
      <c r="BR37" s="12" t="str">
        <f>IF($A37="","",SUMIFS('Nursing Charges'!$I:$I,'Nursing Charges'!$A:$A,$A37,'Nursing Charges'!$C:$C,7))</f>
        <v/>
      </c>
      <c r="BS37" s="12" t="str">
        <f>IF($A37="","",BP37+(BR37-SUMIFS('Nursing Charges'!$J:$J,'Nursing Charges'!$A:$A,$A37,'Nursing Charges'!$C:$C,7))+(BQ37-SUMIFS('Consumable Usage'!$F:$F,'Consumable Usage'!$A:$A,$A37,'Consumable Usage'!$D:$D,7)))</f>
        <v/>
      </c>
      <c r="BT37" s="12" t="str">
        <f t="shared" si="19"/>
        <v/>
      </c>
      <c r="BU37" s="20"/>
      <c r="BV37" s="12" t="str">
        <f t="shared" si="20"/>
        <v/>
      </c>
      <c r="BW37" s="45" t="str">
        <f t="shared" si="21"/>
        <v/>
      </c>
      <c r="BX37" s="15"/>
      <c r="BY37" s="15"/>
      <c r="BZ37" s="20"/>
      <c r="CA37" s="12" t="str">
        <f>IF($A37="","",SUMIFS('Consumable Usage'!$E:$E,'Consumable Usage'!$A:$A,$A37,'Consumable Usage'!$D:$D,8))</f>
        <v/>
      </c>
      <c r="CB37" s="12" t="str">
        <f>IF($A37="","",SUMIFS('Nursing Charges'!$I:$I,'Nursing Charges'!$A:$A,$A37,'Nursing Charges'!$C:$C,8))</f>
        <v/>
      </c>
      <c r="CC37" s="12" t="str">
        <f>IF($A37="","",BZ37+(CB37-SUMIFS('Nursing Charges'!$J:$J,'Nursing Charges'!$A:$A,$A37,'Nursing Charges'!$C:$C,8))+(CA37-SUMIFS('Consumable Usage'!$F:$F,'Consumable Usage'!$A:$A,$A37,'Consumable Usage'!$D:$D,8)))</f>
        <v/>
      </c>
      <c r="CD37" s="12" t="str">
        <f t="shared" si="22"/>
        <v/>
      </c>
      <c r="CE37" s="20"/>
      <c r="CF37" s="12" t="str">
        <f t="shared" si="23"/>
        <v/>
      </c>
      <c r="CG37" s="45" t="str">
        <f t="shared" si="24"/>
        <v/>
      </c>
      <c r="CH37" s="15"/>
      <c r="CI37" s="15"/>
      <c r="CJ37" s="20"/>
      <c r="CK37" s="12" t="str">
        <f>IF($A37="","",SUMIFS('Consumable Usage'!$E:$E,'Consumable Usage'!$A:$A,$A37,'Consumable Usage'!$D:$D,9))</f>
        <v/>
      </c>
      <c r="CL37" s="12" t="str">
        <f>IF($A37="","",SUMIFS('Nursing Charges'!$I:$I,'Nursing Charges'!$A:$A,$A37,'Nursing Charges'!$C:$C,9))</f>
        <v/>
      </c>
      <c r="CM37" s="12" t="str">
        <f>IF($A37="","",CJ37+(CL37-SUMIFS('Nursing Charges'!$J:$J,'Nursing Charges'!$A:$A,$A37,'Nursing Charges'!$C:$C,9))+(CK37-SUMIFS('Consumable Usage'!$F:$F,'Consumable Usage'!$A:$A,$A37,'Consumable Usage'!$D:$D,9)))</f>
        <v/>
      </c>
      <c r="CN37" s="12" t="str">
        <f t="shared" si="25"/>
        <v/>
      </c>
      <c r="CO37" s="20"/>
      <c r="CP37" s="12" t="str">
        <f t="shared" si="26"/>
        <v/>
      </c>
      <c r="CQ37" s="45" t="str">
        <f t="shared" si="27"/>
        <v/>
      </c>
      <c r="CR37" s="15"/>
      <c r="CS37" s="15"/>
      <c r="CT37" s="20"/>
      <c r="CU37" s="12" t="str">
        <f>IF($A37="","",SUMIFS('Consumable Usage'!$E:$E,'Consumable Usage'!$A:$A,$A37,'Consumable Usage'!$D:$D,10))</f>
        <v/>
      </c>
      <c r="CV37" s="12" t="str">
        <f>IF($A37="","",SUMIFS('Nursing Charges'!$I:$I,'Nursing Charges'!$A:$A,$A37,'Nursing Charges'!$C:$C,10))</f>
        <v/>
      </c>
      <c r="CW37" s="12" t="str">
        <f>IF($A37="","",CT37+(CV37-SUMIFS('Nursing Charges'!$J:$J,'Nursing Charges'!$A:$A,$A37,'Nursing Charges'!$C:$C,10))+(CU37-SUMIFS('Consumable Usage'!$F:$F,'Consumable Usage'!$A:$A,$A37,'Consumable Usage'!$D:$D,10)))</f>
        <v/>
      </c>
      <c r="CX37" s="12" t="str">
        <f t="shared" si="28"/>
        <v/>
      </c>
      <c r="CY37" s="20"/>
      <c r="CZ37" s="12" t="str">
        <f t="shared" si="29"/>
        <v/>
      </c>
      <c r="DA37" s="45" t="str">
        <f t="shared" si="30"/>
        <v/>
      </c>
      <c r="DB37" s="15"/>
      <c r="DC37" s="15"/>
      <c r="DD37" s="20"/>
      <c r="DE37" s="12" t="str">
        <f>IF($A37="","",SUMIFS('Consumable Usage'!$E:$E,'Consumable Usage'!$A:$A,$A37,'Consumable Usage'!$D:$D,11))</f>
        <v/>
      </c>
      <c r="DF37" s="12" t="str">
        <f>IF($A37="","",SUMIFS('Nursing Charges'!$I:$I,'Nursing Charges'!$A:$A,$A37,'Nursing Charges'!$C:$C,11))</f>
        <v/>
      </c>
      <c r="DG37" s="12" t="str">
        <f>IF($A37="","",DD37+(DF37-SUMIFS('Nursing Charges'!$J:$J,'Nursing Charges'!$A:$A,$A37,'Nursing Charges'!$C:$C,11))+(DE37-SUMIFS('Consumable Usage'!$F:$F,'Consumable Usage'!$A:$A,$A37,'Consumable Usage'!$D:$D,11)))</f>
        <v/>
      </c>
      <c r="DH37" s="12" t="str">
        <f t="shared" si="31"/>
        <v/>
      </c>
      <c r="DI37" s="20"/>
      <c r="DJ37" s="12" t="str">
        <f t="shared" si="32"/>
        <v/>
      </c>
      <c r="DK37" s="45" t="str">
        <f t="shared" si="33"/>
        <v/>
      </c>
      <c r="DL37" s="15"/>
      <c r="DM37" s="15"/>
      <c r="DN37" s="20"/>
      <c r="DO37" s="12" t="str">
        <f>IF($A37="","",SUMIFS('Consumable Usage'!$E:$E,'Consumable Usage'!$A:$A,$A37,'Consumable Usage'!$D:$D,12))</f>
        <v/>
      </c>
      <c r="DP37" s="12" t="str">
        <f>IF($A37="","",SUMIFS('Nursing Charges'!$I:$I,'Nursing Charges'!$A:$A,$A37,'Nursing Charges'!$C:$C,12))</f>
        <v/>
      </c>
      <c r="DQ37" s="12" t="str">
        <f>IF($A37="","",DN37+(DP37-SUMIFS('Nursing Charges'!$J:$J,'Nursing Charges'!$A:$A,$A37,'Nursing Charges'!$C:$C,12))+(DO37-SUMIFS('Consumable Usage'!$F:$F,'Consumable Usage'!$A:$A,$A37,'Consumable Usage'!$D:$D,12)))</f>
        <v/>
      </c>
      <c r="DR37" s="12" t="str">
        <f t="shared" si="34"/>
        <v/>
      </c>
      <c r="DS37" s="20"/>
      <c r="DT37" s="12" t="str">
        <f t="shared" si="35"/>
        <v/>
      </c>
      <c r="DU37" s="45" t="str">
        <f t="shared" si="36"/>
        <v/>
      </c>
      <c r="DV37" s="15"/>
      <c r="DW37" s="15"/>
      <c r="DX37" s="20"/>
      <c r="DY37" s="12" t="str">
        <f>IF($A37="","",SUMIFS('Consumable Usage'!$E:$E,'Consumable Usage'!$A:$A,$A37,'Consumable Usage'!$D:$D,13))</f>
        <v/>
      </c>
      <c r="DZ37" s="12" t="str">
        <f>IF($A37="","",SUMIFS('Nursing Charges'!$I:$I,'Nursing Charges'!$A:$A,$A37,'Nursing Charges'!$C:$C,13))</f>
        <v/>
      </c>
      <c r="EA37" s="12" t="str">
        <f>IF($A37="","",DX37+(DZ37-SUMIFS('Nursing Charges'!$J:$J,'Nursing Charges'!$A:$A,$A37,'Nursing Charges'!$C:$C,13))+(DY37-SUMIFS('Consumable Usage'!$F:$F,'Consumable Usage'!$A:$A,$A37,'Consumable Usage'!$D:$D,13)))</f>
        <v/>
      </c>
      <c r="EB37" s="12" t="str">
        <f t="shared" si="37"/>
        <v/>
      </c>
      <c r="EC37" s="20"/>
      <c r="ED37" s="12" t="str">
        <f t="shared" si="38"/>
        <v/>
      </c>
      <c r="EE37" s="45" t="str">
        <f t="shared" si="39"/>
        <v/>
      </c>
      <c r="EF37" s="15"/>
      <c r="EG37" s="15"/>
      <c r="EH37" s="20"/>
      <c r="EI37" s="12" t="str">
        <f>IF($A37="","",SUMIFS('Consumable Usage'!$E:$E,'Consumable Usage'!$A:$A,$A37,'Consumable Usage'!$D:$D,14))</f>
        <v/>
      </c>
      <c r="EJ37" s="12" t="str">
        <f>IF($A37="","",SUMIFS('Nursing Charges'!$I:$I,'Nursing Charges'!$A:$A,$A37,'Nursing Charges'!$C:$C,14))</f>
        <v/>
      </c>
      <c r="EK37" s="12" t="str">
        <f>IF($A37="","",EH37+(EJ37-SUMIFS('Nursing Charges'!$J:$J,'Nursing Charges'!$A:$A,$A37,'Nursing Charges'!$C:$C,14))+(EI37-SUMIFS('Consumable Usage'!$F:$F,'Consumable Usage'!$A:$A,$A37,'Consumable Usage'!$D:$D,14)))</f>
        <v/>
      </c>
      <c r="EL37" s="12" t="str">
        <f t="shared" si="40"/>
        <v/>
      </c>
      <c r="EM37" s="20"/>
      <c r="EN37" s="12" t="str">
        <f t="shared" si="41"/>
        <v/>
      </c>
      <c r="EO37" s="45" t="str">
        <f t="shared" si="42"/>
        <v/>
      </c>
      <c r="EP37" s="15"/>
      <c r="EQ37" s="15"/>
      <c r="ER37" s="20"/>
      <c r="ES37" s="12" t="str">
        <f>IF($A37="","",SUMIFS('Consumable Usage'!$E:$E,'Consumable Usage'!$A:$A,$A37,'Consumable Usage'!$D:$D,15))</f>
        <v/>
      </c>
      <c r="ET37" s="12" t="str">
        <f>IF($A37="","",SUMIFS('Nursing Charges'!$I:$I,'Nursing Charges'!$A:$A,$A37,'Nursing Charges'!$C:$C,15))</f>
        <v/>
      </c>
      <c r="EU37" s="12" t="str">
        <f>IF($A37="","",ER37+(ET37-SUMIFS('Nursing Charges'!$J:$J,'Nursing Charges'!$A:$A,$A37,'Nursing Charges'!$C:$C,15))+(ES37-SUMIFS('Consumable Usage'!$F:$F,'Consumable Usage'!$A:$A,$A37,'Consumable Usage'!$D:$D,15)))</f>
        <v/>
      </c>
      <c r="EV37" s="12" t="str">
        <f t="shared" si="43"/>
        <v/>
      </c>
      <c r="EW37" s="20"/>
      <c r="EX37" s="12" t="str">
        <f t="shared" si="44"/>
        <v/>
      </c>
      <c r="EY37" s="45" t="str">
        <f t="shared" si="45"/>
        <v/>
      </c>
      <c r="EZ37" s="15"/>
      <c r="FA37" s="15"/>
      <c r="FB37" s="20"/>
      <c r="FC37" s="12" t="str">
        <f>IF($A37="","",SUMIFS('Consumable Usage'!$E:$E,'Consumable Usage'!$A:$A,$A37,'Consumable Usage'!$D:$D,16))</f>
        <v/>
      </c>
      <c r="FD37" s="12" t="str">
        <f>IF($A37="","",SUMIFS('Nursing Charges'!$I:$I,'Nursing Charges'!$A:$A,$A37,'Nursing Charges'!$C:$C,16))</f>
        <v/>
      </c>
      <c r="FE37" s="12" t="str">
        <f>IF($A37="","",FB37+(FD37-SUMIFS('Nursing Charges'!$J:$J,'Nursing Charges'!$A:$A,$A37,'Nursing Charges'!$C:$C,16))+(FC37-SUMIFS('Consumable Usage'!$F:$F,'Consumable Usage'!$A:$A,$A37,'Consumable Usage'!$D:$D,16)))</f>
        <v/>
      </c>
      <c r="FF37" s="12" t="str">
        <f t="shared" si="46"/>
        <v/>
      </c>
      <c r="FG37" s="20"/>
      <c r="FH37" s="12" t="str">
        <f t="shared" si="47"/>
        <v/>
      </c>
      <c r="FI37" s="45" t="str">
        <f t="shared" si="48"/>
        <v/>
      </c>
      <c r="FJ37" s="53"/>
      <c r="FK37" s="53"/>
      <c r="FL37" s="63"/>
      <c r="FM37" s="63" t="str">
        <f>IF($A37="","",SUMIFS('Consumable Usage'!$E:$E,'Consumable Usage'!$A:$A,$A37,'Consumable Usage'!$D:$D,16))</f>
        <v/>
      </c>
      <c r="FN37" s="63" t="str">
        <f>IF($A37="","",SUMIFS('Nursing Charges'!$I:$I,'Nursing Charges'!$A:$A,$A37,'Nursing Charges'!$C:$C,16))</f>
        <v/>
      </c>
      <c r="FO37" s="63" t="str">
        <f>IF($A37="","",FL37+(FN37-SUMIFS('Nursing Charges'!$J:$J,'Nursing Charges'!$A:$A,$A37,'Nursing Charges'!$C:$C,16))+(FM37-SUMIFS('Consumable Usage'!$F:$F,'Consumable Usage'!$A:$A,$A37,'Consumable Usage'!$D:$D,16)))</f>
        <v/>
      </c>
      <c r="FP37" s="63" t="str">
        <f t="shared" si="49"/>
        <v/>
      </c>
      <c r="FQ37" s="63"/>
      <c r="FR37" s="63" t="str">
        <f t="shared" si="50"/>
        <v/>
      </c>
      <c r="FS37" s="53" t="str">
        <f t="shared" si="51"/>
        <v/>
      </c>
    </row>
    <row r="38" ht="15.0" customHeight="1">
      <c r="A38" s="15"/>
      <c r="B38" s="15"/>
      <c r="C38" s="15"/>
      <c r="D38" s="15"/>
      <c r="E38" s="15"/>
      <c r="F38" s="15"/>
      <c r="G38" s="15"/>
      <c r="H38" s="20"/>
      <c r="I38" s="12" t="str">
        <f>IF($A38="","",SUMIFS('Consumable Usage'!$E:$E,'Consumable Usage'!$A:$A,$A38,'Consumable Usage'!$D:$D,1))</f>
        <v/>
      </c>
      <c r="J38" s="12" t="str">
        <f>IF($A38="","",SUMIFS('Nursing Charges'!$I:$I,'Nursing Charges'!$A:$A,$A38,'Nursing Charges'!$C:$C,1))</f>
        <v/>
      </c>
      <c r="K38" s="12" t="str">
        <f>IF($A38="","",H38+(J38-SUMIFS('Nursing Charges'!$J:$J,'Nursing Charges'!$A:$A,$A38,'Nursing Charges'!$C:$C,1))+(I38-SUMIFS('Consumable Usage'!$F:$F,'Consumable Usage'!$A:$A,$A38,'Consumable Usage'!$D:$D,1)))</f>
        <v/>
      </c>
      <c r="L38" s="12" t="str">
        <f t="shared" si="1"/>
        <v/>
      </c>
      <c r="M38" s="20"/>
      <c r="N38" s="12" t="str">
        <f t="shared" si="2"/>
        <v/>
      </c>
      <c r="O38" s="45" t="str">
        <f t="shared" si="3"/>
        <v/>
      </c>
      <c r="P38" s="15"/>
      <c r="Q38" s="15"/>
      <c r="R38" s="20"/>
      <c r="S38" s="12" t="str">
        <f>IF($A38="","",SUMIFS('Consumable Usage'!$E:$E,'Consumable Usage'!$A:$A,$A38,'Consumable Usage'!$D:$D,2))</f>
        <v/>
      </c>
      <c r="T38" s="12" t="str">
        <f>IF($A38="","",SUMIFS('Nursing Charges'!$I:$I,'Nursing Charges'!$A:$A,$A38,'Nursing Charges'!$C:$C,2))</f>
        <v/>
      </c>
      <c r="U38" s="12" t="str">
        <f>IF($A38="","",R38+(T38-SUMIFS('Nursing Charges'!$J:$J,'Nursing Charges'!$A:$A,$A38,'Nursing Charges'!$C:$C,2))+(S38-SUMIFS('Consumable Usage'!$F:$F,'Consumable Usage'!$A:$A,$A38,'Consumable Usage'!$D:$D,2)))</f>
        <v/>
      </c>
      <c r="V38" s="12" t="str">
        <f t="shared" si="4"/>
        <v/>
      </c>
      <c r="W38" s="20"/>
      <c r="X38" s="12" t="str">
        <f t="shared" si="5"/>
        <v/>
      </c>
      <c r="Y38" s="45" t="str">
        <f t="shared" si="6"/>
        <v/>
      </c>
      <c r="Z38" s="15"/>
      <c r="AA38" s="15"/>
      <c r="AB38" s="20"/>
      <c r="AC38" s="12" t="str">
        <f>IF($A38="","",SUMIFS('Consumable Usage'!$E:$E,'Consumable Usage'!$A:$A,$A38,'Consumable Usage'!$D:$D,3))</f>
        <v/>
      </c>
      <c r="AD38" s="12" t="str">
        <f>IF($A38="","",SUMIFS('Nursing Charges'!$I:$I,'Nursing Charges'!$A:$A,$A38,'Nursing Charges'!$C:$C,3))</f>
        <v/>
      </c>
      <c r="AE38" s="12" t="str">
        <f>IF($A38="","",AB38+(AD38-SUMIFS('Nursing Charges'!$J:$J,'Nursing Charges'!$A:$A,$A38,'Nursing Charges'!$C:$C,3))+(AC38-SUMIFS('Consumable Usage'!$F:$F,'Consumable Usage'!$A:$A,$A38,'Consumable Usage'!$D:$D,3)))</f>
        <v/>
      </c>
      <c r="AF38" s="12" t="str">
        <f t="shared" si="7"/>
        <v/>
      </c>
      <c r="AG38" s="20"/>
      <c r="AH38" s="12" t="str">
        <f t="shared" si="8"/>
        <v/>
      </c>
      <c r="AI38" s="45" t="str">
        <f t="shared" si="9"/>
        <v/>
      </c>
      <c r="AJ38" s="15"/>
      <c r="AK38" s="15"/>
      <c r="AL38" s="20"/>
      <c r="AM38" s="12" t="str">
        <f>IF($A38="","",SUMIFS('Consumable Usage'!$E:$E,'Consumable Usage'!$A:$A,$A38,'Consumable Usage'!$D:$D,4))</f>
        <v/>
      </c>
      <c r="AN38" s="12" t="str">
        <f>IF($A38="","",SUMIFS('Nursing Charges'!$I:$I,'Nursing Charges'!$A:$A,$A38,'Nursing Charges'!$C:$C,4))</f>
        <v/>
      </c>
      <c r="AO38" s="12" t="str">
        <f>IF($A38="","",AL38+(AN38-SUMIFS('Nursing Charges'!$J:$J,'Nursing Charges'!$A:$A,$A38,'Nursing Charges'!$C:$C,4))+(AM38-SUMIFS('Consumable Usage'!$F:$F,'Consumable Usage'!$A:$A,$A38,'Consumable Usage'!$D:$D,4)))</f>
        <v/>
      </c>
      <c r="AP38" s="12" t="str">
        <f t="shared" si="10"/>
        <v/>
      </c>
      <c r="AQ38" s="20"/>
      <c r="AR38" s="12" t="str">
        <f t="shared" si="11"/>
        <v/>
      </c>
      <c r="AS38" s="45" t="str">
        <f t="shared" si="12"/>
        <v/>
      </c>
      <c r="AT38" s="15"/>
      <c r="AU38" s="15"/>
      <c r="AV38" s="20"/>
      <c r="AW38" s="12" t="str">
        <f>IF($A38="","",SUMIFS('Consumable Usage'!$E:$E,'Consumable Usage'!$A:$A,$A38,'Consumable Usage'!$D:$D,5))</f>
        <v/>
      </c>
      <c r="AX38" s="12" t="str">
        <f>IF($A38="","",SUMIFS('Nursing Charges'!$I:$I,'Nursing Charges'!$A:$A,$A38,'Nursing Charges'!$C:$C,5))</f>
        <v/>
      </c>
      <c r="AY38" s="12" t="str">
        <f>IF($A38="","",AV38+(AX38-SUMIFS('Nursing Charges'!$J:$J,'Nursing Charges'!$A:$A,$A38,'Nursing Charges'!$C:$C,5))+(AW38-SUMIFS('Consumable Usage'!$F:$F,'Consumable Usage'!$A:$A,$A38,'Consumable Usage'!$D:$D,5)))</f>
        <v/>
      </c>
      <c r="AZ38" s="12" t="str">
        <f t="shared" si="13"/>
        <v/>
      </c>
      <c r="BA38" s="20"/>
      <c r="BB38" s="12" t="str">
        <f t="shared" si="14"/>
        <v/>
      </c>
      <c r="BC38" s="45" t="str">
        <f t="shared" si="15"/>
        <v/>
      </c>
      <c r="BD38" s="15"/>
      <c r="BE38" s="15"/>
      <c r="BF38" s="20"/>
      <c r="BG38" s="12" t="str">
        <f>IF($A38="","",SUMIFS('Consumable Usage'!$E:$E,'Consumable Usage'!$A:$A,$A38,'Consumable Usage'!$D:$D,6))</f>
        <v/>
      </c>
      <c r="BH38" s="12" t="str">
        <f>IF($A38="","",SUMIFS('Nursing Charges'!$I:$I,'Nursing Charges'!$A:$A,$A38,'Nursing Charges'!$C:$C,6))</f>
        <v/>
      </c>
      <c r="BI38" s="12" t="str">
        <f>IF($A38="","",BF38+(BH38-SUMIFS('Nursing Charges'!$J:$J,'Nursing Charges'!$A:$A,$A38,'Nursing Charges'!$C:$C,6))+(BG38-SUMIFS('Consumable Usage'!$F:$F,'Consumable Usage'!$A:$A,$A38,'Consumable Usage'!$D:$D,6)))</f>
        <v/>
      </c>
      <c r="BJ38" s="12" t="str">
        <f t="shared" si="16"/>
        <v/>
      </c>
      <c r="BK38" s="20"/>
      <c r="BL38" s="12" t="str">
        <f t="shared" si="17"/>
        <v/>
      </c>
      <c r="BM38" s="45" t="str">
        <f t="shared" si="18"/>
        <v/>
      </c>
      <c r="BN38" s="15"/>
      <c r="BO38" s="15"/>
      <c r="BP38" s="20"/>
      <c r="BQ38" s="12" t="str">
        <f>IF($A38="","",SUMIFS('Consumable Usage'!$E:$E,'Consumable Usage'!$A:$A,$A38,'Consumable Usage'!$D:$D,7))</f>
        <v/>
      </c>
      <c r="BR38" s="12" t="str">
        <f>IF($A38="","",SUMIFS('Nursing Charges'!$I:$I,'Nursing Charges'!$A:$A,$A38,'Nursing Charges'!$C:$C,7))</f>
        <v/>
      </c>
      <c r="BS38" s="12" t="str">
        <f>IF($A38="","",BP38+(BR38-SUMIFS('Nursing Charges'!$J:$J,'Nursing Charges'!$A:$A,$A38,'Nursing Charges'!$C:$C,7))+(BQ38-SUMIFS('Consumable Usage'!$F:$F,'Consumable Usage'!$A:$A,$A38,'Consumable Usage'!$D:$D,7)))</f>
        <v/>
      </c>
      <c r="BT38" s="12" t="str">
        <f t="shared" si="19"/>
        <v/>
      </c>
      <c r="BU38" s="20"/>
      <c r="BV38" s="12" t="str">
        <f t="shared" si="20"/>
        <v/>
      </c>
      <c r="BW38" s="45" t="str">
        <f t="shared" si="21"/>
        <v/>
      </c>
      <c r="BX38" s="15"/>
      <c r="BY38" s="15"/>
      <c r="BZ38" s="20"/>
      <c r="CA38" s="12" t="str">
        <f>IF($A38="","",SUMIFS('Consumable Usage'!$E:$E,'Consumable Usage'!$A:$A,$A38,'Consumable Usage'!$D:$D,8))</f>
        <v/>
      </c>
      <c r="CB38" s="12" t="str">
        <f>IF($A38="","",SUMIFS('Nursing Charges'!$I:$I,'Nursing Charges'!$A:$A,$A38,'Nursing Charges'!$C:$C,8))</f>
        <v/>
      </c>
      <c r="CC38" s="12" t="str">
        <f>IF($A38="","",BZ38+(CB38-SUMIFS('Nursing Charges'!$J:$J,'Nursing Charges'!$A:$A,$A38,'Nursing Charges'!$C:$C,8))+(CA38-SUMIFS('Consumable Usage'!$F:$F,'Consumable Usage'!$A:$A,$A38,'Consumable Usage'!$D:$D,8)))</f>
        <v/>
      </c>
      <c r="CD38" s="12" t="str">
        <f t="shared" si="22"/>
        <v/>
      </c>
      <c r="CE38" s="20"/>
      <c r="CF38" s="12" t="str">
        <f t="shared" si="23"/>
        <v/>
      </c>
      <c r="CG38" s="45" t="str">
        <f t="shared" si="24"/>
        <v/>
      </c>
      <c r="CH38" s="15"/>
      <c r="CI38" s="15"/>
      <c r="CJ38" s="20"/>
      <c r="CK38" s="12" t="str">
        <f>IF($A38="","",SUMIFS('Consumable Usage'!$E:$E,'Consumable Usage'!$A:$A,$A38,'Consumable Usage'!$D:$D,9))</f>
        <v/>
      </c>
      <c r="CL38" s="12" t="str">
        <f>IF($A38="","",SUMIFS('Nursing Charges'!$I:$I,'Nursing Charges'!$A:$A,$A38,'Nursing Charges'!$C:$C,9))</f>
        <v/>
      </c>
      <c r="CM38" s="12" t="str">
        <f>IF($A38="","",CJ38+(CL38-SUMIFS('Nursing Charges'!$J:$J,'Nursing Charges'!$A:$A,$A38,'Nursing Charges'!$C:$C,9))+(CK38-SUMIFS('Consumable Usage'!$F:$F,'Consumable Usage'!$A:$A,$A38,'Consumable Usage'!$D:$D,9)))</f>
        <v/>
      </c>
      <c r="CN38" s="12" t="str">
        <f t="shared" si="25"/>
        <v/>
      </c>
      <c r="CO38" s="20"/>
      <c r="CP38" s="12" t="str">
        <f t="shared" si="26"/>
        <v/>
      </c>
      <c r="CQ38" s="45" t="str">
        <f t="shared" si="27"/>
        <v/>
      </c>
      <c r="CR38" s="15"/>
      <c r="CS38" s="15"/>
      <c r="CT38" s="20"/>
      <c r="CU38" s="12" t="str">
        <f>IF($A38="","",SUMIFS('Consumable Usage'!$E:$E,'Consumable Usage'!$A:$A,$A38,'Consumable Usage'!$D:$D,10))</f>
        <v/>
      </c>
      <c r="CV38" s="12" t="str">
        <f>IF($A38="","",SUMIFS('Nursing Charges'!$I:$I,'Nursing Charges'!$A:$A,$A38,'Nursing Charges'!$C:$C,10))</f>
        <v/>
      </c>
      <c r="CW38" s="12" t="str">
        <f>IF($A38="","",CT38+(CV38-SUMIFS('Nursing Charges'!$J:$J,'Nursing Charges'!$A:$A,$A38,'Nursing Charges'!$C:$C,10))+(CU38-SUMIFS('Consumable Usage'!$F:$F,'Consumable Usage'!$A:$A,$A38,'Consumable Usage'!$D:$D,10)))</f>
        <v/>
      </c>
      <c r="CX38" s="12" t="str">
        <f t="shared" si="28"/>
        <v/>
      </c>
      <c r="CY38" s="20"/>
      <c r="CZ38" s="12" t="str">
        <f t="shared" si="29"/>
        <v/>
      </c>
      <c r="DA38" s="45" t="str">
        <f t="shared" si="30"/>
        <v/>
      </c>
      <c r="DB38" s="15"/>
      <c r="DC38" s="15"/>
      <c r="DD38" s="20"/>
      <c r="DE38" s="12" t="str">
        <f>IF($A38="","",SUMIFS('Consumable Usage'!$E:$E,'Consumable Usage'!$A:$A,$A38,'Consumable Usage'!$D:$D,11))</f>
        <v/>
      </c>
      <c r="DF38" s="12" t="str">
        <f>IF($A38="","",SUMIFS('Nursing Charges'!$I:$I,'Nursing Charges'!$A:$A,$A38,'Nursing Charges'!$C:$C,11))</f>
        <v/>
      </c>
      <c r="DG38" s="12" t="str">
        <f>IF($A38="","",DD38+(DF38-SUMIFS('Nursing Charges'!$J:$J,'Nursing Charges'!$A:$A,$A38,'Nursing Charges'!$C:$C,11))+(DE38-SUMIFS('Consumable Usage'!$F:$F,'Consumable Usage'!$A:$A,$A38,'Consumable Usage'!$D:$D,11)))</f>
        <v/>
      </c>
      <c r="DH38" s="12" t="str">
        <f t="shared" si="31"/>
        <v/>
      </c>
      <c r="DI38" s="20"/>
      <c r="DJ38" s="12" t="str">
        <f t="shared" si="32"/>
        <v/>
      </c>
      <c r="DK38" s="45" t="str">
        <f t="shared" si="33"/>
        <v/>
      </c>
      <c r="DL38" s="15"/>
      <c r="DM38" s="15"/>
      <c r="DN38" s="20"/>
      <c r="DO38" s="12" t="str">
        <f>IF($A38="","",SUMIFS('Consumable Usage'!$E:$E,'Consumable Usage'!$A:$A,$A38,'Consumable Usage'!$D:$D,12))</f>
        <v/>
      </c>
      <c r="DP38" s="12" t="str">
        <f>IF($A38="","",SUMIFS('Nursing Charges'!$I:$I,'Nursing Charges'!$A:$A,$A38,'Nursing Charges'!$C:$C,12))</f>
        <v/>
      </c>
      <c r="DQ38" s="12" t="str">
        <f>IF($A38="","",DN38+(DP38-SUMIFS('Nursing Charges'!$J:$J,'Nursing Charges'!$A:$A,$A38,'Nursing Charges'!$C:$C,12))+(DO38-SUMIFS('Consumable Usage'!$F:$F,'Consumable Usage'!$A:$A,$A38,'Consumable Usage'!$D:$D,12)))</f>
        <v/>
      </c>
      <c r="DR38" s="12" t="str">
        <f t="shared" si="34"/>
        <v/>
      </c>
      <c r="DS38" s="20"/>
      <c r="DT38" s="12" t="str">
        <f t="shared" si="35"/>
        <v/>
      </c>
      <c r="DU38" s="45" t="str">
        <f t="shared" si="36"/>
        <v/>
      </c>
      <c r="DV38" s="15"/>
      <c r="DW38" s="15"/>
      <c r="DX38" s="20"/>
      <c r="DY38" s="12" t="str">
        <f>IF($A38="","",SUMIFS('Consumable Usage'!$E:$E,'Consumable Usage'!$A:$A,$A38,'Consumable Usage'!$D:$D,13))</f>
        <v/>
      </c>
      <c r="DZ38" s="12" t="str">
        <f>IF($A38="","",SUMIFS('Nursing Charges'!$I:$I,'Nursing Charges'!$A:$A,$A38,'Nursing Charges'!$C:$C,13))</f>
        <v/>
      </c>
      <c r="EA38" s="12" t="str">
        <f>IF($A38="","",DX38+(DZ38-SUMIFS('Nursing Charges'!$J:$J,'Nursing Charges'!$A:$A,$A38,'Nursing Charges'!$C:$C,13))+(DY38-SUMIFS('Consumable Usage'!$F:$F,'Consumable Usage'!$A:$A,$A38,'Consumable Usage'!$D:$D,13)))</f>
        <v/>
      </c>
      <c r="EB38" s="12" t="str">
        <f t="shared" si="37"/>
        <v/>
      </c>
      <c r="EC38" s="20"/>
      <c r="ED38" s="12" t="str">
        <f t="shared" si="38"/>
        <v/>
      </c>
      <c r="EE38" s="45" t="str">
        <f t="shared" si="39"/>
        <v/>
      </c>
      <c r="EF38" s="15"/>
      <c r="EG38" s="15"/>
      <c r="EH38" s="20"/>
      <c r="EI38" s="12" t="str">
        <f>IF($A38="","",SUMIFS('Consumable Usage'!$E:$E,'Consumable Usage'!$A:$A,$A38,'Consumable Usage'!$D:$D,14))</f>
        <v/>
      </c>
      <c r="EJ38" s="12" t="str">
        <f>IF($A38="","",SUMIFS('Nursing Charges'!$I:$I,'Nursing Charges'!$A:$A,$A38,'Nursing Charges'!$C:$C,14))</f>
        <v/>
      </c>
      <c r="EK38" s="12" t="str">
        <f>IF($A38="","",EH38+(EJ38-SUMIFS('Nursing Charges'!$J:$J,'Nursing Charges'!$A:$A,$A38,'Nursing Charges'!$C:$C,14))+(EI38-SUMIFS('Consumable Usage'!$F:$F,'Consumable Usage'!$A:$A,$A38,'Consumable Usage'!$D:$D,14)))</f>
        <v/>
      </c>
      <c r="EL38" s="12" t="str">
        <f t="shared" si="40"/>
        <v/>
      </c>
      <c r="EM38" s="20"/>
      <c r="EN38" s="12" t="str">
        <f t="shared" si="41"/>
        <v/>
      </c>
      <c r="EO38" s="45" t="str">
        <f t="shared" si="42"/>
        <v/>
      </c>
      <c r="EP38" s="15"/>
      <c r="EQ38" s="15"/>
      <c r="ER38" s="20"/>
      <c r="ES38" s="12" t="str">
        <f>IF($A38="","",SUMIFS('Consumable Usage'!$E:$E,'Consumable Usage'!$A:$A,$A38,'Consumable Usage'!$D:$D,15))</f>
        <v/>
      </c>
      <c r="ET38" s="12" t="str">
        <f>IF($A38="","",SUMIFS('Nursing Charges'!$I:$I,'Nursing Charges'!$A:$A,$A38,'Nursing Charges'!$C:$C,15))</f>
        <v/>
      </c>
      <c r="EU38" s="12" t="str">
        <f>IF($A38="","",ER38+(ET38-SUMIFS('Nursing Charges'!$J:$J,'Nursing Charges'!$A:$A,$A38,'Nursing Charges'!$C:$C,15))+(ES38-SUMIFS('Consumable Usage'!$F:$F,'Consumable Usage'!$A:$A,$A38,'Consumable Usage'!$D:$D,15)))</f>
        <v/>
      </c>
      <c r="EV38" s="12" t="str">
        <f t="shared" si="43"/>
        <v/>
      </c>
      <c r="EW38" s="20"/>
      <c r="EX38" s="12" t="str">
        <f t="shared" si="44"/>
        <v/>
      </c>
      <c r="EY38" s="45" t="str">
        <f t="shared" si="45"/>
        <v/>
      </c>
      <c r="EZ38" s="15"/>
      <c r="FA38" s="15"/>
      <c r="FB38" s="20"/>
      <c r="FC38" s="12" t="str">
        <f>IF($A38="","",SUMIFS('Consumable Usage'!$E:$E,'Consumable Usage'!$A:$A,$A38,'Consumable Usage'!$D:$D,16))</f>
        <v/>
      </c>
      <c r="FD38" s="12" t="str">
        <f>IF($A38="","",SUMIFS('Nursing Charges'!$I:$I,'Nursing Charges'!$A:$A,$A38,'Nursing Charges'!$C:$C,16))</f>
        <v/>
      </c>
      <c r="FE38" s="12" t="str">
        <f>IF($A38="","",FB38+(FD38-SUMIFS('Nursing Charges'!$J:$J,'Nursing Charges'!$A:$A,$A38,'Nursing Charges'!$C:$C,16))+(FC38-SUMIFS('Consumable Usage'!$F:$F,'Consumable Usage'!$A:$A,$A38,'Consumable Usage'!$D:$D,16)))</f>
        <v/>
      </c>
      <c r="FF38" s="12" t="str">
        <f t="shared" si="46"/>
        <v/>
      </c>
      <c r="FG38" s="20"/>
      <c r="FH38" s="12" t="str">
        <f t="shared" si="47"/>
        <v/>
      </c>
      <c r="FI38" s="45" t="str">
        <f t="shared" si="48"/>
        <v/>
      </c>
      <c r="FJ38" s="53"/>
      <c r="FK38" s="53"/>
      <c r="FL38" s="63"/>
      <c r="FM38" s="63" t="str">
        <f>IF($A38="","",SUMIFS('Consumable Usage'!$E:$E,'Consumable Usage'!$A:$A,$A38,'Consumable Usage'!$D:$D,16))</f>
        <v/>
      </c>
      <c r="FN38" s="63" t="str">
        <f>IF($A38="","",SUMIFS('Nursing Charges'!$I:$I,'Nursing Charges'!$A:$A,$A38,'Nursing Charges'!$C:$C,16))</f>
        <v/>
      </c>
      <c r="FO38" s="63" t="str">
        <f>IF($A38="","",FL38+(FN38-SUMIFS('Nursing Charges'!$J:$J,'Nursing Charges'!$A:$A,$A38,'Nursing Charges'!$C:$C,16))+(FM38-SUMIFS('Consumable Usage'!$F:$F,'Consumable Usage'!$A:$A,$A38,'Consumable Usage'!$D:$D,16)))</f>
        <v/>
      </c>
      <c r="FP38" s="63" t="str">
        <f t="shared" si="49"/>
        <v/>
      </c>
      <c r="FQ38" s="63"/>
      <c r="FR38" s="63" t="str">
        <f t="shared" si="50"/>
        <v/>
      </c>
      <c r="FS38" s="53" t="str">
        <f t="shared" si="51"/>
        <v/>
      </c>
    </row>
    <row r="39" ht="15.0" customHeight="1">
      <c r="A39" s="15"/>
      <c r="B39" s="15"/>
      <c r="C39" s="15"/>
      <c r="D39" s="15"/>
      <c r="E39" s="15"/>
      <c r="F39" s="15"/>
      <c r="G39" s="15"/>
      <c r="H39" s="20"/>
      <c r="I39" s="12" t="str">
        <f>IF($A39="","",SUMIFS('Consumable Usage'!$E:$E,'Consumable Usage'!$A:$A,$A39,'Consumable Usage'!$D:$D,1))</f>
        <v/>
      </c>
      <c r="J39" s="12" t="str">
        <f>IF($A39="","",SUMIFS('Nursing Charges'!$I:$I,'Nursing Charges'!$A:$A,$A39,'Nursing Charges'!$C:$C,1))</f>
        <v/>
      </c>
      <c r="K39" s="12" t="str">
        <f>IF($A39="","",H39+(J39-SUMIFS('Nursing Charges'!$J:$J,'Nursing Charges'!$A:$A,$A39,'Nursing Charges'!$C:$C,1))+(I39-SUMIFS('Consumable Usage'!$F:$F,'Consumable Usage'!$A:$A,$A39,'Consumable Usage'!$D:$D,1)))</f>
        <v/>
      </c>
      <c r="L39" s="12" t="str">
        <f t="shared" si="1"/>
        <v/>
      </c>
      <c r="M39" s="20"/>
      <c r="N39" s="12" t="str">
        <f t="shared" si="2"/>
        <v/>
      </c>
      <c r="O39" s="45" t="str">
        <f t="shared" si="3"/>
        <v/>
      </c>
      <c r="P39" s="15"/>
      <c r="Q39" s="15"/>
      <c r="R39" s="20"/>
      <c r="S39" s="12" t="str">
        <f>IF($A39="","",SUMIFS('Consumable Usage'!$E:$E,'Consumable Usage'!$A:$A,$A39,'Consumable Usage'!$D:$D,2))</f>
        <v/>
      </c>
      <c r="T39" s="12" t="str">
        <f>IF($A39="","",SUMIFS('Nursing Charges'!$I:$I,'Nursing Charges'!$A:$A,$A39,'Nursing Charges'!$C:$C,2))</f>
        <v/>
      </c>
      <c r="U39" s="12" t="str">
        <f>IF($A39="","",R39+(T39-SUMIFS('Nursing Charges'!$J:$J,'Nursing Charges'!$A:$A,$A39,'Nursing Charges'!$C:$C,2))+(S39-SUMIFS('Consumable Usage'!$F:$F,'Consumable Usage'!$A:$A,$A39,'Consumable Usage'!$D:$D,2)))</f>
        <v/>
      </c>
      <c r="V39" s="12" t="str">
        <f t="shared" si="4"/>
        <v/>
      </c>
      <c r="W39" s="20"/>
      <c r="X39" s="12" t="str">
        <f t="shared" si="5"/>
        <v/>
      </c>
      <c r="Y39" s="45" t="str">
        <f t="shared" si="6"/>
        <v/>
      </c>
      <c r="Z39" s="15"/>
      <c r="AA39" s="15"/>
      <c r="AB39" s="20"/>
      <c r="AC39" s="12" t="str">
        <f>IF($A39="","",SUMIFS('Consumable Usage'!$E:$E,'Consumable Usage'!$A:$A,$A39,'Consumable Usage'!$D:$D,3))</f>
        <v/>
      </c>
      <c r="AD39" s="12" t="str">
        <f>IF($A39="","",SUMIFS('Nursing Charges'!$I:$I,'Nursing Charges'!$A:$A,$A39,'Nursing Charges'!$C:$C,3))</f>
        <v/>
      </c>
      <c r="AE39" s="12" t="str">
        <f>IF($A39="","",AB39+(AD39-SUMIFS('Nursing Charges'!$J:$J,'Nursing Charges'!$A:$A,$A39,'Nursing Charges'!$C:$C,3))+(AC39-SUMIFS('Consumable Usage'!$F:$F,'Consumable Usage'!$A:$A,$A39,'Consumable Usage'!$D:$D,3)))</f>
        <v/>
      </c>
      <c r="AF39" s="12" t="str">
        <f t="shared" si="7"/>
        <v/>
      </c>
      <c r="AG39" s="20"/>
      <c r="AH39" s="12" t="str">
        <f t="shared" si="8"/>
        <v/>
      </c>
      <c r="AI39" s="45" t="str">
        <f t="shared" si="9"/>
        <v/>
      </c>
      <c r="AJ39" s="15"/>
      <c r="AK39" s="15"/>
      <c r="AL39" s="20"/>
      <c r="AM39" s="12" t="str">
        <f>IF($A39="","",SUMIFS('Consumable Usage'!$E:$E,'Consumable Usage'!$A:$A,$A39,'Consumable Usage'!$D:$D,4))</f>
        <v/>
      </c>
      <c r="AN39" s="12" t="str">
        <f>IF($A39="","",SUMIFS('Nursing Charges'!$I:$I,'Nursing Charges'!$A:$A,$A39,'Nursing Charges'!$C:$C,4))</f>
        <v/>
      </c>
      <c r="AO39" s="12" t="str">
        <f>IF($A39="","",AL39+(AN39-SUMIFS('Nursing Charges'!$J:$J,'Nursing Charges'!$A:$A,$A39,'Nursing Charges'!$C:$C,4))+(AM39-SUMIFS('Consumable Usage'!$F:$F,'Consumable Usage'!$A:$A,$A39,'Consumable Usage'!$D:$D,4)))</f>
        <v/>
      </c>
      <c r="AP39" s="12" t="str">
        <f t="shared" si="10"/>
        <v/>
      </c>
      <c r="AQ39" s="20"/>
      <c r="AR39" s="12" t="str">
        <f t="shared" si="11"/>
        <v/>
      </c>
      <c r="AS39" s="45" t="str">
        <f t="shared" si="12"/>
        <v/>
      </c>
      <c r="AT39" s="15"/>
      <c r="AU39" s="15"/>
      <c r="AV39" s="20"/>
      <c r="AW39" s="12" t="str">
        <f>IF($A39="","",SUMIFS('Consumable Usage'!$E:$E,'Consumable Usage'!$A:$A,$A39,'Consumable Usage'!$D:$D,5))</f>
        <v/>
      </c>
      <c r="AX39" s="12" t="str">
        <f>IF($A39="","",SUMIFS('Nursing Charges'!$I:$I,'Nursing Charges'!$A:$A,$A39,'Nursing Charges'!$C:$C,5))</f>
        <v/>
      </c>
      <c r="AY39" s="12" t="str">
        <f>IF($A39="","",AV39+(AX39-SUMIFS('Nursing Charges'!$J:$J,'Nursing Charges'!$A:$A,$A39,'Nursing Charges'!$C:$C,5))+(AW39-SUMIFS('Consumable Usage'!$F:$F,'Consumable Usage'!$A:$A,$A39,'Consumable Usage'!$D:$D,5)))</f>
        <v/>
      </c>
      <c r="AZ39" s="12" t="str">
        <f t="shared" si="13"/>
        <v/>
      </c>
      <c r="BA39" s="20"/>
      <c r="BB39" s="12" t="str">
        <f t="shared" si="14"/>
        <v/>
      </c>
      <c r="BC39" s="45" t="str">
        <f t="shared" si="15"/>
        <v/>
      </c>
      <c r="BD39" s="15"/>
      <c r="BE39" s="15"/>
      <c r="BF39" s="20"/>
      <c r="BG39" s="12" t="str">
        <f>IF($A39="","",SUMIFS('Consumable Usage'!$E:$E,'Consumable Usage'!$A:$A,$A39,'Consumable Usage'!$D:$D,6))</f>
        <v/>
      </c>
      <c r="BH39" s="12" t="str">
        <f>IF($A39="","",SUMIFS('Nursing Charges'!$I:$I,'Nursing Charges'!$A:$A,$A39,'Nursing Charges'!$C:$C,6))</f>
        <v/>
      </c>
      <c r="BI39" s="12" t="str">
        <f>IF($A39="","",BF39+(BH39-SUMIFS('Nursing Charges'!$J:$J,'Nursing Charges'!$A:$A,$A39,'Nursing Charges'!$C:$C,6))+(BG39-SUMIFS('Consumable Usage'!$F:$F,'Consumable Usage'!$A:$A,$A39,'Consumable Usage'!$D:$D,6)))</f>
        <v/>
      </c>
      <c r="BJ39" s="12" t="str">
        <f t="shared" si="16"/>
        <v/>
      </c>
      <c r="BK39" s="20"/>
      <c r="BL39" s="12" t="str">
        <f t="shared" si="17"/>
        <v/>
      </c>
      <c r="BM39" s="45" t="str">
        <f t="shared" si="18"/>
        <v/>
      </c>
      <c r="BN39" s="15"/>
      <c r="BO39" s="15"/>
      <c r="BP39" s="20"/>
      <c r="BQ39" s="12" t="str">
        <f>IF($A39="","",SUMIFS('Consumable Usage'!$E:$E,'Consumable Usage'!$A:$A,$A39,'Consumable Usage'!$D:$D,7))</f>
        <v/>
      </c>
      <c r="BR39" s="12" t="str">
        <f>IF($A39="","",SUMIFS('Nursing Charges'!$I:$I,'Nursing Charges'!$A:$A,$A39,'Nursing Charges'!$C:$C,7))</f>
        <v/>
      </c>
      <c r="BS39" s="12" t="str">
        <f>IF($A39="","",BP39+(BR39-SUMIFS('Nursing Charges'!$J:$J,'Nursing Charges'!$A:$A,$A39,'Nursing Charges'!$C:$C,7))+(BQ39-SUMIFS('Consumable Usage'!$F:$F,'Consumable Usage'!$A:$A,$A39,'Consumable Usage'!$D:$D,7)))</f>
        <v/>
      </c>
      <c r="BT39" s="12" t="str">
        <f t="shared" si="19"/>
        <v/>
      </c>
      <c r="BU39" s="20"/>
      <c r="BV39" s="12" t="str">
        <f t="shared" si="20"/>
        <v/>
      </c>
      <c r="BW39" s="45" t="str">
        <f t="shared" si="21"/>
        <v/>
      </c>
      <c r="BX39" s="15"/>
      <c r="BY39" s="15"/>
      <c r="BZ39" s="20"/>
      <c r="CA39" s="12" t="str">
        <f>IF($A39="","",SUMIFS('Consumable Usage'!$E:$E,'Consumable Usage'!$A:$A,$A39,'Consumable Usage'!$D:$D,8))</f>
        <v/>
      </c>
      <c r="CB39" s="12" t="str">
        <f>IF($A39="","",SUMIFS('Nursing Charges'!$I:$I,'Nursing Charges'!$A:$A,$A39,'Nursing Charges'!$C:$C,8))</f>
        <v/>
      </c>
      <c r="CC39" s="12" t="str">
        <f>IF($A39="","",BZ39+(CB39-SUMIFS('Nursing Charges'!$J:$J,'Nursing Charges'!$A:$A,$A39,'Nursing Charges'!$C:$C,8))+(CA39-SUMIFS('Consumable Usage'!$F:$F,'Consumable Usage'!$A:$A,$A39,'Consumable Usage'!$D:$D,8)))</f>
        <v/>
      </c>
      <c r="CD39" s="12" t="str">
        <f t="shared" si="22"/>
        <v/>
      </c>
      <c r="CE39" s="20"/>
      <c r="CF39" s="12" t="str">
        <f t="shared" si="23"/>
        <v/>
      </c>
      <c r="CG39" s="45" t="str">
        <f t="shared" si="24"/>
        <v/>
      </c>
      <c r="CH39" s="15"/>
      <c r="CI39" s="15"/>
      <c r="CJ39" s="20"/>
      <c r="CK39" s="12" t="str">
        <f>IF($A39="","",SUMIFS('Consumable Usage'!$E:$E,'Consumable Usage'!$A:$A,$A39,'Consumable Usage'!$D:$D,9))</f>
        <v/>
      </c>
      <c r="CL39" s="12" t="str">
        <f>IF($A39="","",SUMIFS('Nursing Charges'!$I:$I,'Nursing Charges'!$A:$A,$A39,'Nursing Charges'!$C:$C,9))</f>
        <v/>
      </c>
      <c r="CM39" s="12" t="str">
        <f>IF($A39="","",CJ39+(CL39-SUMIFS('Nursing Charges'!$J:$J,'Nursing Charges'!$A:$A,$A39,'Nursing Charges'!$C:$C,9))+(CK39-SUMIFS('Consumable Usage'!$F:$F,'Consumable Usage'!$A:$A,$A39,'Consumable Usage'!$D:$D,9)))</f>
        <v/>
      </c>
      <c r="CN39" s="12" t="str">
        <f t="shared" si="25"/>
        <v/>
      </c>
      <c r="CO39" s="20"/>
      <c r="CP39" s="12" t="str">
        <f t="shared" si="26"/>
        <v/>
      </c>
      <c r="CQ39" s="45" t="str">
        <f t="shared" si="27"/>
        <v/>
      </c>
      <c r="CR39" s="15"/>
      <c r="CS39" s="15"/>
      <c r="CT39" s="20"/>
      <c r="CU39" s="12" t="str">
        <f>IF($A39="","",SUMIFS('Consumable Usage'!$E:$E,'Consumable Usage'!$A:$A,$A39,'Consumable Usage'!$D:$D,10))</f>
        <v/>
      </c>
      <c r="CV39" s="12" t="str">
        <f>IF($A39="","",SUMIFS('Nursing Charges'!$I:$I,'Nursing Charges'!$A:$A,$A39,'Nursing Charges'!$C:$C,10))</f>
        <v/>
      </c>
      <c r="CW39" s="12" t="str">
        <f>IF($A39="","",CT39+(CV39-SUMIFS('Nursing Charges'!$J:$J,'Nursing Charges'!$A:$A,$A39,'Nursing Charges'!$C:$C,10))+(CU39-SUMIFS('Consumable Usage'!$F:$F,'Consumable Usage'!$A:$A,$A39,'Consumable Usage'!$D:$D,10)))</f>
        <v/>
      </c>
      <c r="CX39" s="12" t="str">
        <f t="shared" si="28"/>
        <v/>
      </c>
      <c r="CY39" s="20"/>
      <c r="CZ39" s="12" t="str">
        <f t="shared" si="29"/>
        <v/>
      </c>
      <c r="DA39" s="45" t="str">
        <f t="shared" si="30"/>
        <v/>
      </c>
      <c r="DB39" s="15"/>
      <c r="DC39" s="15"/>
      <c r="DD39" s="20"/>
      <c r="DE39" s="12" t="str">
        <f>IF($A39="","",SUMIFS('Consumable Usage'!$E:$E,'Consumable Usage'!$A:$A,$A39,'Consumable Usage'!$D:$D,11))</f>
        <v/>
      </c>
      <c r="DF39" s="12" t="str">
        <f>IF($A39="","",SUMIFS('Nursing Charges'!$I:$I,'Nursing Charges'!$A:$A,$A39,'Nursing Charges'!$C:$C,11))</f>
        <v/>
      </c>
      <c r="DG39" s="12" t="str">
        <f>IF($A39="","",DD39+(DF39-SUMIFS('Nursing Charges'!$J:$J,'Nursing Charges'!$A:$A,$A39,'Nursing Charges'!$C:$C,11))+(DE39-SUMIFS('Consumable Usage'!$F:$F,'Consumable Usage'!$A:$A,$A39,'Consumable Usage'!$D:$D,11)))</f>
        <v/>
      </c>
      <c r="DH39" s="12" t="str">
        <f t="shared" si="31"/>
        <v/>
      </c>
      <c r="DI39" s="20"/>
      <c r="DJ39" s="12" t="str">
        <f t="shared" si="32"/>
        <v/>
      </c>
      <c r="DK39" s="45" t="str">
        <f t="shared" si="33"/>
        <v/>
      </c>
      <c r="DL39" s="15"/>
      <c r="DM39" s="15"/>
      <c r="DN39" s="20"/>
      <c r="DO39" s="12" t="str">
        <f>IF($A39="","",SUMIFS('Consumable Usage'!$E:$E,'Consumable Usage'!$A:$A,$A39,'Consumable Usage'!$D:$D,12))</f>
        <v/>
      </c>
      <c r="DP39" s="12" t="str">
        <f>IF($A39="","",SUMIFS('Nursing Charges'!$I:$I,'Nursing Charges'!$A:$A,$A39,'Nursing Charges'!$C:$C,12))</f>
        <v/>
      </c>
      <c r="DQ39" s="12" t="str">
        <f>IF($A39="","",DN39+(DP39-SUMIFS('Nursing Charges'!$J:$J,'Nursing Charges'!$A:$A,$A39,'Nursing Charges'!$C:$C,12))+(DO39-SUMIFS('Consumable Usage'!$F:$F,'Consumable Usage'!$A:$A,$A39,'Consumable Usage'!$D:$D,12)))</f>
        <v/>
      </c>
      <c r="DR39" s="12" t="str">
        <f t="shared" si="34"/>
        <v/>
      </c>
      <c r="DS39" s="20"/>
      <c r="DT39" s="12" t="str">
        <f t="shared" si="35"/>
        <v/>
      </c>
      <c r="DU39" s="45" t="str">
        <f t="shared" si="36"/>
        <v/>
      </c>
      <c r="DV39" s="15"/>
      <c r="DW39" s="15"/>
      <c r="DX39" s="20"/>
      <c r="DY39" s="12" t="str">
        <f>IF($A39="","",SUMIFS('Consumable Usage'!$E:$E,'Consumable Usage'!$A:$A,$A39,'Consumable Usage'!$D:$D,13))</f>
        <v/>
      </c>
      <c r="DZ39" s="12" t="str">
        <f>IF($A39="","",SUMIFS('Nursing Charges'!$I:$I,'Nursing Charges'!$A:$A,$A39,'Nursing Charges'!$C:$C,13))</f>
        <v/>
      </c>
      <c r="EA39" s="12" t="str">
        <f>IF($A39="","",DX39+(DZ39-SUMIFS('Nursing Charges'!$J:$J,'Nursing Charges'!$A:$A,$A39,'Nursing Charges'!$C:$C,13))+(DY39-SUMIFS('Consumable Usage'!$F:$F,'Consumable Usage'!$A:$A,$A39,'Consumable Usage'!$D:$D,13)))</f>
        <v/>
      </c>
      <c r="EB39" s="12" t="str">
        <f t="shared" si="37"/>
        <v/>
      </c>
      <c r="EC39" s="20"/>
      <c r="ED39" s="12" t="str">
        <f t="shared" si="38"/>
        <v/>
      </c>
      <c r="EE39" s="45" t="str">
        <f t="shared" si="39"/>
        <v/>
      </c>
      <c r="EF39" s="15"/>
      <c r="EG39" s="15"/>
      <c r="EH39" s="20"/>
      <c r="EI39" s="12" t="str">
        <f>IF($A39="","",SUMIFS('Consumable Usage'!$E:$E,'Consumable Usage'!$A:$A,$A39,'Consumable Usage'!$D:$D,14))</f>
        <v/>
      </c>
      <c r="EJ39" s="12" t="str">
        <f>IF($A39="","",SUMIFS('Nursing Charges'!$I:$I,'Nursing Charges'!$A:$A,$A39,'Nursing Charges'!$C:$C,14))</f>
        <v/>
      </c>
      <c r="EK39" s="12" t="str">
        <f>IF($A39="","",EH39+(EJ39-SUMIFS('Nursing Charges'!$J:$J,'Nursing Charges'!$A:$A,$A39,'Nursing Charges'!$C:$C,14))+(EI39-SUMIFS('Consumable Usage'!$F:$F,'Consumable Usage'!$A:$A,$A39,'Consumable Usage'!$D:$D,14)))</f>
        <v/>
      </c>
      <c r="EL39" s="12" t="str">
        <f t="shared" si="40"/>
        <v/>
      </c>
      <c r="EM39" s="20"/>
      <c r="EN39" s="12" t="str">
        <f t="shared" si="41"/>
        <v/>
      </c>
      <c r="EO39" s="45" t="str">
        <f t="shared" si="42"/>
        <v/>
      </c>
      <c r="EP39" s="15"/>
      <c r="EQ39" s="15"/>
      <c r="ER39" s="20"/>
      <c r="ES39" s="12" t="str">
        <f>IF($A39="","",SUMIFS('Consumable Usage'!$E:$E,'Consumable Usage'!$A:$A,$A39,'Consumable Usage'!$D:$D,15))</f>
        <v/>
      </c>
      <c r="ET39" s="12" t="str">
        <f>IF($A39="","",SUMIFS('Nursing Charges'!$I:$I,'Nursing Charges'!$A:$A,$A39,'Nursing Charges'!$C:$C,15))</f>
        <v/>
      </c>
      <c r="EU39" s="12" t="str">
        <f>IF($A39="","",ER39+(ET39-SUMIFS('Nursing Charges'!$J:$J,'Nursing Charges'!$A:$A,$A39,'Nursing Charges'!$C:$C,15))+(ES39-SUMIFS('Consumable Usage'!$F:$F,'Consumable Usage'!$A:$A,$A39,'Consumable Usage'!$D:$D,15)))</f>
        <v/>
      </c>
      <c r="EV39" s="12" t="str">
        <f t="shared" si="43"/>
        <v/>
      </c>
      <c r="EW39" s="20"/>
      <c r="EX39" s="12" t="str">
        <f t="shared" si="44"/>
        <v/>
      </c>
      <c r="EY39" s="45" t="str">
        <f t="shared" si="45"/>
        <v/>
      </c>
      <c r="EZ39" s="15"/>
      <c r="FA39" s="15"/>
      <c r="FB39" s="20"/>
      <c r="FC39" s="12" t="str">
        <f>IF($A39="","",SUMIFS('Consumable Usage'!$E:$E,'Consumable Usage'!$A:$A,$A39,'Consumable Usage'!$D:$D,16))</f>
        <v/>
      </c>
      <c r="FD39" s="12" t="str">
        <f>IF($A39="","",SUMIFS('Nursing Charges'!$I:$I,'Nursing Charges'!$A:$A,$A39,'Nursing Charges'!$C:$C,16))</f>
        <v/>
      </c>
      <c r="FE39" s="12" t="str">
        <f>IF($A39="","",FB39+(FD39-SUMIFS('Nursing Charges'!$J:$J,'Nursing Charges'!$A:$A,$A39,'Nursing Charges'!$C:$C,16))+(FC39-SUMIFS('Consumable Usage'!$F:$F,'Consumable Usage'!$A:$A,$A39,'Consumable Usage'!$D:$D,16)))</f>
        <v/>
      </c>
      <c r="FF39" s="12" t="str">
        <f t="shared" si="46"/>
        <v/>
      </c>
      <c r="FG39" s="20"/>
      <c r="FH39" s="12" t="str">
        <f t="shared" si="47"/>
        <v/>
      </c>
      <c r="FI39" s="45" t="str">
        <f t="shared" si="48"/>
        <v/>
      </c>
      <c r="FJ39" s="53"/>
      <c r="FK39" s="53"/>
      <c r="FL39" s="63"/>
      <c r="FM39" s="63" t="str">
        <f>IF($A39="","",SUMIFS('Consumable Usage'!$E:$E,'Consumable Usage'!$A:$A,$A39,'Consumable Usage'!$D:$D,16))</f>
        <v/>
      </c>
      <c r="FN39" s="63" t="str">
        <f>IF($A39="","",SUMIFS('Nursing Charges'!$I:$I,'Nursing Charges'!$A:$A,$A39,'Nursing Charges'!$C:$C,16))</f>
        <v/>
      </c>
      <c r="FO39" s="63" t="str">
        <f>IF($A39="","",FL39+(FN39-SUMIFS('Nursing Charges'!$J:$J,'Nursing Charges'!$A:$A,$A39,'Nursing Charges'!$C:$C,16))+(FM39-SUMIFS('Consumable Usage'!$F:$F,'Consumable Usage'!$A:$A,$A39,'Consumable Usage'!$D:$D,16)))</f>
        <v/>
      </c>
      <c r="FP39" s="63" t="str">
        <f t="shared" si="49"/>
        <v/>
      </c>
      <c r="FQ39" s="63"/>
      <c r="FR39" s="63" t="str">
        <f t="shared" si="50"/>
        <v/>
      </c>
      <c r="FS39" s="53" t="str">
        <f t="shared" si="51"/>
        <v/>
      </c>
    </row>
    <row r="40" ht="15.0" customHeight="1">
      <c r="A40" s="15"/>
      <c r="B40" s="15"/>
      <c r="C40" s="15"/>
      <c r="D40" s="15"/>
      <c r="E40" s="15"/>
      <c r="F40" s="15"/>
      <c r="G40" s="15"/>
      <c r="H40" s="20"/>
      <c r="I40" s="12" t="str">
        <f>IF($A40="","",SUMIFS('Consumable Usage'!$E:$E,'Consumable Usage'!$A:$A,$A40,'Consumable Usage'!$D:$D,1))</f>
        <v/>
      </c>
      <c r="J40" s="12" t="str">
        <f>IF($A40="","",SUMIFS('Nursing Charges'!$I:$I,'Nursing Charges'!$A:$A,$A40,'Nursing Charges'!$C:$C,1))</f>
        <v/>
      </c>
      <c r="K40" s="12" t="str">
        <f>IF($A40="","",H40+(J40-SUMIFS('Nursing Charges'!$J:$J,'Nursing Charges'!$A:$A,$A40,'Nursing Charges'!$C:$C,1))+(I40-SUMIFS('Consumable Usage'!$F:$F,'Consumable Usage'!$A:$A,$A40,'Consumable Usage'!$D:$D,1)))</f>
        <v/>
      </c>
      <c r="L40" s="12" t="str">
        <f t="shared" si="1"/>
        <v/>
      </c>
      <c r="M40" s="20"/>
      <c r="N40" s="12" t="str">
        <f t="shared" si="2"/>
        <v/>
      </c>
      <c r="O40" s="45" t="str">
        <f t="shared" si="3"/>
        <v/>
      </c>
      <c r="P40" s="15"/>
      <c r="Q40" s="15"/>
      <c r="R40" s="20"/>
      <c r="S40" s="12" t="str">
        <f>IF($A40="","",SUMIFS('Consumable Usage'!$E:$E,'Consumable Usage'!$A:$A,$A40,'Consumable Usage'!$D:$D,2))</f>
        <v/>
      </c>
      <c r="T40" s="12" t="str">
        <f>IF($A40="","",SUMIFS('Nursing Charges'!$I:$I,'Nursing Charges'!$A:$A,$A40,'Nursing Charges'!$C:$C,2))</f>
        <v/>
      </c>
      <c r="U40" s="12" t="str">
        <f>IF($A40="","",R40+(T40-SUMIFS('Nursing Charges'!$J:$J,'Nursing Charges'!$A:$A,$A40,'Nursing Charges'!$C:$C,2))+(S40-SUMIFS('Consumable Usage'!$F:$F,'Consumable Usage'!$A:$A,$A40,'Consumable Usage'!$D:$D,2)))</f>
        <v/>
      </c>
      <c r="V40" s="12" t="str">
        <f t="shared" si="4"/>
        <v/>
      </c>
      <c r="W40" s="20"/>
      <c r="X40" s="12" t="str">
        <f t="shared" si="5"/>
        <v/>
      </c>
      <c r="Y40" s="45" t="str">
        <f t="shared" si="6"/>
        <v/>
      </c>
      <c r="Z40" s="15"/>
      <c r="AA40" s="15"/>
      <c r="AB40" s="20"/>
      <c r="AC40" s="12" t="str">
        <f>IF($A40="","",SUMIFS('Consumable Usage'!$E:$E,'Consumable Usage'!$A:$A,$A40,'Consumable Usage'!$D:$D,3))</f>
        <v/>
      </c>
      <c r="AD40" s="12" t="str">
        <f>IF($A40="","",SUMIFS('Nursing Charges'!$I:$I,'Nursing Charges'!$A:$A,$A40,'Nursing Charges'!$C:$C,3))</f>
        <v/>
      </c>
      <c r="AE40" s="12" t="str">
        <f>IF($A40="","",AB40+(AD40-SUMIFS('Nursing Charges'!$J:$J,'Nursing Charges'!$A:$A,$A40,'Nursing Charges'!$C:$C,3))+(AC40-SUMIFS('Consumable Usage'!$F:$F,'Consumable Usage'!$A:$A,$A40,'Consumable Usage'!$D:$D,3)))</f>
        <v/>
      </c>
      <c r="AF40" s="12" t="str">
        <f t="shared" si="7"/>
        <v/>
      </c>
      <c r="AG40" s="20"/>
      <c r="AH40" s="12" t="str">
        <f t="shared" si="8"/>
        <v/>
      </c>
      <c r="AI40" s="45" t="str">
        <f t="shared" si="9"/>
        <v/>
      </c>
      <c r="AJ40" s="15"/>
      <c r="AK40" s="15"/>
      <c r="AL40" s="20"/>
      <c r="AM40" s="12" t="str">
        <f>IF($A40="","",SUMIFS('Consumable Usage'!$E:$E,'Consumable Usage'!$A:$A,$A40,'Consumable Usage'!$D:$D,4))</f>
        <v/>
      </c>
      <c r="AN40" s="12" t="str">
        <f>IF($A40="","",SUMIFS('Nursing Charges'!$I:$I,'Nursing Charges'!$A:$A,$A40,'Nursing Charges'!$C:$C,4))</f>
        <v/>
      </c>
      <c r="AO40" s="12" t="str">
        <f>IF($A40="","",AL40+(AN40-SUMIFS('Nursing Charges'!$J:$J,'Nursing Charges'!$A:$A,$A40,'Nursing Charges'!$C:$C,4))+(AM40-SUMIFS('Consumable Usage'!$F:$F,'Consumable Usage'!$A:$A,$A40,'Consumable Usage'!$D:$D,4)))</f>
        <v/>
      </c>
      <c r="AP40" s="12" t="str">
        <f t="shared" si="10"/>
        <v/>
      </c>
      <c r="AQ40" s="20"/>
      <c r="AR40" s="12" t="str">
        <f t="shared" si="11"/>
        <v/>
      </c>
      <c r="AS40" s="45" t="str">
        <f t="shared" si="12"/>
        <v/>
      </c>
      <c r="AT40" s="15"/>
      <c r="AU40" s="15"/>
      <c r="AV40" s="20"/>
      <c r="AW40" s="12" t="str">
        <f>IF($A40="","",SUMIFS('Consumable Usage'!$E:$E,'Consumable Usage'!$A:$A,$A40,'Consumable Usage'!$D:$D,5))</f>
        <v/>
      </c>
      <c r="AX40" s="12" t="str">
        <f>IF($A40="","",SUMIFS('Nursing Charges'!$I:$I,'Nursing Charges'!$A:$A,$A40,'Nursing Charges'!$C:$C,5))</f>
        <v/>
      </c>
      <c r="AY40" s="12" t="str">
        <f>IF($A40="","",AV40+(AX40-SUMIFS('Nursing Charges'!$J:$J,'Nursing Charges'!$A:$A,$A40,'Nursing Charges'!$C:$C,5))+(AW40-SUMIFS('Consumable Usage'!$F:$F,'Consumable Usage'!$A:$A,$A40,'Consumable Usage'!$D:$D,5)))</f>
        <v/>
      </c>
      <c r="AZ40" s="12" t="str">
        <f t="shared" si="13"/>
        <v/>
      </c>
      <c r="BA40" s="20"/>
      <c r="BB40" s="12" t="str">
        <f t="shared" si="14"/>
        <v/>
      </c>
      <c r="BC40" s="45" t="str">
        <f t="shared" si="15"/>
        <v/>
      </c>
      <c r="BD40" s="15"/>
      <c r="BE40" s="15"/>
      <c r="BF40" s="20"/>
      <c r="BG40" s="12" t="str">
        <f>IF($A40="","",SUMIFS('Consumable Usage'!$E:$E,'Consumable Usage'!$A:$A,$A40,'Consumable Usage'!$D:$D,6))</f>
        <v/>
      </c>
      <c r="BH40" s="12" t="str">
        <f>IF($A40="","",SUMIFS('Nursing Charges'!$I:$I,'Nursing Charges'!$A:$A,$A40,'Nursing Charges'!$C:$C,6))</f>
        <v/>
      </c>
      <c r="BI40" s="12" t="str">
        <f>IF($A40="","",BF40+(BH40-SUMIFS('Nursing Charges'!$J:$J,'Nursing Charges'!$A:$A,$A40,'Nursing Charges'!$C:$C,6))+(BG40-SUMIFS('Consumable Usage'!$F:$F,'Consumable Usage'!$A:$A,$A40,'Consumable Usage'!$D:$D,6)))</f>
        <v/>
      </c>
      <c r="BJ40" s="12" t="str">
        <f t="shared" si="16"/>
        <v/>
      </c>
      <c r="BK40" s="20"/>
      <c r="BL40" s="12" t="str">
        <f t="shared" si="17"/>
        <v/>
      </c>
      <c r="BM40" s="45" t="str">
        <f t="shared" si="18"/>
        <v/>
      </c>
      <c r="BN40" s="15"/>
      <c r="BO40" s="15"/>
      <c r="BP40" s="20"/>
      <c r="BQ40" s="12" t="str">
        <f>IF($A40="","",SUMIFS('Consumable Usage'!$E:$E,'Consumable Usage'!$A:$A,$A40,'Consumable Usage'!$D:$D,7))</f>
        <v/>
      </c>
      <c r="BR40" s="12" t="str">
        <f>IF($A40="","",SUMIFS('Nursing Charges'!$I:$I,'Nursing Charges'!$A:$A,$A40,'Nursing Charges'!$C:$C,7))</f>
        <v/>
      </c>
      <c r="BS40" s="12" t="str">
        <f>IF($A40="","",BP40+(BR40-SUMIFS('Nursing Charges'!$J:$J,'Nursing Charges'!$A:$A,$A40,'Nursing Charges'!$C:$C,7))+(BQ40-SUMIFS('Consumable Usage'!$F:$F,'Consumable Usage'!$A:$A,$A40,'Consumable Usage'!$D:$D,7)))</f>
        <v/>
      </c>
      <c r="BT40" s="12" t="str">
        <f t="shared" si="19"/>
        <v/>
      </c>
      <c r="BU40" s="20"/>
      <c r="BV40" s="12" t="str">
        <f t="shared" si="20"/>
        <v/>
      </c>
      <c r="BW40" s="45" t="str">
        <f t="shared" si="21"/>
        <v/>
      </c>
      <c r="BX40" s="15"/>
      <c r="BY40" s="15"/>
      <c r="BZ40" s="20"/>
      <c r="CA40" s="12" t="str">
        <f>IF($A40="","",SUMIFS('Consumable Usage'!$E:$E,'Consumable Usage'!$A:$A,$A40,'Consumable Usage'!$D:$D,8))</f>
        <v/>
      </c>
      <c r="CB40" s="12" t="str">
        <f>IF($A40="","",SUMIFS('Nursing Charges'!$I:$I,'Nursing Charges'!$A:$A,$A40,'Nursing Charges'!$C:$C,8))</f>
        <v/>
      </c>
      <c r="CC40" s="12" t="str">
        <f>IF($A40="","",BZ40+(CB40-SUMIFS('Nursing Charges'!$J:$J,'Nursing Charges'!$A:$A,$A40,'Nursing Charges'!$C:$C,8))+(CA40-SUMIFS('Consumable Usage'!$F:$F,'Consumable Usage'!$A:$A,$A40,'Consumable Usage'!$D:$D,8)))</f>
        <v/>
      </c>
      <c r="CD40" s="12" t="str">
        <f t="shared" si="22"/>
        <v/>
      </c>
      <c r="CE40" s="20"/>
      <c r="CF40" s="12" t="str">
        <f t="shared" si="23"/>
        <v/>
      </c>
      <c r="CG40" s="45" t="str">
        <f t="shared" si="24"/>
        <v/>
      </c>
      <c r="CH40" s="15"/>
      <c r="CI40" s="15"/>
      <c r="CJ40" s="20"/>
      <c r="CK40" s="12" t="str">
        <f>IF($A40="","",SUMIFS('Consumable Usage'!$E:$E,'Consumable Usage'!$A:$A,$A40,'Consumable Usage'!$D:$D,9))</f>
        <v/>
      </c>
      <c r="CL40" s="12" t="str">
        <f>IF($A40="","",SUMIFS('Nursing Charges'!$I:$I,'Nursing Charges'!$A:$A,$A40,'Nursing Charges'!$C:$C,9))</f>
        <v/>
      </c>
      <c r="CM40" s="12" t="str">
        <f>IF($A40="","",CJ40+(CL40-SUMIFS('Nursing Charges'!$J:$J,'Nursing Charges'!$A:$A,$A40,'Nursing Charges'!$C:$C,9))+(CK40-SUMIFS('Consumable Usage'!$F:$F,'Consumable Usage'!$A:$A,$A40,'Consumable Usage'!$D:$D,9)))</f>
        <v/>
      </c>
      <c r="CN40" s="12" t="str">
        <f t="shared" si="25"/>
        <v/>
      </c>
      <c r="CO40" s="20"/>
      <c r="CP40" s="12" t="str">
        <f t="shared" si="26"/>
        <v/>
      </c>
      <c r="CQ40" s="45" t="str">
        <f t="shared" si="27"/>
        <v/>
      </c>
      <c r="CR40" s="15"/>
      <c r="CS40" s="15"/>
      <c r="CT40" s="20"/>
      <c r="CU40" s="12" t="str">
        <f>IF($A40="","",SUMIFS('Consumable Usage'!$E:$E,'Consumable Usage'!$A:$A,$A40,'Consumable Usage'!$D:$D,10))</f>
        <v/>
      </c>
      <c r="CV40" s="12" t="str">
        <f>IF($A40="","",SUMIFS('Nursing Charges'!$I:$I,'Nursing Charges'!$A:$A,$A40,'Nursing Charges'!$C:$C,10))</f>
        <v/>
      </c>
      <c r="CW40" s="12" t="str">
        <f>IF($A40="","",CT40+(CV40-SUMIFS('Nursing Charges'!$J:$J,'Nursing Charges'!$A:$A,$A40,'Nursing Charges'!$C:$C,10))+(CU40-SUMIFS('Consumable Usage'!$F:$F,'Consumable Usage'!$A:$A,$A40,'Consumable Usage'!$D:$D,10)))</f>
        <v/>
      </c>
      <c r="CX40" s="12" t="str">
        <f t="shared" si="28"/>
        <v/>
      </c>
      <c r="CY40" s="20"/>
      <c r="CZ40" s="12" t="str">
        <f t="shared" si="29"/>
        <v/>
      </c>
      <c r="DA40" s="45" t="str">
        <f t="shared" si="30"/>
        <v/>
      </c>
      <c r="DB40" s="15"/>
      <c r="DC40" s="15"/>
      <c r="DD40" s="20"/>
      <c r="DE40" s="12" t="str">
        <f>IF($A40="","",SUMIFS('Consumable Usage'!$E:$E,'Consumable Usage'!$A:$A,$A40,'Consumable Usage'!$D:$D,11))</f>
        <v/>
      </c>
      <c r="DF40" s="12" t="str">
        <f>IF($A40="","",SUMIFS('Nursing Charges'!$I:$I,'Nursing Charges'!$A:$A,$A40,'Nursing Charges'!$C:$C,11))</f>
        <v/>
      </c>
      <c r="DG40" s="12" t="str">
        <f>IF($A40="","",DD40+(DF40-SUMIFS('Nursing Charges'!$J:$J,'Nursing Charges'!$A:$A,$A40,'Nursing Charges'!$C:$C,11))+(DE40-SUMIFS('Consumable Usage'!$F:$F,'Consumable Usage'!$A:$A,$A40,'Consumable Usage'!$D:$D,11)))</f>
        <v/>
      </c>
      <c r="DH40" s="12" t="str">
        <f t="shared" si="31"/>
        <v/>
      </c>
      <c r="DI40" s="20"/>
      <c r="DJ40" s="12" t="str">
        <f t="shared" si="32"/>
        <v/>
      </c>
      <c r="DK40" s="45" t="str">
        <f t="shared" si="33"/>
        <v/>
      </c>
      <c r="DL40" s="15"/>
      <c r="DM40" s="15"/>
      <c r="DN40" s="20"/>
      <c r="DO40" s="12" t="str">
        <f>IF($A40="","",SUMIFS('Consumable Usage'!$E:$E,'Consumable Usage'!$A:$A,$A40,'Consumable Usage'!$D:$D,12))</f>
        <v/>
      </c>
      <c r="DP40" s="12" t="str">
        <f>IF($A40="","",SUMIFS('Nursing Charges'!$I:$I,'Nursing Charges'!$A:$A,$A40,'Nursing Charges'!$C:$C,12))</f>
        <v/>
      </c>
      <c r="DQ40" s="12" t="str">
        <f>IF($A40="","",DN40+(DP40-SUMIFS('Nursing Charges'!$J:$J,'Nursing Charges'!$A:$A,$A40,'Nursing Charges'!$C:$C,12))+(DO40-SUMIFS('Consumable Usage'!$F:$F,'Consumable Usage'!$A:$A,$A40,'Consumable Usage'!$D:$D,12)))</f>
        <v/>
      </c>
      <c r="DR40" s="12" t="str">
        <f t="shared" si="34"/>
        <v/>
      </c>
      <c r="DS40" s="20"/>
      <c r="DT40" s="12" t="str">
        <f t="shared" si="35"/>
        <v/>
      </c>
      <c r="DU40" s="45" t="str">
        <f t="shared" si="36"/>
        <v/>
      </c>
      <c r="DV40" s="15"/>
      <c r="DW40" s="15"/>
      <c r="DX40" s="20"/>
      <c r="DY40" s="12" t="str">
        <f>IF($A40="","",SUMIFS('Consumable Usage'!$E:$E,'Consumable Usage'!$A:$A,$A40,'Consumable Usage'!$D:$D,13))</f>
        <v/>
      </c>
      <c r="DZ40" s="12" t="str">
        <f>IF($A40="","",SUMIFS('Nursing Charges'!$I:$I,'Nursing Charges'!$A:$A,$A40,'Nursing Charges'!$C:$C,13))</f>
        <v/>
      </c>
      <c r="EA40" s="12" t="str">
        <f>IF($A40="","",DX40+(DZ40-SUMIFS('Nursing Charges'!$J:$J,'Nursing Charges'!$A:$A,$A40,'Nursing Charges'!$C:$C,13))+(DY40-SUMIFS('Consumable Usage'!$F:$F,'Consumable Usage'!$A:$A,$A40,'Consumable Usage'!$D:$D,13)))</f>
        <v/>
      </c>
      <c r="EB40" s="12" t="str">
        <f t="shared" si="37"/>
        <v/>
      </c>
      <c r="EC40" s="20"/>
      <c r="ED40" s="12" t="str">
        <f t="shared" si="38"/>
        <v/>
      </c>
      <c r="EE40" s="45" t="str">
        <f t="shared" si="39"/>
        <v/>
      </c>
      <c r="EF40" s="15"/>
      <c r="EG40" s="15"/>
      <c r="EH40" s="20"/>
      <c r="EI40" s="12" t="str">
        <f>IF($A40="","",SUMIFS('Consumable Usage'!$E:$E,'Consumable Usage'!$A:$A,$A40,'Consumable Usage'!$D:$D,14))</f>
        <v/>
      </c>
      <c r="EJ40" s="12" t="str">
        <f>IF($A40="","",SUMIFS('Nursing Charges'!$I:$I,'Nursing Charges'!$A:$A,$A40,'Nursing Charges'!$C:$C,14))</f>
        <v/>
      </c>
      <c r="EK40" s="12" t="str">
        <f>IF($A40="","",EH40+(EJ40-SUMIFS('Nursing Charges'!$J:$J,'Nursing Charges'!$A:$A,$A40,'Nursing Charges'!$C:$C,14))+(EI40-SUMIFS('Consumable Usage'!$F:$F,'Consumable Usage'!$A:$A,$A40,'Consumable Usage'!$D:$D,14)))</f>
        <v/>
      </c>
      <c r="EL40" s="12" t="str">
        <f t="shared" si="40"/>
        <v/>
      </c>
      <c r="EM40" s="20"/>
      <c r="EN40" s="12" t="str">
        <f t="shared" si="41"/>
        <v/>
      </c>
      <c r="EO40" s="45" t="str">
        <f t="shared" si="42"/>
        <v/>
      </c>
      <c r="EP40" s="15"/>
      <c r="EQ40" s="15"/>
      <c r="ER40" s="20"/>
      <c r="ES40" s="12" t="str">
        <f>IF($A40="","",SUMIFS('Consumable Usage'!$E:$E,'Consumable Usage'!$A:$A,$A40,'Consumable Usage'!$D:$D,15))</f>
        <v/>
      </c>
      <c r="ET40" s="12" t="str">
        <f>IF($A40="","",SUMIFS('Nursing Charges'!$I:$I,'Nursing Charges'!$A:$A,$A40,'Nursing Charges'!$C:$C,15))</f>
        <v/>
      </c>
      <c r="EU40" s="12" t="str">
        <f>IF($A40="","",ER40+(ET40-SUMIFS('Nursing Charges'!$J:$J,'Nursing Charges'!$A:$A,$A40,'Nursing Charges'!$C:$C,15))+(ES40-SUMIFS('Consumable Usage'!$F:$F,'Consumable Usage'!$A:$A,$A40,'Consumable Usage'!$D:$D,15)))</f>
        <v/>
      </c>
      <c r="EV40" s="12" t="str">
        <f t="shared" si="43"/>
        <v/>
      </c>
      <c r="EW40" s="20"/>
      <c r="EX40" s="12" t="str">
        <f t="shared" si="44"/>
        <v/>
      </c>
      <c r="EY40" s="45" t="str">
        <f t="shared" si="45"/>
        <v/>
      </c>
      <c r="EZ40" s="15"/>
      <c r="FA40" s="15"/>
      <c r="FB40" s="20"/>
      <c r="FC40" s="12" t="str">
        <f>IF($A40="","",SUMIFS('Consumable Usage'!$E:$E,'Consumable Usage'!$A:$A,$A40,'Consumable Usage'!$D:$D,16))</f>
        <v/>
      </c>
      <c r="FD40" s="12" t="str">
        <f>IF($A40="","",SUMIFS('Nursing Charges'!$I:$I,'Nursing Charges'!$A:$A,$A40,'Nursing Charges'!$C:$C,16))</f>
        <v/>
      </c>
      <c r="FE40" s="12" t="str">
        <f>IF($A40="","",FB40+(FD40-SUMIFS('Nursing Charges'!$J:$J,'Nursing Charges'!$A:$A,$A40,'Nursing Charges'!$C:$C,16))+(FC40-SUMIFS('Consumable Usage'!$F:$F,'Consumable Usage'!$A:$A,$A40,'Consumable Usage'!$D:$D,16)))</f>
        <v/>
      </c>
      <c r="FF40" s="12" t="str">
        <f t="shared" si="46"/>
        <v/>
      </c>
      <c r="FG40" s="20"/>
      <c r="FH40" s="12" t="str">
        <f t="shared" si="47"/>
        <v/>
      </c>
      <c r="FI40" s="45" t="str">
        <f t="shared" si="48"/>
        <v/>
      </c>
      <c r="FJ40" s="53"/>
      <c r="FK40" s="53"/>
      <c r="FL40" s="63"/>
      <c r="FM40" s="63" t="str">
        <f>IF($A40="","",SUMIFS('Consumable Usage'!$E:$E,'Consumable Usage'!$A:$A,$A40,'Consumable Usage'!$D:$D,16))</f>
        <v/>
      </c>
      <c r="FN40" s="63" t="str">
        <f>IF($A40="","",SUMIFS('Nursing Charges'!$I:$I,'Nursing Charges'!$A:$A,$A40,'Nursing Charges'!$C:$C,16))</f>
        <v/>
      </c>
      <c r="FO40" s="63" t="str">
        <f>IF($A40="","",FL40+(FN40-SUMIFS('Nursing Charges'!$J:$J,'Nursing Charges'!$A:$A,$A40,'Nursing Charges'!$C:$C,16))+(FM40-SUMIFS('Consumable Usage'!$F:$F,'Consumable Usage'!$A:$A,$A40,'Consumable Usage'!$D:$D,16)))</f>
        <v/>
      </c>
      <c r="FP40" s="63" t="str">
        <f t="shared" si="49"/>
        <v/>
      </c>
      <c r="FQ40" s="63"/>
      <c r="FR40" s="63" t="str">
        <f t="shared" si="50"/>
        <v/>
      </c>
      <c r="FS40" s="53" t="str">
        <f t="shared" si="51"/>
        <v/>
      </c>
    </row>
    <row r="41" ht="15.0" customHeight="1">
      <c r="A41" s="15"/>
      <c r="B41" s="15"/>
      <c r="C41" s="15"/>
      <c r="D41" s="15"/>
      <c r="E41" s="15"/>
      <c r="F41" s="15"/>
      <c r="G41" s="15"/>
      <c r="H41" s="20"/>
      <c r="I41" s="12" t="str">
        <f>IF($A41="","",SUMIFS('Consumable Usage'!$E:$E,'Consumable Usage'!$A:$A,$A41,'Consumable Usage'!$D:$D,1))</f>
        <v/>
      </c>
      <c r="J41" s="12" t="str">
        <f>IF($A41="","",SUMIFS('Nursing Charges'!$I:$I,'Nursing Charges'!$A:$A,$A41,'Nursing Charges'!$C:$C,1))</f>
        <v/>
      </c>
      <c r="K41" s="12" t="str">
        <f>IF($A41="","",H41+(J41-SUMIFS('Nursing Charges'!$J:$J,'Nursing Charges'!$A:$A,$A41,'Nursing Charges'!$C:$C,1))+(I41-SUMIFS('Consumable Usage'!$F:$F,'Consumable Usage'!$A:$A,$A41,'Consumable Usage'!$D:$D,1)))</f>
        <v/>
      </c>
      <c r="L41" s="12" t="str">
        <f t="shared" si="1"/>
        <v/>
      </c>
      <c r="M41" s="20"/>
      <c r="N41" s="12" t="str">
        <f t="shared" si="2"/>
        <v/>
      </c>
      <c r="O41" s="45" t="str">
        <f t="shared" si="3"/>
        <v/>
      </c>
      <c r="P41" s="15"/>
      <c r="Q41" s="15"/>
      <c r="R41" s="20"/>
      <c r="S41" s="12" t="str">
        <f>IF($A41="","",SUMIFS('Consumable Usage'!$E:$E,'Consumable Usage'!$A:$A,$A41,'Consumable Usage'!$D:$D,2))</f>
        <v/>
      </c>
      <c r="T41" s="12" t="str">
        <f>IF($A41="","",SUMIFS('Nursing Charges'!$I:$I,'Nursing Charges'!$A:$A,$A41,'Nursing Charges'!$C:$C,2))</f>
        <v/>
      </c>
      <c r="U41" s="12" t="str">
        <f>IF($A41="","",R41+(T41-SUMIFS('Nursing Charges'!$J:$J,'Nursing Charges'!$A:$A,$A41,'Nursing Charges'!$C:$C,2))+(S41-SUMIFS('Consumable Usage'!$F:$F,'Consumable Usage'!$A:$A,$A41,'Consumable Usage'!$D:$D,2)))</f>
        <v/>
      </c>
      <c r="V41" s="12" t="str">
        <f t="shared" si="4"/>
        <v/>
      </c>
      <c r="W41" s="20"/>
      <c r="X41" s="12" t="str">
        <f t="shared" si="5"/>
        <v/>
      </c>
      <c r="Y41" s="45" t="str">
        <f t="shared" si="6"/>
        <v/>
      </c>
      <c r="Z41" s="15"/>
      <c r="AA41" s="15"/>
      <c r="AB41" s="20"/>
      <c r="AC41" s="12" t="str">
        <f>IF($A41="","",SUMIFS('Consumable Usage'!$E:$E,'Consumable Usage'!$A:$A,$A41,'Consumable Usage'!$D:$D,3))</f>
        <v/>
      </c>
      <c r="AD41" s="12" t="str">
        <f>IF($A41="","",SUMIFS('Nursing Charges'!$I:$I,'Nursing Charges'!$A:$A,$A41,'Nursing Charges'!$C:$C,3))</f>
        <v/>
      </c>
      <c r="AE41" s="12" t="str">
        <f>IF($A41="","",AB41+(AD41-SUMIFS('Nursing Charges'!$J:$J,'Nursing Charges'!$A:$A,$A41,'Nursing Charges'!$C:$C,3))+(AC41-SUMIFS('Consumable Usage'!$F:$F,'Consumable Usage'!$A:$A,$A41,'Consumable Usage'!$D:$D,3)))</f>
        <v/>
      </c>
      <c r="AF41" s="12" t="str">
        <f t="shared" si="7"/>
        <v/>
      </c>
      <c r="AG41" s="20"/>
      <c r="AH41" s="12" t="str">
        <f t="shared" si="8"/>
        <v/>
      </c>
      <c r="AI41" s="45" t="str">
        <f t="shared" si="9"/>
        <v/>
      </c>
      <c r="AJ41" s="15"/>
      <c r="AK41" s="15"/>
      <c r="AL41" s="20"/>
      <c r="AM41" s="12" t="str">
        <f>IF($A41="","",SUMIFS('Consumable Usage'!$E:$E,'Consumable Usage'!$A:$A,$A41,'Consumable Usage'!$D:$D,4))</f>
        <v/>
      </c>
      <c r="AN41" s="12" t="str">
        <f>IF($A41="","",SUMIFS('Nursing Charges'!$I:$I,'Nursing Charges'!$A:$A,$A41,'Nursing Charges'!$C:$C,4))</f>
        <v/>
      </c>
      <c r="AO41" s="12" t="str">
        <f>IF($A41="","",AL41+(AN41-SUMIFS('Nursing Charges'!$J:$J,'Nursing Charges'!$A:$A,$A41,'Nursing Charges'!$C:$C,4))+(AM41-SUMIFS('Consumable Usage'!$F:$F,'Consumable Usage'!$A:$A,$A41,'Consumable Usage'!$D:$D,4)))</f>
        <v/>
      </c>
      <c r="AP41" s="12" t="str">
        <f t="shared" si="10"/>
        <v/>
      </c>
      <c r="AQ41" s="20"/>
      <c r="AR41" s="12" t="str">
        <f t="shared" si="11"/>
        <v/>
      </c>
      <c r="AS41" s="45" t="str">
        <f t="shared" si="12"/>
        <v/>
      </c>
      <c r="AT41" s="15"/>
      <c r="AU41" s="15"/>
      <c r="AV41" s="20"/>
      <c r="AW41" s="12" t="str">
        <f>IF($A41="","",SUMIFS('Consumable Usage'!$E:$E,'Consumable Usage'!$A:$A,$A41,'Consumable Usage'!$D:$D,5))</f>
        <v/>
      </c>
      <c r="AX41" s="12" t="str">
        <f>IF($A41="","",SUMIFS('Nursing Charges'!$I:$I,'Nursing Charges'!$A:$A,$A41,'Nursing Charges'!$C:$C,5))</f>
        <v/>
      </c>
      <c r="AY41" s="12" t="str">
        <f>IF($A41="","",AV41+(AX41-SUMIFS('Nursing Charges'!$J:$J,'Nursing Charges'!$A:$A,$A41,'Nursing Charges'!$C:$C,5))+(AW41-SUMIFS('Consumable Usage'!$F:$F,'Consumable Usage'!$A:$A,$A41,'Consumable Usage'!$D:$D,5)))</f>
        <v/>
      </c>
      <c r="AZ41" s="12" t="str">
        <f t="shared" si="13"/>
        <v/>
      </c>
      <c r="BA41" s="20"/>
      <c r="BB41" s="12" t="str">
        <f t="shared" si="14"/>
        <v/>
      </c>
      <c r="BC41" s="45" t="str">
        <f t="shared" si="15"/>
        <v/>
      </c>
      <c r="BD41" s="15"/>
      <c r="BE41" s="15"/>
      <c r="BF41" s="20"/>
      <c r="BG41" s="12" t="str">
        <f>IF($A41="","",SUMIFS('Consumable Usage'!$E:$E,'Consumable Usage'!$A:$A,$A41,'Consumable Usage'!$D:$D,6))</f>
        <v/>
      </c>
      <c r="BH41" s="12" t="str">
        <f>IF($A41="","",SUMIFS('Nursing Charges'!$I:$I,'Nursing Charges'!$A:$A,$A41,'Nursing Charges'!$C:$C,6))</f>
        <v/>
      </c>
      <c r="BI41" s="12" t="str">
        <f>IF($A41="","",BF41+(BH41-SUMIFS('Nursing Charges'!$J:$J,'Nursing Charges'!$A:$A,$A41,'Nursing Charges'!$C:$C,6))+(BG41-SUMIFS('Consumable Usage'!$F:$F,'Consumable Usage'!$A:$A,$A41,'Consumable Usage'!$D:$D,6)))</f>
        <v/>
      </c>
      <c r="BJ41" s="12" t="str">
        <f t="shared" si="16"/>
        <v/>
      </c>
      <c r="BK41" s="20"/>
      <c r="BL41" s="12" t="str">
        <f t="shared" si="17"/>
        <v/>
      </c>
      <c r="BM41" s="45" t="str">
        <f t="shared" si="18"/>
        <v/>
      </c>
      <c r="BN41" s="15"/>
      <c r="BO41" s="15"/>
      <c r="BP41" s="20"/>
      <c r="BQ41" s="12" t="str">
        <f>IF($A41="","",SUMIFS('Consumable Usage'!$E:$E,'Consumable Usage'!$A:$A,$A41,'Consumable Usage'!$D:$D,7))</f>
        <v/>
      </c>
      <c r="BR41" s="12" t="str">
        <f>IF($A41="","",SUMIFS('Nursing Charges'!$I:$I,'Nursing Charges'!$A:$A,$A41,'Nursing Charges'!$C:$C,7))</f>
        <v/>
      </c>
      <c r="BS41" s="12" t="str">
        <f>IF($A41="","",BP41+(BR41-SUMIFS('Nursing Charges'!$J:$J,'Nursing Charges'!$A:$A,$A41,'Nursing Charges'!$C:$C,7))+(BQ41-SUMIFS('Consumable Usage'!$F:$F,'Consumable Usage'!$A:$A,$A41,'Consumable Usage'!$D:$D,7)))</f>
        <v/>
      </c>
      <c r="BT41" s="12" t="str">
        <f t="shared" si="19"/>
        <v/>
      </c>
      <c r="BU41" s="20"/>
      <c r="BV41" s="12" t="str">
        <f t="shared" si="20"/>
        <v/>
      </c>
      <c r="BW41" s="45" t="str">
        <f t="shared" si="21"/>
        <v/>
      </c>
      <c r="BX41" s="15"/>
      <c r="BY41" s="15"/>
      <c r="BZ41" s="20"/>
      <c r="CA41" s="12" t="str">
        <f>IF($A41="","",SUMIFS('Consumable Usage'!$E:$E,'Consumable Usage'!$A:$A,$A41,'Consumable Usage'!$D:$D,8))</f>
        <v/>
      </c>
      <c r="CB41" s="12" t="str">
        <f>IF($A41="","",SUMIFS('Nursing Charges'!$I:$I,'Nursing Charges'!$A:$A,$A41,'Nursing Charges'!$C:$C,8))</f>
        <v/>
      </c>
      <c r="CC41" s="12" t="str">
        <f>IF($A41="","",BZ41+(CB41-SUMIFS('Nursing Charges'!$J:$J,'Nursing Charges'!$A:$A,$A41,'Nursing Charges'!$C:$C,8))+(CA41-SUMIFS('Consumable Usage'!$F:$F,'Consumable Usage'!$A:$A,$A41,'Consumable Usage'!$D:$D,8)))</f>
        <v/>
      </c>
      <c r="CD41" s="12" t="str">
        <f t="shared" si="22"/>
        <v/>
      </c>
      <c r="CE41" s="20"/>
      <c r="CF41" s="12" t="str">
        <f t="shared" si="23"/>
        <v/>
      </c>
      <c r="CG41" s="45" t="str">
        <f t="shared" si="24"/>
        <v/>
      </c>
      <c r="CH41" s="15"/>
      <c r="CI41" s="15"/>
      <c r="CJ41" s="20"/>
      <c r="CK41" s="12" t="str">
        <f>IF($A41="","",SUMIFS('Consumable Usage'!$E:$E,'Consumable Usage'!$A:$A,$A41,'Consumable Usage'!$D:$D,9))</f>
        <v/>
      </c>
      <c r="CL41" s="12" t="str">
        <f>IF($A41="","",SUMIFS('Nursing Charges'!$I:$I,'Nursing Charges'!$A:$A,$A41,'Nursing Charges'!$C:$C,9))</f>
        <v/>
      </c>
      <c r="CM41" s="12" t="str">
        <f>IF($A41="","",CJ41+(CL41-SUMIFS('Nursing Charges'!$J:$J,'Nursing Charges'!$A:$A,$A41,'Nursing Charges'!$C:$C,9))+(CK41-SUMIFS('Consumable Usage'!$F:$F,'Consumable Usage'!$A:$A,$A41,'Consumable Usage'!$D:$D,9)))</f>
        <v/>
      </c>
      <c r="CN41" s="12" t="str">
        <f t="shared" si="25"/>
        <v/>
      </c>
      <c r="CO41" s="20"/>
      <c r="CP41" s="12" t="str">
        <f t="shared" si="26"/>
        <v/>
      </c>
      <c r="CQ41" s="45" t="str">
        <f t="shared" si="27"/>
        <v/>
      </c>
      <c r="CR41" s="15"/>
      <c r="CS41" s="15"/>
      <c r="CT41" s="20"/>
      <c r="CU41" s="12" t="str">
        <f>IF($A41="","",SUMIFS('Consumable Usage'!$E:$E,'Consumable Usage'!$A:$A,$A41,'Consumable Usage'!$D:$D,10))</f>
        <v/>
      </c>
      <c r="CV41" s="12" t="str">
        <f>IF($A41="","",SUMIFS('Nursing Charges'!$I:$I,'Nursing Charges'!$A:$A,$A41,'Nursing Charges'!$C:$C,10))</f>
        <v/>
      </c>
      <c r="CW41" s="12" t="str">
        <f>IF($A41="","",CT41+(CV41-SUMIFS('Nursing Charges'!$J:$J,'Nursing Charges'!$A:$A,$A41,'Nursing Charges'!$C:$C,10))+(CU41-SUMIFS('Consumable Usage'!$F:$F,'Consumable Usage'!$A:$A,$A41,'Consumable Usage'!$D:$D,10)))</f>
        <v/>
      </c>
      <c r="CX41" s="12" t="str">
        <f t="shared" si="28"/>
        <v/>
      </c>
      <c r="CY41" s="20"/>
      <c r="CZ41" s="12" t="str">
        <f t="shared" si="29"/>
        <v/>
      </c>
      <c r="DA41" s="45" t="str">
        <f t="shared" si="30"/>
        <v/>
      </c>
      <c r="DB41" s="15"/>
      <c r="DC41" s="15"/>
      <c r="DD41" s="20"/>
      <c r="DE41" s="12" t="str">
        <f>IF($A41="","",SUMIFS('Consumable Usage'!$E:$E,'Consumable Usage'!$A:$A,$A41,'Consumable Usage'!$D:$D,11))</f>
        <v/>
      </c>
      <c r="DF41" s="12" t="str">
        <f>IF($A41="","",SUMIFS('Nursing Charges'!$I:$I,'Nursing Charges'!$A:$A,$A41,'Nursing Charges'!$C:$C,11))</f>
        <v/>
      </c>
      <c r="DG41" s="12" t="str">
        <f>IF($A41="","",DD41+(DF41-SUMIFS('Nursing Charges'!$J:$J,'Nursing Charges'!$A:$A,$A41,'Nursing Charges'!$C:$C,11))+(DE41-SUMIFS('Consumable Usage'!$F:$F,'Consumable Usage'!$A:$A,$A41,'Consumable Usage'!$D:$D,11)))</f>
        <v/>
      </c>
      <c r="DH41" s="12" t="str">
        <f t="shared" si="31"/>
        <v/>
      </c>
      <c r="DI41" s="20"/>
      <c r="DJ41" s="12" t="str">
        <f t="shared" si="32"/>
        <v/>
      </c>
      <c r="DK41" s="45" t="str">
        <f t="shared" si="33"/>
        <v/>
      </c>
      <c r="DL41" s="15"/>
      <c r="DM41" s="15"/>
      <c r="DN41" s="20"/>
      <c r="DO41" s="12" t="str">
        <f>IF($A41="","",SUMIFS('Consumable Usage'!$E:$E,'Consumable Usage'!$A:$A,$A41,'Consumable Usage'!$D:$D,12))</f>
        <v/>
      </c>
      <c r="DP41" s="12" t="str">
        <f>IF($A41="","",SUMIFS('Nursing Charges'!$I:$I,'Nursing Charges'!$A:$A,$A41,'Nursing Charges'!$C:$C,12))</f>
        <v/>
      </c>
      <c r="DQ41" s="12" t="str">
        <f>IF($A41="","",DN41+(DP41-SUMIFS('Nursing Charges'!$J:$J,'Nursing Charges'!$A:$A,$A41,'Nursing Charges'!$C:$C,12))+(DO41-SUMIFS('Consumable Usage'!$F:$F,'Consumable Usage'!$A:$A,$A41,'Consumable Usage'!$D:$D,12)))</f>
        <v/>
      </c>
      <c r="DR41" s="12" t="str">
        <f t="shared" si="34"/>
        <v/>
      </c>
      <c r="DS41" s="20"/>
      <c r="DT41" s="12" t="str">
        <f t="shared" si="35"/>
        <v/>
      </c>
      <c r="DU41" s="45" t="str">
        <f t="shared" si="36"/>
        <v/>
      </c>
      <c r="DV41" s="15"/>
      <c r="DW41" s="15"/>
      <c r="DX41" s="20"/>
      <c r="DY41" s="12" t="str">
        <f>IF($A41="","",SUMIFS('Consumable Usage'!$E:$E,'Consumable Usage'!$A:$A,$A41,'Consumable Usage'!$D:$D,13))</f>
        <v/>
      </c>
      <c r="DZ41" s="12" t="str">
        <f>IF($A41="","",SUMIFS('Nursing Charges'!$I:$I,'Nursing Charges'!$A:$A,$A41,'Nursing Charges'!$C:$C,13))</f>
        <v/>
      </c>
      <c r="EA41" s="12" t="str">
        <f>IF($A41="","",DX41+(DZ41-SUMIFS('Nursing Charges'!$J:$J,'Nursing Charges'!$A:$A,$A41,'Nursing Charges'!$C:$C,13))+(DY41-SUMIFS('Consumable Usage'!$F:$F,'Consumable Usage'!$A:$A,$A41,'Consumable Usage'!$D:$D,13)))</f>
        <v/>
      </c>
      <c r="EB41" s="12" t="str">
        <f t="shared" si="37"/>
        <v/>
      </c>
      <c r="EC41" s="20"/>
      <c r="ED41" s="12" t="str">
        <f t="shared" si="38"/>
        <v/>
      </c>
      <c r="EE41" s="45" t="str">
        <f t="shared" si="39"/>
        <v/>
      </c>
      <c r="EF41" s="15"/>
      <c r="EG41" s="15"/>
      <c r="EH41" s="20"/>
      <c r="EI41" s="12" t="str">
        <f>IF($A41="","",SUMIFS('Consumable Usage'!$E:$E,'Consumable Usage'!$A:$A,$A41,'Consumable Usage'!$D:$D,14))</f>
        <v/>
      </c>
      <c r="EJ41" s="12" t="str">
        <f>IF($A41="","",SUMIFS('Nursing Charges'!$I:$I,'Nursing Charges'!$A:$A,$A41,'Nursing Charges'!$C:$C,14))</f>
        <v/>
      </c>
      <c r="EK41" s="12" t="str">
        <f>IF($A41="","",EH41+(EJ41-SUMIFS('Nursing Charges'!$J:$J,'Nursing Charges'!$A:$A,$A41,'Nursing Charges'!$C:$C,14))+(EI41-SUMIFS('Consumable Usage'!$F:$F,'Consumable Usage'!$A:$A,$A41,'Consumable Usage'!$D:$D,14)))</f>
        <v/>
      </c>
      <c r="EL41" s="12" t="str">
        <f t="shared" si="40"/>
        <v/>
      </c>
      <c r="EM41" s="20"/>
      <c r="EN41" s="12" t="str">
        <f t="shared" si="41"/>
        <v/>
      </c>
      <c r="EO41" s="45" t="str">
        <f t="shared" si="42"/>
        <v/>
      </c>
      <c r="EP41" s="15"/>
      <c r="EQ41" s="15"/>
      <c r="ER41" s="20"/>
      <c r="ES41" s="12" t="str">
        <f>IF($A41="","",SUMIFS('Consumable Usage'!$E:$E,'Consumable Usage'!$A:$A,$A41,'Consumable Usage'!$D:$D,15))</f>
        <v/>
      </c>
      <c r="ET41" s="12" t="str">
        <f>IF($A41="","",SUMIFS('Nursing Charges'!$I:$I,'Nursing Charges'!$A:$A,$A41,'Nursing Charges'!$C:$C,15))</f>
        <v/>
      </c>
      <c r="EU41" s="12" t="str">
        <f>IF($A41="","",ER41+(ET41-SUMIFS('Nursing Charges'!$J:$J,'Nursing Charges'!$A:$A,$A41,'Nursing Charges'!$C:$C,15))+(ES41-SUMIFS('Consumable Usage'!$F:$F,'Consumable Usage'!$A:$A,$A41,'Consumable Usage'!$D:$D,15)))</f>
        <v/>
      </c>
      <c r="EV41" s="12" t="str">
        <f t="shared" si="43"/>
        <v/>
      </c>
      <c r="EW41" s="20"/>
      <c r="EX41" s="12" t="str">
        <f t="shared" si="44"/>
        <v/>
      </c>
      <c r="EY41" s="45" t="str">
        <f t="shared" si="45"/>
        <v/>
      </c>
      <c r="EZ41" s="15"/>
      <c r="FA41" s="15"/>
      <c r="FB41" s="20"/>
      <c r="FC41" s="12" t="str">
        <f>IF($A41="","",SUMIFS('Consumable Usage'!$E:$E,'Consumable Usage'!$A:$A,$A41,'Consumable Usage'!$D:$D,16))</f>
        <v/>
      </c>
      <c r="FD41" s="12" t="str">
        <f>IF($A41="","",SUMIFS('Nursing Charges'!$I:$I,'Nursing Charges'!$A:$A,$A41,'Nursing Charges'!$C:$C,16))</f>
        <v/>
      </c>
      <c r="FE41" s="12" t="str">
        <f>IF($A41="","",FB41+(FD41-SUMIFS('Nursing Charges'!$J:$J,'Nursing Charges'!$A:$A,$A41,'Nursing Charges'!$C:$C,16))+(FC41-SUMIFS('Consumable Usage'!$F:$F,'Consumable Usage'!$A:$A,$A41,'Consumable Usage'!$D:$D,16)))</f>
        <v/>
      </c>
      <c r="FF41" s="12" t="str">
        <f t="shared" si="46"/>
        <v/>
      </c>
      <c r="FG41" s="20"/>
      <c r="FH41" s="12" t="str">
        <f t="shared" si="47"/>
        <v/>
      </c>
      <c r="FI41" s="45" t="str">
        <f t="shared" si="48"/>
        <v/>
      </c>
      <c r="FJ41" s="53"/>
      <c r="FK41" s="53"/>
      <c r="FL41" s="63"/>
      <c r="FM41" s="63" t="str">
        <f>IF($A41="","",SUMIFS('Consumable Usage'!$E:$E,'Consumable Usage'!$A:$A,$A41,'Consumable Usage'!$D:$D,16))</f>
        <v/>
      </c>
      <c r="FN41" s="63" t="str">
        <f>IF($A41="","",SUMIFS('Nursing Charges'!$I:$I,'Nursing Charges'!$A:$A,$A41,'Nursing Charges'!$C:$C,16))</f>
        <v/>
      </c>
      <c r="FO41" s="63" t="str">
        <f>IF($A41="","",FL41+(FN41-SUMIFS('Nursing Charges'!$J:$J,'Nursing Charges'!$A:$A,$A41,'Nursing Charges'!$C:$C,16))+(FM41-SUMIFS('Consumable Usage'!$F:$F,'Consumable Usage'!$A:$A,$A41,'Consumable Usage'!$D:$D,16)))</f>
        <v/>
      </c>
      <c r="FP41" s="63" t="str">
        <f t="shared" si="49"/>
        <v/>
      </c>
      <c r="FQ41" s="63"/>
      <c r="FR41" s="63" t="str">
        <f t="shared" si="50"/>
        <v/>
      </c>
      <c r="FS41" s="53" t="str">
        <f t="shared" si="51"/>
        <v/>
      </c>
    </row>
    <row r="42" ht="15.0" customHeight="1">
      <c r="A42" s="15"/>
      <c r="B42" s="15"/>
      <c r="C42" s="15"/>
      <c r="D42" s="15"/>
      <c r="E42" s="15"/>
      <c r="F42" s="15"/>
      <c r="G42" s="15"/>
      <c r="H42" s="20"/>
      <c r="I42" s="12" t="str">
        <f>IF($A42="","",SUMIFS('Consumable Usage'!$E:$E,'Consumable Usage'!$A:$A,$A42,'Consumable Usage'!$D:$D,1))</f>
        <v/>
      </c>
      <c r="J42" s="12" t="str">
        <f>IF($A42="","",SUMIFS('Nursing Charges'!$I:$I,'Nursing Charges'!$A:$A,$A42,'Nursing Charges'!$C:$C,1))</f>
        <v/>
      </c>
      <c r="K42" s="12" t="str">
        <f>IF($A42="","",H42+(J42-SUMIFS('Nursing Charges'!$J:$J,'Nursing Charges'!$A:$A,$A42,'Nursing Charges'!$C:$C,1))+(I42-SUMIFS('Consumable Usage'!$F:$F,'Consumable Usage'!$A:$A,$A42,'Consumable Usage'!$D:$D,1)))</f>
        <v/>
      </c>
      <c r="L42" s="12" t="str">
        <f t="shared" si="1"/>
        <v/>
      </c>
      <c r="M42" s="20"/>
      <c r="N42" s="12" t="str">
        <f t="shared" si="2"/>
        <v/>
      </c>
      <c r="O42" s="45" t="str">
        <f t="shared" si="3"/>
        <v/>
      </c>
      <c r="P42" s="15"/>
      <c r="Q42" s="15"/>
      <c r="R42" s="20"/>
      <c r="S42" s="12" t="str">
        <f>IF($A42="","",SUMIFS('Consumable Usage'!$E:$E,'Consumable Usage'!$A:$A,$A42,'Consumable Usage'!$D:$D,2))</f>
        <v/>
      </c>
      <c r="T42" s="12" t="str">
        <f>IF($A42="","",SUMIFS('Nursing Charges'!$I:$I,'Nursing Charges'!$A:$A,$A42,'Nursing Charges'!$C:$C,2))</f>
        <v/>
      </c>
      <c r="U42" s="12" t="str">
        <f>IF($A42="","",R42+(T42-SUMIFS('Nursing Charges'!$J:$J,'Nursing Charges'!$A:$A,$A42,'Nursing Charges'!$C:$C,2))+(S42-SUMIFS('Consumable Usage'!$F:$F,'Consumable Usage'!$A:$A,$A42,'Consumable Usage'!$D:$D,2)))</f>
        <v/>
      </c>
      <c r="V42" s="12" t="str">
        <f t="shared" si="4"/>
        <v/>
      </c>
      <c r="W42" s="20"/>
      <c r="X42" s="12" t="str">
        <f t="shared" si="5"/>
        <v/>
      </c>
      <c r="Y42" s="45" t="str">
        <f t="shared" si="6"/>
        <v/>
      </c>
      <c r="Z42" s="15"/>
      <c r="AA42" s="15"/>
      <c r="AB42" s="20"/>
      <c r="AC42" s="12" t="str">
        <f>IF($A42="","",SUMIFS('Consumable Usage'!$E:$E,'Consumable Usage'!$A:$A,$A42,'Consumable Usage'!$D:$D,3))</f>
        <v/>
      </c>
      <c r="AD42" s="12" t="str">
        <f>IF($A42="","",SUMIFS('Nursing Charges'!$I:$I,'Nursing Charges'!$A:$A,$A42,'Nursing Charges'!$C:$C,3))</f>
        <v/>
      </c>
      <c r="AE42" s="12" t="str">
        <f>IF($A42="","",AB42+(AD42-SUMIFS('Nursing Charges'!$J:$J,'Nursing Charges'!$A:$A,$A42,'Nursing Charges'!$C:$C,3))+(AC42-SUMIFS('Consumable Usage'!$F:$F,'Consumable Usage'!$A:$A,$A42,'Consumable Usage'!$D:$D,3)))</f>
        <v/>
      </c>
      <c r="AF42" s="12" t="str">
        <f t="shared" si="7"/>
        <v/>
      </c>
      <c r="AG42" s="20"/>
      <c r="AH42" s="12" t="str">
        <f t="shared" si="8"/>
        <v/>
      </c>
      <c r="AI42" s="45" t="str">
        <f t="shared" si="9"/>
        <v/>
      </c>
      <c r="AJ42" s="15"/>
      <c r="AK42" s="15"/>
      <c r="AL42" s="20"/>
      <c r="AM42" s="12" t="str">
        <f>IF($A42="","",SUMIFS('Consumable Usage'!$E:$E,'Consumable Usage'!$A:$A,$A42,'Consumable Usage'!$D:$D,4))</f>
        <v/>
      </c>
      <c r="AN42" s="12" t="str">
        <f>IF($A42="","",SUMIFS('Nursing Charges'!$I:$I,'Nursing Charges'!$A:$A,$A42,'Nursing Charges'!$C:$C,4))</f>
        <v/>
      </c>
      <c r="AO42" s="12" t="str">
        <f>IF($A42="","",AL42+(AN42-SUMIFS('Nursing Charges'!$J:$J,'Nursing Charges'!$A:$A,$A42,'Nursing Charges'!$C:$C,4))+(AM42-SUMIFS('Consumable Usage'!$F:$F,'Consumable Usage'!$A:$A,$A42,'Consumable Usage'!$D:$D,4)))</f>
        <v/>
      </c>
      <c r="AP42" s="12" t="str">
        <f t="shared" si="10"/>
        <v/>
      </c>
      <c r="AQ42" s="20"/>
      <c r="AR42" s="12" t="str">
        <f t="shared" si="11"/>
        <v/>
      </c>
      <c r="AS42" s="45" t="str">
        <f t="shared" si="12"/>
        <v/>
      </c>
      <c r="AT42" s="15"/>
      <c r="AU42" s="15"/>
      <c r="AV42" s="20"/>
      <c r="AW42" s="12" t="str">
        <f>IF($A42="","",SUMIFS('Consumable Usage'!$E:$E,'Consumable Usage'!$A:$A,$A42,'Consumable Usage'!$D:$D,5))</f>
        <v/>
      </c>
      <c r="AX42" s="12" t="str">
        <f>IF($A42="","",SUMIFS('Nursing Charges'!$I:$I,'Nursing Charges'!$A:$A,$A42,'Nursing Charges'!$C:$C,5))</f>
        <v/>
      </c>
      <c r="AY42" s="12" t="str">
        <f>IF($A42="","",AV42+(AX42-SUMIFS('Nursing Charges'!$J:$J,'Nursing Charges'!$A:$A,$A42,'Nursing Charges'!$C:$C,5))+(AW42-SUMIFS('Consumable Usage'!$F:$F,'Consumable Usage'!$A:$A,$A42,'Consumable Usage'!$D:$D,5)))</f>
        <v/>
      </c>
      <c r="AZ42" s="12" t="str">
        <f t="shared" si="13"/>
        <v/>
      </c>
      <c r="BA42" s="20"/>
      <c r="BB42" s="12" t="str">
        <f t="shared" si="14"/>
        <v/>
      </c>
      <c r="BC42" s="45" t="str">
        <f t="shared" si="15"/>
        <v/>
      </c>
      <c r="BD42" s="15"/>
      <c r="BE42" s="15"/>
      <c r="BF42" s="20"/>
      <c r="BG42" s="12" t="str">
        <f>IF($A42="","",SUMIFS('Consumable Usage'!$E:$E,'Consumable Usage'!$A:$A,$A42,'Consumable Usage'!$D:$D,6))</f>
        <v/>
      </c>
      <c r="BH42" s="12" t="str">
        <f>IF($A42="","",SUMIFS('Nursing Charges'!$I:$I,'Nursing Charges'!$A:$A,$A42,'Nursing Charges'!$C:$C,6))</f>
        <v/>
      </c>
      <c r="BI42" s="12" t="str">
        <f>IF($A42="","",BF42+(BH42-SUMIFS('Nursing Charges'!$J:$J,'Nursing Charges'!$A:$A,$A42,'Nursing Charges'!$C:$C,6))+(BG42-SUMIFS('Consumable Usage'!$F:$F,'Consumable Usage'!$A:$A,$A42,'Consumable Usage'!$D:$D,6)))</f>
        <v/>
      </c>
      <c r="BJ42" s="12" t="str">
        <f t="shared" si="16"/>
        <v/>
      </c>
      <c r="BK42" s="20"/>
      <c r="BL42" s="12" t="str">
        <f t="shared" si="17"/>
        <v/>
      </c>
      <c r="BM42" s="45" t="str">
        <f t="shared" si="18"/>
        <v/>
      </c>
      <c r="BN42" s="15"/>
      <c r="BO42" s="15"/>
      <c r="BP42" s="20"/>
      <c r="BQ42" s="12" t="str">
        <f>IF($A42="","",SUMIFS('Consumable Usage'!$E:$E,'Consumable Usage'!$A:$A,$A42,'Consumable Usage'!$D:$D,7))</f>
        <v/>
      </c>
      <c r="BR42" s="12" t="str">
        <f>IF($A42="","",SUMIFS('Nursing Charges'!$I:$I,'Nursing Charges'!$A:$A,$A42,'Nursing Charges'!$C:$C,7))</f>
        <v/>
      </c>
      <c r="BS42" s="12" t="str">
        <f>IF($A42="","",BP42+(BR42-SUMIFS('Nursing Charges'!$J:$J,'Nursing Charges'!$A:$A,$A42,'Nursing Charges'!$C:$C,7))+(BQ42-SUMIFS('Consumable Usage'!$F:$F,'Consumable Usage'!$A:$A,$A42,'Consumable Usage'!$D:$D,7)))</f>
        <v/>
      </c>
      <c r="BT42" s="12" t="str">
        <f t="shared" si="19"/>
        <v/>
      </c>
      <c r="BU42" s="20"/>
      <c r="BV42" s="12" t="str">
        <f t="shared" si="20"/>
        <v/>
      </c>
      <c r="BW42" s="45" t="str">
        <f t="shared" si="21"/>
        <v/>
      </c>
      <c r="BX42" s="15"/>
      <c r="BY42" s="15"/>
      <c r="BZ42" s="20"/>
      <c r="CA42" s="12" t="str">
        <f>IF($A42="","",SUMIFS('Consumable Usage'!$E:$E,'Consumable Usage'!$A:$A,$A42,'Consumable Usage'!$D:$D,8))</f>
        <v/>
      </c>
      <c r="CB42" s="12" t="str">
        <f>IF($A42="","",SUMIFS('Nursing Charges'!$I:$I,'Nursing Charges'!$A:$A,$A42,'Nursing Charges'!$C:$C,8))</f>
        <v/>
      </c>
      <c r="CC42" s="12" t="str">
        <f>IF($A42="","",BZ42+(CB42-SUMIFS('Nursing Charges'!$J:$J,'Nursing Charges'!$A:$A,$A42,'Nursing Charges'!$C:$C,8))+(CA42-SUMIFS('Consumable Usage'!$F:$F,'Consumable Usage'!$A:$A,$A42,'Consumable Usage'!$D:$D,8)))</f>
        <v/>
      </c>
      <c r="CD42" s="12" t="str">
        <f t="shared" si="22"/>
        <v/>
      </c>
      <c r="CE42" s="20"/>
      <c r="CF42" s="12" t="str">
        <f t="shared" si="23"/>
        <v/>
      </c>
      <c r="CG42" s="45" t="str">
        <f t="shared" si="24"/>
        <v/>
      </c>
      <c r="CH42" s="15"/>
      <c r="CI42" s="15"/>
      <c r="CJ42" s="20"/>
      <c r="CK42" s="12" t="str">
        <f>IF($A42="","",SUMIFS('Consumable Usage'!$E:$E,'Consumable Usage'!$A:$A,$A42,'Consumable Usage'!$D:$D,9))</f>
        <v/>
      </c>
      <c r="CL42" s="12" t="str">
        <f>IF($A42="","",SUMIFS('Nursing Charges'!$I:$I,'Nursing Charges'!$A:$A,$A42,'Nursing Charges'!$C:$C,9))</f>
        <v/>
      </c>
      <c r="CM42" s="12" t="str">
        <f>IF($A42="","",CJ42+(CL42-SUMIFS('Nursing Charges'!$J:$J,'Nursing Charges'!$A:$A,$A42,'Nursing Charges'!$C:$C,9))+(CK42-SUMIFS('Consumable Usage'!$F:$F,'Consumable Usage'!$A:$A,$A42,'Consumable Usage'!$D:$D,9)))</f>
        <v/>
      </c>
      <c r="CN42" s="12" t="str">
        <f t="shared" si="25"/>
        <v/>
      </c>
      <c r="CO42" s="20"/>
      <c r="CP42" s="12" t="str">
        <f t="shared" si="26"/>
        <v/>
      </c>
      <c r="CQ42" s="45" t="str">
        <f t="shared" si="27"/>
        <v/>
      </c>
      <c r="CR42" s="15"/>
      <c r="CS42" s="15"/>
      <c r="CT42" s="20"/>
      <c r="CU42" s="12" t="str">
        <f>IF($A42="","",SUMIFS('Consumable Usage'!$E:$E,'Consumable Usage'!$A:$A,$A42,'Consumable Usage'!$D:$D,10))</f>
        <v/>
      </c>
      <c r="CV42" s="12" t="str">
        <f>IF($A42="","",SUMIFS('Nursing Charges'!$I:$I,'Nursing Charges'!$A:$A,$A42,'Nursing Charges'!$C:$C,10))</f>
        <v/>
      </c>
      <c r="CW42" s="12" t="str">
        <f>IF($A42="","",CT42+(CV42-SUMIFS('Nursing Charges'!$J:$J,'Nursing Charges'!$A:$A,$A42,'Nursing Charges'!$C:$C,10))+(CU42-SUMIFS('Consumable Usage'!$F:$F,'Consumable Usage'!$A:$A,$A42,'Consumable Usage'!$D:$D,10)))</f>
        <v/>
      </c>
      <c r="CX42" s="12" t="str">
        <f t="shared" si="28"/>
        <v/>
      </c>
      <c r="CY42" s="20"/>
      <c r="CZ42" s="12" t="str">
        <f t="shared" si="29"/>
        <v/>
      </c>
      <c r="DA42" s="45" t="str">
        <f t="shared" si="30"/>
        <v/>
      </c>
      <c r="DB42" s="15"/>
      <c r="DC42" s="15"/>
      <c r="DD42" s="20"/>
      <c r="DE42" s="12" t="str">
        <f>IF($A42="","",SUMIFS('Consumable Usage'!$E:$E,'Consumable Usage'!$A:$A,$A42,'Consumable Usage'!$D:$D,11))</f>
        <v/>
      </c>
      <c r="DF42" s="12" t="str">
        <f>IF($A42="","",SUMIFS('Nursing Charges'!$I:$I,'Nursing Charges'!$A:$A,$A42,'Nursing Charges'!$C:$C,11))</f>
        <v/>
      </c>
      <c r="DG42" s="12" t="str">
        <f>IF($A42="","",DD42+(DF42-SUMIFS('Nursing Charges'!$J:$J,'Nursing Charges'!$A:$A,$A42,'Nursing Charges'!$C:$C,11))+(DE42-SUMIFS('Consumable Usage'!$F:$F,'Consumable Usage'!$A:$A,$A42,'Consumable Usage'!$D:$D,11)))</f>
        <v/>
      </c>
      <c r="DH42" s="12" t="str">
        <f t="shared" si="31"/>
        <v/>
      </c>
      <c r="DI42" s="20"/>
      <c r="DJ42" s="12" t="str">
        <f t="shared" si="32"/>
        <v/>
      </c>
      <c r="DK42" s="45" t="str">
        <f t="shared" si="33"/>
        <v/>
      </c>
      <c r="DL42" s="15"/>
      <c r="DM42" s="15"/>
      <c r="DN42" s="20"/>
      <c r="DO42" s="12" t="str">
        <f>IF($A42="","",SUMIFS('Consumable Usage'!$E:$E,'Consumable Usage'!$A:$A,$A42,'Consumable Usage'!$D:$D,12))</f>
        <v/>
      </c>
      <c r="DP42" s="12" t="str">
        <f>IF($A42="","",SUMIFS('Nursing Charges'!$I:$I,'Nursing Charges'!$A:$A,$A42,'Nursing Charges'!$C:$C,12))</f>
        <v/>
      </c>
      <c r="DQ42" s="12" t="str">
        <f>IF($A42="","",DN42+(DP42-SUMIFS('Nursing Charges'!$J:$J,'Nursing Charges'!$A:$A,$A42,'Nursing Charges'!$C:$C,12))+(DO42-SUMIFS('Consumable Usage'!$F:$F,'Consumable Usage'!$A:$A,$A42,'Consumable Usage'!$D:$D,12)))</f>
        <v/>
      </c>
      <c r="DR42" s="12" t="str">
        <f t="shared" si="34"/>
        <v/>
      </c>
      <c r="DS42" s="20"/>
      <c r="DT42" s="12" t="str">
        <f t="shared" si="35"/>
        <v/>
      </c>
      <c r="DU42" s="45" t="str">
        <f t="shared" si="36"/>
        <v/>
      </c>
      <c r="DV42" s="15"/>
      <c r="DW42" s="15"/>
      <c r="DX42" s="20"/>
      <c r="DY42" s="12" t="str">
        <f>IF($A42="","",SUMIFS('Consumable Usage'!$E:$E,'Consumable Usage'!$A:$A,$A42,'Consumable Usage'!$D:$D,13))</f>
        <v/>
      </c>
      <c r="DZ42" s="12" t="str">
        <f>IF($A42="","",SUMIFS('Nursing Charges'!$I:$I,'Nursing Charges'!$A:$A,$A42,'Nursing Charges'!$C:$C,13))</f>
        <v/>
      </c>
      <c r="EA42" s="12" t="str">
        <f>IF($A42="","",DX42+(DZ42-SUMIFS('Nursing Charges'!$J:$J,'Nursing Charges'!$A:$A,$A42,'Nursing Charges'!$C:$C,13))+(DY42-SUMIFS('Consumable Usage'!$F:$F,'Consumable Usage'!$A:$A,$A42,'Consumable Usage'!$D:$D,13)))</f>
        <v/>
      </c>
      <c r="EB42" s="12" t="str">
        <f t="shared" si="37"/>
        <v/>
      </c>
      <c r="EC42" s="20"/>
      <c r="ED42" s="12" t="str">
        <f t="shared" si="38"/>
        <v/>
      </c>
      <c r="EE42" s="45" t="str">
        <f t="shared" si="39"/>
        <v/>
      </c>
      <c r="EF42" s="15"/>
      <c r="EG42" s="15"/>
      <c r="EH42" s="20"/>
      <c r="EI42" s="12" t="str">
        <f>IF($A42="","",SUMIFS('Consumable Usage'!$E:$E,'Consumable Usage'!$A:$A,$A42,'Consumable Usage'!$D:$D,14))</f>
        <v/>
      </c>
      <c r="EJ42" s="12" t="str">
        <f>IF($A42="","",SUMIFS('Nursing Charges'!$I:$I,'Nursing Charges'!$A:$A,$A42,'Nursing Charges'!$C:$C,14))</f>
        <v/>
      </c>
      <c r="EK42" s="12" t="str">
        <f>IF($A42="","",EH42+(EJ42-SUMIFS('Nursing Charges'!$J:$J,'Nursing Charges'!$A:$A,$A42,'Nursing Charges'!$C:$C,14))+(EI42-SUMIFS('Consumable Usage'!$F:$F,'Consumable Usage'!$A:$A,$A42,'Consumable Usage'!$D:$D,14)))</f>
        <v/>
      </c>
      <c r="EL42" s="12" t="str">
        <f t="shared" si="40"/>
        <v/>
      </c>
      <c r="EM42" s="20"/>
      <c r="EN42" s="12" t="str">
        <f t="shared" si="41"/>
        <v/>
      </c>
      <c r="EO42" s="45" t="str">
        <f t="shared" si="42"/>
        <v/>
      </c>
      <c r="EP42" s="15"/>
      <c r="EQ42" s="15"/>
      <c r="ER42" s="20"/>
      <c r="ES42" s="12" t="str">
        <f>IF($A42="","",SUMIFS('Consumable Usage'!$E:$E,'Consumable Usage'!$A:$A,$A42,'Consumable Usage'!$D:$D,15))</f>
        <v/>
      </c>
      <c r="ET42" s="12" t="str">
        <f>IF($A42="","",SUMIFS('Nursing Charges'!$I:$I,'Nursing Charges'!$A:$A,$A42,'Nursing Charges'!$C:$C,15))</f>
        <v/>
      </c>
      <c r="EU42" s="12" t="str">
        <f>IF($A42="","",ER42+(ET42-SUMIFS('Nursing Charges'!$J:$J,'Nursing Charges'!$A:$A,$A42,'Nursing Charges'!$C:$C,15))+(ES42-SUMIFS('Consumable Usage'!$F:$F,'Consumable Usage'!$A:$A,$A42,'Consumable Usage'!$D:$D,15)))</f>
        <v/>
      </c>
      <c r="EV42" s="12" t="str">
        <f t="shared" si="43"/>
        <v/>
      </c>
      <c r="EW42" s="20"/>
      <c r="EX42" s="12" t="str">
        <f t="shared" si="44"/>
        <v/>
      </c>
      <c r="EY42" s="45" t="str">
        <f t="shared" si="45"/>
        <v/>
      </c>
      <c r="EZ42" s="15"/>
      <c r="FA42" s="15"/>
      <c r="FB42" s="20"/>
      <c r="FC42" s="12" t="str">
        <f>IF($A42="","",SUMIFS('Consumable Usage'!$E:$E,'Consumable Usage'!$A:$A,$A42,'Consumable Usage'!$D:$D,16))</f>
        <v/>
      </c>
      <c r="FD42" s="12" t="str">
        <f>IF($A42="","",SUMIFS('Nursing Charges'!$I:$I,'Nursing Charges'!$A:$A,$A42,'Nursing Charges'!$C:$C,16))</f>
        <v/>
      </c>
      <c r="FE42" s="12" t="str">
        <f>IF($A42="","",FB42+(FD42-SUMIFS('Nursing Charges'!$J:$J,'Nursing Charges'!$A:$A,$A42,'Nursing Charges'!$C:$C,16))+(FC42-SUMIFS('Consumable Usage'!$F:$F,'Consumable Usage'!$A:$A,$A42,'Consumable Usage'!$D:$D,16)))</f>
        <v/>
      </c>
      <c r="FF42" s="12" t="str">
        <f t="shared" si="46"/>
        <v/>
      </c>
      <c r="FG42" s="20"/>
      <c r="FH42" s="12" t="str">
        <f t="shared" si="47"/>
        <v/>
      </c>
      <c r="FI42" s="45" t="str">
        <f t="shared" si="48"/>
        <v/>
      </c>
      <c r="FJ42" s="53"/>
      <c r="FK42" s="53"/>
      <c r="FL42" s="63"/>
      <c r="FM42" s="63" t="str">
        <f>IF($A42="","",SUMIFS('Consumable Usage'!$E:$E,'Consumable Usage'!$A:$A,$A42,'Consumable Usage'!$D:$D,16))</f>
        <v/>
      </c>
      <c r="FN42" s="63" t="str">
        <f>IF($A42="","",SUMIFS('Nursing Charges'!$I:$I,'Nursing Charges'!$A:$A,$A42,'Nursing Charges'!$C:$C,16))</f>
        <v/>
      </c>
      <c r="FO42" s="63" t="str">
        <f>IF($A42="","",FL42+(FN42-SUMIFS('Nursing Charges'!$J:$J,'Nursing Charges'!$A:$A,$A42,'Nursing Charges'!$C:$C,16))+(FM42-SUMIFS('Consumable Usage'!$F:$F,'Consumable Usage'!$A:$A,$A42,'Consumable Usage'!$D:$D,16)))</f>
        <v/>
      </c>
      <c r="FP42" s="63" t="str">
        <f t="shared" si="49"/>
        <v/>
      </c>
      <c r="FQ42" s="63"/>
      <c r="FR42" s="63" t="str">
        <f t="shared" si="50"/>
        <v/>
      </c>
      <c r="FS42" s="53" t="str">
        <f t="shared" si="51"/>
        <v/>
      </c>
    </row>
    <row r="43" ht="15.0" customHeight="1">
      <c r="A43" s="15"/>
      <c r="B43" s="15"/>
      <c r="C43" s="15"/>
      <c r="D43" s="15"/>
      <c r="E43" s="15"/>
      <c r="F43" s="15"/>
      <c r="G43" s="15"/>
      <c r="H43" s="20"/>
      <c r="I43" s="12" t="str">
        <f>IF($A43="","",SUMIFS('Consumable Usage'!$E:$E,'Consumable Usage'!$A:$A,$A43,'Consumable Usage'!$D:$D,1))</f>
        <v/>
      </c>
      <c r="J43" s="12" t="str">
        <f>IF($A43="","",SUMIFS('Nursing Charges'!$I:$I,'Nursing Charges'!$A:$A,$A43,'Nursing Charges'!$C:$C,1))</f>
        <v/>
      </c>
      <c r="K43" s="12" t="str">
        <f>IF($A43="","",H43+(J43-SUMIFS('Nursing Charges'!$J:$J,'Nursing Charges'!$A:$A,$A43,'Nursing Charges'!$C:$C,1))+(I43-SUMIFS('Consumable Usage'!$F:$F,'Consumable Usage'!$A:$A,$A43,'Consumable Usage'!$D:$D,1)))</f>
        <v/>
      </c>
      <c r="L43" s="12" t="str">
        <f t="shared" si="1"/>
        <v/>
      </c>
      <c r="M43" s="20"/>
      <c r="N43" s="12" t="str">
        <f t="shared" si="2"/>
        <v/>
      </c>
      <c r="O43" s="45" t="str">
        <f t="shared" si="3"/>
        <v/>
      </c>
      <c r="P43" s="15"/>
      <c r="Q43" s="15"/>
      <c r="R43" s="20"/>
      <c r="S43" s="12" t="str">
        <f>IF($A43="","",SUMIFS('Consumable Usage'!$E:$E,'Consumable Usage'!$A:$A,$A43,'Consumable Usage'!$D:$D,2))</f>
        <v/>
      </c>
      <c r="T43" s="12" t="str">
        <f>IF($A43="","",SUMIFS('Nursing Charges'!$I:$I,'Nursing Charges'!$A:$A,$A43,'Nursing Charges'!$C:$C,2))</f>
        <v/>
      </c>
      <c r="U43" s="12" t="str">
        <f>IF($A43="","",R43+(T43-SUMIFS('Nursing Charges'!$J:$J,'Nursing Charges'!$A:$A,$A43,'Nursing Charges'!$C:$C,2))+(S43-SUMIFS('Consumable Usage'!$F:$F,'Consumable Usage'!$A:$A,$A43,'Consumable Usage'!$D:$D,2)))</f>
        <v/>
      </c>
      <c r="V43" s="12" t="str">
        <f t="shared" si="4"/>
        <v/>
      </c>
      <c r="W43" s="20"/>
      <c r="X43" s="12" t="str">
        <f t="shared" si="5"/>
        <v/>
      </c>
      <c r="Y43" s="45" t="str">
        <f t="shared" si="6"/>
        <v/>
      </c>
      <c r="Z43" s="15"/>
      <c r="AA43" s="15"/>
      <c r="AB43" s="20"/>
      <c r="AC43" s="12" t="str">
        <f>IF($A43="","",SUMIFS('Consumable Usage'!$E:$E,'Consumable Usage'!$A:$A,$A43,'Consumable Usage'!$D:$D,3))</f>
        <v/>
      </c>
      <c r="AD43" s="12" t="str">
        <f>IF($A43="","",SUMIFS('Nursing Charges'!$I:$I,'Nursing Charges'!$A:$A,$A43,'Nursing Charges'!$C:$C,3))</f>
        <v/>
      </c>
      <c r="AE43" s="12" t="str">
        <f>IF($A43="","",AB43+(AD43-SUMIFS('Nursing Charges'!$J:$J,'Nursing Charges'!$A:$A,$A43,'Nursing Charges'!$C:$C,3))+(AC43-SUMIFS('Consumable Usage'!$F:$F,'Consumable Usage'!$A:$A,$A43,'Consumable Usage'!$D:$D,3)))</f>
        <v/>
      </c>
      <c r="AF43" s="12" t="str">
        <f t="shared" si="7"/>
        <v/>
      </c>
      <c r="AG43" s="20"/>
      <c r="AH43" s="12" t="str">
        <f t="shared" si="8"/>
        <v/>
      </c>
      <c r="AI43" s="45" t="str">
        <f t="shared" si="9"/>
        <v/>
      </c>
      <c r="AJ43" s="15"/>
      <c r="AK43" s="15"/>
      <c r="AL43" s="20"/>
      <c r="AM43" s="12" t="str">
        <f>IF($A43="","",SUMIFS('Consumable Usage'!$E:$E,'Consumable Usage'!$A:$A,$A43,'Consumable Usage'!$D:$D,4))</f>
        <v/>
      </c>
      <c r="AN43" s="12" t="str">
        <f>IF($A43="","",SUMIFS('Nursing Charges'!$I:$I,'Nursing Charges'!$A:$A,$A43,'Nursing Charges'!$C:$C,4))</f>
        <v/>
      </c>
      <c r="AO43" s="12" t="str">
        <f>IF($A43="","",AL43+(AN43-SUMIFS('Nursing Charges'!$J:$J,'Nursing Charges'!$A:$A,$A43,'Nursing Charges'!$C:$C,4))+(AM43-SUMIFS('Consumable Usage'!$F:$F,'Consumable Usage'!$A:$A,$A43,'Consumable Usage'!$D:$D,4)))</f>
        <v/>
      </c>
      <c r="AP43" s="12" t="str">
        <f t="shared" si="10"/>
        <v/>
      </c>
      <c r="AQ43" s="20"/>
      <c r="AR43" s="12" t="str">
        <f t="shared" si="11"/>
        <v/>
      </c>
      <c r="AS43" s="45" t="str">
        <f t="shared" si="12"/>
        <v/>
      </c>
      <c r="AT43" s="15"/>
      <c r="AU43" s="15"/>
      <c r="AV43" s="20"/>
      <c r="AW43" s="12" t="str">
        <f>IF($A43="","",SUMIFS('Consumable Usage'!$E:$E,'Consumable Usage'!$A:$A,$A43,'Consumable Usage'!$D:$D,5))</f>
        <v/>
      </c>
      <c r="AX43" s="12" t="str">
        <f>IF($A43="","",SUMIFS('Nursing Charges'!$I:$I,'Nursing Charges'!$A:$A,$A43,'Nursing Charges'!$C:$C,5))</f>
        <v/>
      </c>
      <c r="AY43" s="12" t="str">
        <f>IF($A43="","",AV43+(AX43-SUMIFS('Nursing Charges'!$J:$J,'Nursing Charges'!$A:$A,$A43,'Nursing Charges'!$C:$C,5))+(AW43-SUMIFS('Consumable Usage'!$F:$F,'Consumable Usage'!$A:$A,$A43,'Consumable Usage'!$D:$D,5)))</f>
        <v/>
      </c>
      <c r="AZ43" s="12" t="str">
        <f t="shared" si="13"/>
        <v/>
      </c>
      <c r="BA43" s="20"/>
      <c r="BB43" s="12" t="str">
        <f t="shared" si="14"/>
        <v/>
      </c>
      <c r="BC43" s="45" t="str">
        <f t="shared" si="15"/>
        <v/>
      </c>
      <c r="BD43" s="15"/>
      <c r="BE43" s="15"/>
      <c r="BF43" s="20"/>
      <c r="BG43" s="12" t="str">
        <f>IF($A43="","",SUMIFS('Consumable Usage'!$E:$E,'Consumable Usage'!$A:$A,$A43,'Consumable Usage'!$D:$D,6))</f>
        <v/>
      </c>
      <c r="BH43" s="12" t="str">
        <f>IF($A43="","",SUMIFS('Nursing Charges'!$I:$I,'Nursing Charges'!$A:$A,$A43,'Nursing Charges'!$C:$C,6))</f>
        <v/>
      </c>
      <c r="BI43" s="12" t="str">
        <f>IF($A43="","",BF43+(BH43-SUMIFS('Nursing Charges'!$J:$J,'Nursing Charges'!$A:$A,$A43,'Nursing Charges'!$C:$C,6))+(BG43-SUMIFS('Consumable Usage'!$F:$F,'Consumable Usage'!$A:$A,$A43,'Consumable Usage'!$D:$D,6)))</f>
        <v/>
      </c>
      <c r="BJ43" s="12" t="str">
        <f t="shared" si="16"/>
        <v/>
      </c>
      <c r="BK43" s="20"/>
      <c r="BL43" s="12" t="str">
        <f t="shared" si="17"/>
        <v/>
      </c>
      <c r="BM43" s="45" t="str">
        <f t="shared" si="18"/>
        <v/>
      </c>
      <c r="BN43" s="15"/>
      <c r="BO43" s="15"/>
      <c r="BP43" s="20"/>
      <c r="BQ43" s="12" t="str">
        <f>IF($A43="","",SUMIFS('Consumable Usage'!$E:$E,'Consumable Usage'!$A:$A,$A43,'Consumable Usage'!$D:$D,7))</f>
        <v/>
      </c>
      <c r="BR43" s="12" t="str">
        <f>IF($A43="","",SUMIFS('Nursing Charges'!$I:$I,'Nursing Charges'!$A:$A,$A43,'Nursing Charges'!$C:$C,7))</f>
        <v/>
      </c>
      <c r="BS43" s="12" t="str">
        <f>IF($A43="","",BP43+(BR43-SUMIFS('Nursing Charges'!$J:$J,'Nursing Charges'!$A:$A,$A43,'Nursing Charges'!$C:$C,7))+(BQ43-SUMIFS('Consumable Usage'!$F:$F,'Consumable Usage'!$A:$A,$A43,'Consumable Usage'!$D:$D,7)))</f>
        <v/>
      </c>
      <c r="BT43" s="12" t="str">
        <f t="shared" si="19"/>
        <v/>
      </c>
      <c r="BU43" s="20"/>
      <c r="BV43" s="12" t="str">
        <f t="shared" si="20"/>
        <v/>
      </c>
      <c r="BW43" s="45" t="str">
        <f t="shared" si="21"/>
        <v/>
      </c>
      <c r="BX43" s="15"/>
      <c r="BY43" s="15"/>
      <c r="BZ43" s="20"/>
      <c r="CA43" s="12" t="str">
        <f>IF($A43="","",SUMIFS('Consumable Usage'!$E:$E,'Consumable Usage'!$A:$A,$A43,'Consumable Usage'!$D:$D,8))</f>
        <v/>
      </c>
      <c r="CB43" s="12" t="str">
        <f>IF($A43="","",SUMIFS('Nursing Charges'!$I:$I,'Nursing Charges'!$A:$A,$A43,'Nursing Charges'!$C:$C,8))</f>
        <v/>
      </c>
      <c r="CC43" s="12" t="str">
        <f>IF($A43="","",BZ43+(CB43-SUMIFS('Nursing Charges'!$J:$J,'Nursing Charges'!$A:$A,$A43,'Nursing Charges'!$C:$C,8))+(CA43-SUMIFS('Consumable Usage'!$F:$F,'Consumable Usage'!$A:$A,$A43,'Consumable Usage'!$D:$D,8)))</f>
        <v/>
      </c>
      <c r="CD43" s="12" t="str">
        <f t="shared" si="22"/>
        <v/>
      </c>
      <c r="CE43" s="20"/>
      <c r="CF43" s="12" t="str">
        <f t="shared" si="23"/>
        <v/>
      </c>
      <c r="CG43" s="45" t="str">
        <f t="shared" si="24"/>
        <v/>
      </c>
      <c r="CH43" s="15"/>
      <c r="CI43" s="15"/>
      <c r="CJ43" s="20"/>
      <c r="CK43" s="12" t="str">
        <f>IF($A43="","",SUMIFS('Consumable Usage'!$E:$E,'Consumable Usage'!$A:$A,$A43,'Consumable Usage'!$D:$D,9))</f>
        <v/>
      </c>
      <c r="CL43" s="12" t="str">
        <f>IF($A43="","",SUMIFS('Nursing Charges'!$I:$I,'Nursing Charges'!$A:$A,$A43,'Nursing Charges'!$C:$C,9))</f>
        <v/>
      </c>
      <c r="CM43" s="12" t="str">
        <f>IF($A43="","",CJ43+(CL43-SUMIFS('Nursing Charges'!$J:$J,'Nursing Charges'!$A:$A,$A43,'Nursing Charges'!$C:$C,9))+(CK43-SUMIFS('Consumable Usage'!$F:$F,'Consumable Usage'!$A:$A,$A43,'Consumable Usage'!$D:$D,9)))</f>
        <v/>
      </c>
      <c r="CN43" s="12" t="str">
        <f t="shared" si="25"/>
        <v/>
      </c>
      <c r="CO43" s="20"/>
      <c r="CP43" s="12" t="str">
        <f t="shared" si="26"/>
        <v/>
      </c>
      <c r="CQ43" s="45" t="str">
        <f t="shared" si="27"/>
        <v/>
      </c>
      <c r="CR43" s="15"/>
      <c r="CS43" s="15"/>
      <c r="CT43" s="20"/>
      <c r="CU43" s="12" t="str">
        <f>IF($A43="","",SUMIFS('Consumable Usage'!$E:$E,'Consumable Usage'!$A:$A,$A43,'Consumable Usage'!$D:$D,10))</f>
        <v/>
      </c>
      <c r="CV43" s="12" t="str">
        <f>IF($A43="","",SUMIFS('Nursing Charges'!$I:$I,'Nursing Charges'!$A:$A,$A43,'Nursing Charges'!$C:$C,10))</f>
        <v/>
      </c>
      <c r="CW43" s="12" t="str">
        <f>IF($A43="","",CT43+(CV43-SUMIFS('Nursing Charges'!$J:$J,'Nursing Charges'!$A:$A,$A43,'Nursing Charges'!$C:$C,10))+(CU43-SUMIFS('Consumable Usage'!$F:$F,'Consumable Usage'!$A:$A,$A43,'Consumable Usage'!$D:$D,10)))</f>
        <v/>
      </c>
      <c r="CX43" s="12" t="str">
        <f t="shared" si="28"/>
        <v/>
      </c>
      <c r="CY43" s="20"/>
      <c r="CZ43" s="12" t="str">
        <f t="shared" si="29"/>
        <v/>
      </c>
      <c r="DA43" s="45" t="str">
        <f t="shared" si="30"/>
        <v/>
      </c>
      <c r="DB43" s="15"/>
      <c r="DC43" s="15"/>
      <c r="DD43" s="20"/>
      <c r="DE43" s="12" t="str">
        <f>IF($A43="","",SUMIFS('Consumable Usage'!$E:$E,'Consumable Usage'!$A:$A,$A43,'Consumable Usage'!$D:$D,11))</f>
        <v/>
      </c>
      <c r="DF43" s="12" t="str">
        <f>IF($A43="","",SUMIFS('Nursing Charges'!$I:$I,'Nursing Charges'!$A:$A,$A43,'Nursing Charges'!$C:$C,11))</f>
        <v/>
      </c>
      <c r="DG43" s="12" t="str">
        <f>IF($A43="","",DD43+(DF43-SUMIFS('Nursing Charges'!$J:$J,'Nursing Charges'!$A:$A,$A43,'Nursing Charges'!$C:$C,11))+(DE43-SUMIFS('Consumable Usage'!$F:$F,'Consumable Usage'!$A:$A,$A43,'Consumable Usage'!$D:$D,11)))</f>
        <v/>
      </c>
      <c r="DH43" s="12" t="str">
        <f t="shared" si="31"/>
        <v/>
      </c>
      <c r="DI43" s="20"/>
      <c r="DJ43" s="12" t="str">
        <f t="shared" si="32"/>
        <v/>
      </c>
      <c r="DK43" s="45" t="str">
        <f t="shared" si="33"/>
        <v/>
      </c>
      <c r="DL43" s="15"/>
      <c r="DM43" s="15"/>
      <c r="DN43" s="20"/>
      <c r="DO43" s="12" t="str">
        <f>IF($A43="","",SUMIFS('Consumable Usage'!$E:$E,'Consumable Usage'!$A:$A,$A43,'Consumable Usage'!$D:$D,12))</f>
        <v/>
      </c>
      <c r="DP43" s="12" t="str">
        <f>IF($A43="","",SUMIFS('Nursing Charges'!$I:$I,'Nursing Charges'!$A:$A,$A43,'Nursing Charges'!$C:$C,12))</f>
        <v/>
      </c>
      <c r="DQ43" s="12" t="str">
        <f>IF($A43="","",DN43+(DP43-SUMIFS('Nursing Charges'!$J:$J,'Nursing Charges'!$A:$A,$A43,'Nursing Charges'!$C:$C,12))+(DO43-SUMIFS('Consumable Usage'!$F:$F,'Consumable Usage'!$A:$A,$A43,'Consumable Usage'!$D:$D,12)))</f>
        <v/>
      </c>
      <c r="DR43" s="12" t="str">
        <f t="shared" si="34"/>
        <v/>
      </c>
      <c r="DS43" s="20"/>
      <c r="DT43" s="12" t="str">
        <f t="shared" si="35"/>
        <v/>
      </c>
      <c r="DU43" s="45" t="str">
        <f t="shared" si="36"/>
        <v/>
      </c>
      <c r="DV43" s="15"/>
      <c r="DW43" s="15"/>
      <c r="DX43" s="20"/>
      <c r="DY43" s="12" t="str">
        <f>IF($A43="","",SUMIFS('Consumable Usage'!$E:$E,'Consumable Usage'!$A:$A,$A43,'Consumable Usage'!$D:$D,13))</f>
        <v/>
      </c>
      <c r="DZ43" s="12" t="str">
        <f>IF($A43="","",SUMIFS('Nursing Charges'!$I:$I,'Nursing Charges'!$A:$A,$A43,'Nursing Charges'!$C:$C,13))</f>
        <v/>
      </c>
      <c r="EA43" s="12" t="str">
        <f>IF($A43="","",DX43+(DZ43-SUMIFS('Nursing Charges'!$J:$J,'Nursing Charges'!$A:$A,$A43,'Nursing Charges'!$C:$C,13))+(DY43-SUMIFS('Consumable Usage'!$F:$F,'Consumable Usage'!$A:$A,$A43,'Consumable Usage'!$D:$D,13)))</f>
        <v/>
      </c>
      <c r="EB43" s="12" t="str">
        <f t="shared" si="37"/>
        <v/>
      </c>
      <c r="EC43" s="20"/>
      <c r="ED43" s="12" t="str">
        <f t="shared" si="38"/>
        <v/>
      </c>
      <c r="EE43" s="45" t="str">
        <f t="shared" si="39"/>
        <v/>
      </c>
      <c r="EF43" s="15"/>
      <c r="EG43" s="15"/>
      <c r="EH43" s="20"/>
      <c r="EI43" s="12" t="str">
        <f>IF($A43="","",SUMIFS('Consumable Usage'!$E:$E,'Consumable Usage'!$A:$A,$A43,'Consumable Usage'!$D:$D,14))</f>
        <v/>
      </c>
      <c r="EJ43" s="12" t="str">
        <f>IF($A43="","",SUMIFS('Nursing Charges'!$I:$I,'Nursing Charges'!$A:$A,$A43,'Nursing Charges'!$C:$C,14))</f>
        <v/>
      </c>
      <c r="EK43" s="12" t="str">
        <f>IF($A43="","",EH43+(EJ43-SUMIFS('Nursing Charges'!$J:$J,'Nursing Charges'!$A:$A,$A43,'Nursing Charges'!$C:$C,14))+(EI43-SUMIFS('Consumable Usage'!$F:$F,'Consumable Usage'!$A:$A,$A43,'Consumable Usage'!$D:$D,14)))</f>
        <v/>
      </c>
      <c r="EL43" s="12" t="str">
        <f t="shared" si="40"/>
        <v/>
      </c>
      <c r="EM43" s="20"/>
      <c r="EN43" s="12" t="str">
        <f t="shared" si="41"/>
        <v/>
      </c>
      <c r="EO43" s="45" t="str">
        <f t="shared" si="42"/>
        <v/>
      </c>
      <c r="EP43" s="15"/>
      <c r="EQ43" s="15"/>
      <c r="ER43" s="20"/>
      <c r="ES43" s="12" t="str">
        <f>IF($A43="","",SUMIFS('Consumable Usage'!$E:$E,'Consumable Usage'!$A:$A,$A43,'Consumable Usage'!$D:$D,15))</f>
        <v/>
      </c>
      <c r="ET43" s="12" t="str">
        <f>IF($A43="","",SUMIFS('Nursing Charges'!$I:$I,'Nursing Charges'!$A:$A,$A43,'Nursing Charges'!$C:$C,15))</f>
        <v/>
      </c>
      <c r="EU43" s="12" t="str">
        <f>IF($A43="","",ER43+(ET43-SUMIFS('Nursing Charges'!$J:$J,'Nursing Charges'!$A:$A,$A43,'Nursing Charges'!$C:$C,15))+(ES43-SUMIFS('Consumable Usage'!$F:$F,'Consumable Usage'!$A:$A,$A43,'Consumable Usage'!$D:$D,15)))</f>
        <v/>
      </c>
      <c r="EV43" s="12" t="str">
        <f t="shared" si="43"/>
        <v/>
      </c>
      <c r="EW43" s="20"/>
      <c r="EX43" s="12" t="str">
        <f t="shared" si="44"/>
        <v/>
      </c>
      <c r="EY43" s="45" t="str">
        <f t="shared" si="45"/>
        <v/>
      </c>
      <c r="EZ43" s="15"/>
      <c r="FA43" s="15"/>
      <c r="FB43" s="20"/>
      <c r="FC43" s="12" t="str">
        <f>IF($A43="","",SUMIFS('Consumable Usage'!$E:$E,'Consumable Usage'!$A:$A,$A43,'Consumable Usage'!$D:$D,16))</f>
        <v/>
      </c>
      <c r="FD43" s="12" t="str">
        <f>IF($A43="","",SUMIFS('Nursing Charges'!$I:$I,'Nursing Charges'!$A:$A,$A43,'Nursing Charges'!$C:$C,16))</f>
        <v/>
      </c>
      <c r="FE43" s="12" t="str">
        <f>IF($A43="","",FB43+(FD43-SUMIFS('Nursing Charges'!$J:$J,'Nursing Charges'!$A:$A,$A43,'Nursing Charges'!$C:$C,16))+(FC43-SUMIFS('Consumable Usage'!$F:$F,'Consumable Usage'!$A:$A,$A43,'Consumable Usage'!$D:$D,16)))</f>
        <v/>
      </c>
      <c r="FF43" s="12" t="str">
        <f t="shared" si="46"/>
        <v/>
      </c>
      <c r="FG43" s="20"/>
      <c r="FH43" s="12" t="str">
        <f t="shared" si="47"/>
        <v/>
      </c>
      <c r="FI43" s="45" t="str">
        <f t="shared" si="48"/>
        <v/>
      </c>
      <c r="FJ43" s="53"/>
      <c r="FK43" s="53"/>
      <c r="FL43" s="63"/>
      <c r="FM43" s="63" t="str">
        <f>IF($A43="","",SUMIFS('Consumable Usage'!$E:$E,'Consumable Usage'!$A:$A,$A43,'Consumable Usage'!$D:$D,16))</f>
        <v/>
      </c>
      <c r="FN43" s="63" t="str">
        <f>IF($A43="","",SUMIFS('Nursing Charges'!$I:$I,'Nursing Charges'!$A:$A,$A43,'Nursing Charges'!$C:$C,16))</f>
        <v/>
      </c>
      <c r="FO43" s="63" t="str">
        <f>IF($A43="","",FL43+(FN43-SUMIFS('Nursing Charges'!$J:$J,'Nursing Charges'!$A:$A,$A43,'Nursing Charges'!$C:$C,16))+(FM43-SUMIFS('Consumable Usage'!$F:$F,'Consumable Usage'!$A:$A,$A43,'Consumable Usage'!$D:$D,16)))</f>
        <v/>
      </c>
      <c r="FP43" s="63" t="str">
        <f t="shared" si="49"/>
        <v/>
      </c>
      <c r="FQ43" s="63"/>
      <c r="FR43" s="63" t="str">
        <f t="shared" si="50"/>
        <v/>
      </c>
      <c r="FS43" s="53" t="str">
        <f t="shared" si="51"/>
        <v/>
      </c>
    </row>
    <row r="44" ht="15.0" customHeight="1">
      <c r="A44" s="15"/>
      <c r="B44" s="15"/>
      <c r="C44" s="15"/>
      <c r="D44" s="15"/>
      <c r="E44" s="15"/>
      <c r="F44" s="15"/>
      <c r="G44" s="15"/>
      <c r="H44" s="20"/>
      <c r="I44" s="12" t="str">
        <f>IF($A44="","",SUMIFS('Consumable Usage'!$E:$E,'Consumable Usage'!$A:$A,$A44,'Consumable Usage'!$D:$D,1))</f>
        <v/>
      </c>
      <c r="J44" s="12" t="str">
        <f>IF($A44="","",SUMIFS('Nursing Charges'!$I:$I,'Nursing Charges'!$A:$A,$A44,'Nursing Charges'!$C:$C,1))</f>
        <v/>
      </c>
      <c r="K44" s="12" t="str">
        <f>IF($A44="","",H44+(J44-SUMIFS('Nursing Charges'!$J:$J,'Nursing Charges'!$A:$A,$A44,'Nursing Charges'!$C:$C,1))+(I44-SUMIFS('Consumable Usage'!$F:$F,'Consumable Usage'!$A:$A,$A44,'Consumable Usage'!$D:$D,1)))</f>
        <v/>
      </c>
      <c r="L44" s="12" t="str">
        <f t="shared" si="1"/>
        <v/>
      </c>
      <c r="M44" s="20"/>
      <c r="N44" s="12" t="str">
        <f t="shared" si="2"/>
        <v/>
      </c>
      <c r="O44" s="45" t="str">
        <f t="shared" si="3"/>
        <v/>
      </c>
      <c r="P44" s="15"/>
      <c r="Q44" s="15"/>
      <c r="R44" s="20"/>
      <c r="S44" s="12" t="str">
        <f>IF($A44="","",SUMIFS('Consumable Usage'!$E:$E,'Consumable Usage'!$A:$A,$A44,'Consumable Usage'!$D:$D,2))</f>
        <v/>
      </c>
      <c r="T44" s="12" t="str">
        <f>IF($A44="","",SUMIFS('Nursing Charges'!$I:$I,'Nursing Charges'!$A:$A,$A44,'Nursing Charges'!$C:$C,2))</f>
        <v/>
      </c>
      <c r="U44" s="12" t="str">
        <f>IF($A44="","",R44+(T44-SUMIFS('Nursing Charges'!$J:$J,'Nursing Charges'!$A:$A,$A44,'Nursing Charges'!$C:$C,2))+(S44-SUMIFS('Consumable Usage'!$F:$F,'Consumable Usage'!$A:$A,$A44,'Consumable Usage'!$D:$D,2)))</f>
        <v/>
      </c>
      <c r="V44" s="12" t="str">
        <f t="shared" si="4"/>
        <v/>
      </c>
      <c r="W44" s="20"/>
      <c r="X44" s="12" t="str">
        <f t="shared" si="5"/>
        <v/>
      </c>
      <c r="Y44" s="45" t="str">
        <f t="shared" si="6"/>
        <v/>
      </c>
      <c r="Z44" s="15"/>
      <c r="AA44" s="15"/>
      <c r="AB44" s="20"/>
      <c r="AC44" s="12" t="str">
        <f>IF($A44="","",SUMIFS('Consumable Usage'!$E:$E,'Consumable Usage'!$A:$A,$A44,'Consumable Usage'!$D:$D,3))</f>
        <v/>
      </c>
      <c r="AD44" s="12" t="str">
        <f>IF($A44="","",SUMIFS('Nursing Charges'!$I:$I,'Nursing Charges'!$A:$A,$A44,'Nursing Charges'!$C:$C,3))</f>
        <v/>
      </c>
      <c r="AE44" s="12" t="str">
        <f>IF($A44="","",AB44+(AD44-SUMIFS('Nursing Charges'!$J:$J,'Nursing Charges'!$A:$A,$A44,'Nursing Charges'!$C:$C,3))+(AC44-SUMIFS('Consumable Usage'!$F:$F,'Consumable Usage'!$A:$A,$A44,'Consumable Usage'!$D:$D,3)))</f>
        <v/>
      </c>
      <c r="AF44" s="12" t="str">
        <f t="shared" si="7"/>
        <v/>
      </c>
      <c r="AG44" s="20"/>
      <c r="AH44" s="12" t="str">
        <f t="shared" si="8"/>
        <v/>
      </c>
      <c r="AI44" s="45" t="str">
        <f t="shared" si="9"/>
        <v/>
      </c>
      <c r="AJ44" s="15"/>
      <c r="AK44" s="15"/>
      <c r="AL44" s="20"/>
      <c r="AM44" s="12" t="str">
        <f>IF($A44="","",SUMIFS('Consumable Usage'!$E:$E,'Consumable Usage'!$A:$A,$A44,'Consumable Usage'!$D:$D,4))</f>
        <v/>
      </c>
      <c r="AN44" s="12" t="str">
        <f>IF($A44="","",SUMIFS('Nursing Charges'!$I:$I,'Nursing Charges'!$A:$A,$A44,'Nursing Charges'!$C:$C,4))</f>
        <v/>
      </c>
      <c r="AO44" s="12" t="str">
        <f>IF($A44="","",AL44+(AN44-SUMIFS('Nursing Charges'!$J:$J,'Nursing Charges'!$A:$A,$A44,'Nursing Charges'!$C:$C,4))+(AM44-SUMIFS('Consumable Usage'!$F:$F,'Consumable Usage'!$A:$A,$A44,'Consumable Usage'!$D:$D,4)))</f>
        <v/>
      </c>
      <c r="AP44" s="12" t="str">
        <f t="shared" si="10"/>
        <v/>
      </c>
      <c r="AQ44" s="20"/>
      <c r="AR44" s="12" t="str">
        <f t="shared" si="11"/>
        <v/>
      </c>
      <c r="AS44" s="45" t="str">
        <f t="shared" si="12"/>
        <v/>
      </c>
      <c r="AT44" s="15"/>
      <c r="AU44" s="15"/>
      <c r="AV44" s="20"/>
      <c r="AW44" s="12" t="str">
        <f>IF($A44="","",SUMIFS('Consumable Usage'!$E:$E,'Consumable Usage'!$A:$A,$A44,'Consumable Usage'!$D:$D,5))</f>
        <v/>
      </c>
      <c r="AX44" s="12" t="str">
        <f>IF($A44="","",SUMIFS('Nursing Charges'!$I:$I,'Nursing Charges'!$A:$A,$A44,'Nursing Charges'!$C:$C,5))</f>
        <v/>
      </c>
      <c r="AY44" s="12" t="str">
        <f>IF($A44="","",AV44+(AX44-SUMIFS('Nursing Charges'!$J:$J,'Nursing Charges'!$A:$A,$A44,'Nursing Charges'!$C:$C,5))+(AW44-SUMIFS('Consumable Usage'!$F:$F,'Consumable Usage'!$A:$A,$A44,'Consumable Usage'!$D:$D,5)))</f>
        <v/>
      </c>
      <c r="AZ44" s="12" t="str">
        <f t="shared" si="13"/>
        <v/>
      </c>
      <c r="BA44" s="20"/>
      <c r="BB44" s="12" t="str">
        <f t="shared" si="14"/>
        <v/>
      </c>
      <c r="BC44" s="45" t="str">
        <f t="shared" si="15"/>
        <v/>
      </c>
      <c r="BD44" s="15"/>
      <c r="BE44" s="15"/>
      <c r="BF44" s="20"/>
      <c r="BG44" s="12" t="str">
        <f>IF($A44="","",SUMIFS('Consumable Usage'!$E:$E,'Consumable Usage'!$A:$A,$A44,'Consumable Usage'!$D:$D,6))</f>
        <v/>
      </c>
      <c r="BH44" s="12" t="str">
        <f>IF($A44="","",SUMIFS('Nursing Charges'!$I:$I,'Nursing Charges'!$A:$A,$A44,'Nursing Charges'!$C:$C,6))</f>
        <v/>
      </c>
      <c r="BI44" s="12" t="str">
        <f>IF($A44="","",BF44+(BH44-SUMIFS('Nursing Charges'!$J:$J,'Nursing Charges'!$A:$A,$A44,'Nursing Charges'!$C:$C,6))+(BG44-SUMIFS('Consumable Usage'!$F:$F,'Consumable Usage'!$A:$A,$A44,'Consumable Usage'!$D:$D,6)))</f>
        <v/>
      </c>
      <c r="BJ44" s="12" t="str">
        <f t="shared" si="16"/>
        <v/>
      </c>
      <c r="BK44" s="20"/>
      <c r="BL44" s="12" t="str">
        <f t="shared" si="17"/>
        <v/>
      </c>
      <c r="BM44" s="45" t="str">
        <f t="shared" si="18"/>
        <v/>
      </c>
      <c r="BN44" s="15"/>
      <c r="BO44" s="15"/>
      <c r="BP44" s="20"/>
      <c r="BQ44" s="12" t="str">
        <f>IF($A44="","",SUMIFS('Consumable Usage'!$E:$E,'Consumable Usage'!$A:$A,$A44,'Consumable Usage'!$D:$D,7))</f>
        <v/>
      </c>
      <c r="BR44" s="12" t="str">
        <f>IF($A44="","",SUMIFS('Nursing Charges'!$I:$I,'Nursing Charges'!$A:$A,$A44,'Nursing Charges'!$C:$C,7))</f>
        <v/>
      </c>
      <c r="BS44" s="12" t="str">
        <f>IF($A44="","",BP44+(BR44-SUMIFS('Nursing Charges'!$J:$J,'Nursing Charges'!$A:$A,$A44,'Nursing Charges'!$C:$C,7))+(BQ44-SUMIFS('Consumable Usage'!$F:$F,'Consumable Usage'!$A:$A,$A44,'Consumable Usage'!$D:$D,7)))</f>
        <v/>
      </c>
      <c r="BT44" s="12" t="str">
        <f t="shared" si="19"/>
        <v/>
      </c>
      <c r="BU44" s="20"/>
      <c r="BV44" s="12" t="str">
        <f t="shared" si="20"/>
        <v/>
      </c>
      <c r="BW44" s="45" t="str">
        <f t="shared" si="21"/>
        <v/>
      </c>
      <c r="BX44" s="15"/>
      <c r="BY44" s="15"/>
      <c r="BZ44" s="20"/>
      <c r="CA44" s="12" t="str">
        <f>IF($A44="","",SUMIFS('Consumable Usage'!$E:$E,'Consumable Usage'!$A:$A,$A44,'Consumable Usage'!$D:$D,8))</f>
        <v/>
      </c>
      <c r="CB44" s="12" t="str">
        <f>IF($A44="","",SUMIFS('Nursing Charges'!$I:$I,'Nursing Charges'!$A:$A,$A44,'Nursing Charges'!$C:$C,8))</f>
        <v/>
      </c>
      <c r="CC44" s="12" t="str">
        <f>IF($A44="","",BZ44+(CB44-SUMIFS('Nursing Charges'!$J:$J,'Nursing Charges'!$A:$A,$A44,'Nursing Charges'!$C:$C,8))+(CA44-SUMIFS('Consumable Usage'!$F:$F,'Consumable Usage'!$A:$A,$A44,'Consumable Usage'!$D:$D,8)))</f>
        <v/>
      </c>
      <c r="CD44" s="12" t="str">
        <f t="shared" si="22"/>
        <v/>
      </c>
      <c r="CE44" s="20"/>
      <c r="CF44" s="12" t="str">
        <f t="shared" si="23"/>
        <v/>
      </c>
      <c r="CG44" s="45" t="str">
        <f t="shared" si="24"/>
        <v/>
      </c>
      <c r="CH44" s="15"/>
      <c r="CI44" s="15"/>
      <c r="CJ44" s="20"/>
      <c r="CK44" s="12" t="str">
        <f>IF($A44="","",SUMIFS('Consumable Usage'!$E:$E,'Consumable Usage'!$A:$A,$A44,'Consumable Usage'!$D:$D,9))</f>
        <v/>
      </c>
      <c r="CL44" s="12" t="str">
        <f>IF($A44="","",SUMIFS('Nursing Charges'!$I:$I,'Nursing Charges'!$A:$A,$A44,'Nursing Charges'!$C:$C,9))</f>
        <v/>
      </c>
      <c r="CM44" s="12" t="str">
        <f>IF($A44="","",CJ44+(CL44-SUMIFS('Nursing Charges'!$J:$J,'Nursing Charges'!$A:$A,$A44,'Nursing Charges'!$C:$C,9))+(CK44-SUMIFS('Consumable Usage'!$F:$F,'Consumable Usage'!$A:$A,$A44,'Consumable Usage'!$D:$D,9)))</f>
        <v/>
      </c>
      <c r="CN44" s="12" t="str">
        <f t="shared" si="25"/>
        <v/>
      </c>
      <c r="CO44" s="20"/>
      <c r="CP44" s="12" t="str">
        <f t="shared" si="26"/>
        <v/>
      </c>
      <c r="CQ44" s="45" t="str">
        <f t="shared" si="27"/>
        <v/>
      </c>
      <c r="CR44" s="15"/>
      <c r="CS44" s="15"/>
      <c r="CT44" s="20"/>
      <c r="CU44" s="12" t="str">
        <f>IF($A44="","",SUMIFS('Consumable Usage'!$E:$E,'Consumable Usage'!$A:$A,$A44,'Consumable Usage'!$D:$D,10))</f>
        <v/>
      </c>
      <c r="CV44" s="12" t="str">
        <f>IF($A44="","",SUMIFS('Nursing Charges'!$I:$I,'Nursing Charges'!$A:$A,$A44,'Nursing Charges'!$C:$C,10))</f>
        <v/>
      </c>
      <c r="CW44" s="12" t="str">
        <f>IF($A44="","",CT44+(CV44-SUMIFS('Nursing Charges'!$J:$J,'Nursing Charges'!$A:$A,$A44,'Nursing Charges'!$C:$C,10))+(CU44-SUMIFS('Consumable Usage'!$F:$F,'Consumable Usage'!$A:$A,$A44,'Consumable Usage'!$D:$D,10)))</f>
        <v/>
      </c>
      <c r="CX44" s="12" t="str">
        <f t="shared" si="28"/>
        <v/>
      </c>
      <c r="CY44" s="20"/>
      <c r="CZ44" s="12" t="str">
        <f t="shared" si="29"/>
        <v/>
      </c>
      <c r="DA44" s="45" t="str">
        <f t="shared" si="30"/>
        <v/>
      </c>
      <c r="DB44" s="15"/>
      <c r="DC44" s="15"/>
      <c r="DD44" s="20"/>
      <c r="DE44" s="12" t="str">
        <f>IF($A44="","",SUMIFS('Consumable Usage'!$E:$E,'Consumable Usage'!$A:$A,$A44,'Consumable Usage'!$D:$D,11))</f>
        <v/>
      </c>
      <c r="DF44" s="12" t="str">
        <f>IF($A44="","",SUMIFS('Nursing Charges'!$I:$I,'Nursing Charges'!$A:$A,$A44,'Nursing Charges'!$C:$C,11))</f>
        <v/>
      </c>
      <c r="DG44" s="12" t="str">
        <f>IF($A44="","",DD44+(DF44-SUMIFS('Nursing Charges'!$J:$J,'Nursing Charges'!$A:$A,$A44,'Nursing Charges'!$C:$C,11))+(DE44-SUMIFS('Consumable Usage'!$F:$F,'Consumable Usage'!$A:$A,$A44,'Consumable Usage'!$D:$D,11)))</f>
        <v/>
      </c>
      <c r="DH44" s="12" t="str">
        <f t="shared" si="31"/>
        <v/>
      </c>
      <c r="DI44" s="20"/>
      <c r="DJ44" s="12" t="str">
        <f t="shared" si="32"/>
        <v/>
      </c>
      <c r="DK44" s="45" t="str">
        <f t="shared" si="33"/>
        <v/>
      </c>
      <c r="DL44" s="15"/>
      <c r="DM44" s="15"/>
      <c r="DN44" s="20"/>
      <c r="DO44" s="12" t="str">
        <f>IF($A44="","",SUMIFS('Consumable Usage'!$E:$E,'Consumable Usage'!$A:$A,$A44,'Consumable Usage'!$D:$D,12))</f>
        <v/>
      </c>
      <c r="DP44" s="12" t="str">
        <f>IF($A44="","",SUMIFS('Nursing Charges'!$I:$I,'Nursing Charges'!$A:$A,$A44,'Nursing Charges'!$C:$C,12))</f>
        <v/>
      </c>
      <c r="DQ44" s="12" t="str">
        <f>IF($A44="","",DN44+(DP44-SUMIFS('Nursing Charges'!$J:$J,'Nursing Charges'!$A:$A,$A44,'Nursing Charges'!$C:$C,12))+(DO44-SUMIFS('Consumable Usage'!$F:$F,'Consumable Usage'!$A:$A,$A44,'Consumable Usage'!$D:$D,12)))</f>
        <v/>
      </c>
      <c r="DR44" s="12" t="str">
        <f t="shared" si="34"/>
        <v/>
      </c>
      <c r="DS44" s="20"/>
      <c r="DT44" s="12" t="str">
        <f t="shared" si="35"/>
        <v/>
      </c>
      <c r="DU44" s="45" t="str">
        <f t="shared" si="36"/>
        <v/>
      </c>
      <c r="DV44" s="15"/>
      <c r="DW44" s="15"/>
      <c r="DX44" s="20"/>
      <c r="DY44" s="12" t="str">
        <f>IF($A44="","",SUMIFS('Consumable Usage'!$E:$E,'Consumable Usage'!$A:$A,$A44,'Consumable Usage'!$D:$D,13))</f>
        <v/>
      </c>
      <c r="DZ44" s="12" t="str">
        <f>IF($A44="","",SUMIFS('Nursing Charges'!$I:$I,'Nursing Charges'!$A:$A,$A44,'Nursing Charges'!$C:$C,13))</f>
        <v/>
      </c>
      <c r="EA44" s="12" t="str">
        <f>IF($A44="","",DX44+(DZ44-SUMIFS('Nursing Charges'!$J:$J,'Nursing Charges'!$A:$A,$A44,'Nursing Charges'!$C:$C,13))+(DY44-SUMIFS('Consumable Usage'!$F:$F,'Consumable Usage'!$A:$A,$A44,'Consumable Usage'!$D:$D,13)))</f>
        <v/>
      </c>
      <c r="EB44" s="12" t="str">
        <f t="shared" si="37"/>
        <v/>
      </c>
      <c r="EC44" s="20"/>
      <c r="ED44" s="12" t="str">
        <f t="shared" si="38"/>
        <v/>
      </c>
      <c r="EE44" s="45" t="str">
        <f t="shared" si="39"/>
        <v/>
      </c>
      <c r="EF44" s="15"/>
      <c r="EG44" s="15"/>
      <c r="EH44" s="20"/>
      <c r="EI44" s="12" t="str">
        <f>IF($A44="","",SUMIFS('Consumable Usage'!$E:$E,'Consumable Usage'!$A:$A,$A44,'Consumable Usage'!$D:$D,14))</f>
        <v/>
      </c>
      <c r="EJ44" s="12" t="str">
        <f>IF($A44="","",SUMIFS('Nursing Charges'!$I:$I,'Nursing Charges'!$A:$A,$A44,'Nursing Charges'!$C:$C,14))</f>
        <v/>
      </c>
      <c r="EK44" s="12" t="str">
        <f>IF($A44="","",EH44+(EJ44-SUMIFS('Nursing Charges'!$J:$J,'Nursing Charges'!$A:$A,$A44,'Nursing Charges'!$C:$C,14))+(EI44-SUMIFS('Consumable Usage'!$F:$F,'Consumable Usage'!$A:$A,$A44,'Consumable Usage'!$D:$D,14)))</f>
        <v/>
      </c>
      <c r="EL44" s="12" t="str">
        <f t="shared" si="40"/>
        <v/>
      </c>
      <c r="EM44" s="20"/>
      <c r="EN44" s="12" t="str">
        <f t="shared" si="41"/>
        <v/>
      </c>
      <c r="EO44" s="45" t="str">
        <f t="shared" si="42"/>
        <v/>
      </c>
      <c r="EP44" s="15"/>
      <c r="EQ44" s="15"/>
      <c r="ER44" s="20"/>
      <c r="ES44" s="12" t="str">
        <f>IF($A44="","",SUMIFS('Consumable Usage'!$E:$E,'Consumable Usage'!$A:$A,$A44,'Consumable Usage'!$D:$D,15))</f>
        <v/>
      </c>
      <c r="ET44" s="12" t="str">
        <f>IF($A44="","",SUMIFS('Nursing Charges'!$I:$I,'Nursing Charges'!$A:$A,$A44,'Nursing Charges'!$C:$C,15))</f>
        <v/>
      </c>
      <c r="EU44" s="12" t="str">
        <f>IF($A44="","",ER44+(ET44-SUMIFS('Nursing Charges'!$J:$J,'Nursing Charges'!$A:$A,$A44,'Nursing Charges'!$C:$C,15))+(ES44-SUMIFS('Consumable Usage'!$F:$F,'Consumable Usage'!$A:$A,$A44,'Consumable Usage'!$D:$D,15)))</f>
        <v/>
      </c>
      <c r="EV44" s="12" t="str">
        <f t="shared" si="43"/>
        <v/>
      </c>
      <c r="EW44" s="20"/>
      <c r="EX44" s="12" t="str">
        <f t="shared" si="44"/>
        <v/>
      </c>
      <c r="EY44" s="45" t="str">
        <f t="shared" si="45"/>
        <v/>
      </c>
      <c r="EZ44" s="15"/>
      <c r="FA44" s="15"/>
      <c r="FB44" s="20"/>
      <c r="FC44" s="12" t="str">
        <f>IF($A44="","",SUMIFS('Consumable Usage'!$E:$E,'Consumable Usage'!$A:$A,$A44,'Consumable Usage'!$D:$D,16))</f>
        <v/>
      </c>
      <c r="FD44" s="12" t="str">
        <f>IF($A44="","",SUMIFS('Nursing Charges'!$I:$I,'Nursing Charges'!$A:$A,$A44,'Nursing Charges'!$C:$C,16))</f>
        <v/>
      </c>
      <c r="FE44" s="12" t="str">
        <f>IF($A44="","",FB44+(FD44-SUMIFS('Nursing Charges'!$J:$J,'Nursing Charges'!$A:$A,$A44,'Nursing Charges'!$C:$C,16))+(FC44-SUMIFS('Consumable Usage'!$F:$F,'Consumable Usage'!$A:$A,$A44,'Consumable Usage'!$D:$D,16)))</f>
        <v/>
      </c>
      <c r="FF44" s="12" t="str">
        <f t="shared" si="46"/>
        <v/>
      </c>
      <c r="FG44" s="20"/>
      <c r="FH44" s="12" t="str">
        <f t="shared" si="47"/>
        <v/>
      </c>
      <c r="FI44" s="45" t="str">
        <f t="shared" si="48"/>
        <v/>
      </c>
      <c r="FJ44" s="53"/>
      <c r="FK44" s="53"/>
      <c r="FL44" s="63"/>
      <c r="FM44" s="63" t="str">
        <f>IF($A44="","",SUMIFS('Consumable Usage'!$E:$E,'Consumable Usage'!$A:$A,$A44,'Consumable Usage'!$D:$D,16))</f>
        <v/>
      </c>
      <c r="FN44" s="63" t="str">
        <f>IF($A44="","",SUMIFS('Nursing Charges'!$I:$I,'Nursing Charges'!$A:$A,$A44,'Nursing Charges'!$C:$C,16))</f>
        <v/>
      </c>
      <c r="FO44" s="63" t="str">
        <f>IF($A44="","",FL44+(FN44-SUMIFS('Nursing Charges'!$J:$J,'Nursing Charges'!$A:$A,$A44,'Nursing Charges'!$C:$C,16))+(FM44-SUMIFS('Consumable Usage'!$F:$F,'Consumable Usage'!$A:$A,$A44,'Consumable Usage'!$D:$D,16)))</f>
        <v/>
      </c>
      <c r="FP44" s="63" t="str">
        <f t="shared" si="49"/>
        <v/>
      </c>
      <c r="FQ44" s="63"/>
      <c r="FR44" s="63" t="str">
        <f t="shared" si="50"/>
        <v/>
      </c>
      <c r="FS44" s="53" t="str">
        <f t="shared" si="51"/>
        <v/>
      </c>
    </row>
    <row r="45" ht="15.0" customHeight="1">
      <c r="A45" s="15"/>
      <c r="B45" s="15"/>
      <c r="C45" s="15"/>
      <c r="D45" s="15"/>
      <c r="E45" s="15"/>
      <c r="F45" s="15"/>
      <c r="G45" s="15"/>
      <c r="H45" s="20"/>
      <c r="I45" s="12" t="str">
        <f>IF($A45="","",SUMIFS('Consumable Usage'!$E:$E,'Consumable Usage'!$A:$A,$A45,'Consumable Usage'!$D:$D,1))</f>
        <v/>
      </c>
      <c r="J45" s="12" t="str">
        <f>IF($A45="","",SUMIFS('Nursing Charges'!$I:$I,'Nursing Charges'!$A:$A,$A45,'Nursing Charges'!$C:$C,1))</f>
        <v/>
      </c>
      <c r="K45" s="12" t="str">
        <f>IF($A45="","",H45+(J45-SUMIFS('Nursing Charges'!$J:$J,'Nursing Charges'!$A:$A,$A45,'Nursing Charges'!$C:$C,1))+(I45-SUMIFS('Consumable Usage'!$F:$F,'Consumable Usage'!$A:$A,$A45,'Consumable Usage'!$D:$D,1)))</f>
        <v/>
      </c>
      <c r="L45" s="12" t="str">
        <f t="shared" si="1"/>
        <v/>
      </c>
      <c r="M45" s="20"/>
      <c r="N45" s="12" t="str">
        <f t="shared" si="2"/>
        <v/>
      </c>
      <c r="O45" s="45" t="str">
        <f t="shared" si="3"/>
        <v/>
      </c>
      <c r="P45" s="15"/>
      <c r="Q45" s="15"/>
      <c r="R45" s="20"/>
      <c r="S45" s="12" t="str">
        <f>IF($A45="","",SUMIFS('Consumable Usage'!$E:$E,'Consumable Usage'!$A:$A,$A45,'Consumable Usage'!$D:$D,2))</f>
        <v/>
      </c>
      <c r="T45" s="12" t="str">
        <f>IF($A45="","",SUMIFS('Nursing Charges'!$I:$I,'Nursing Charges'!$A:$A,$A45,'Nursing Charges'!$C:$C,2))</f>
        <v/>
      </c>
      <c r="U45" s="12" t="str">
        <f>IF($A45="","",R45+(T45-SUMIFS('Nursing Charges'!$J:$J,'Nursing Charges'!$A:$A,$A45,'Nursing Charges'!$C:$C,2))+(S45-SUMIFS('Consumable Usage'!$F:$F,'Consumable Usage'!$A:$A,$A45,'Consumable Usage'!$D:$D,2)))</f>
        <v/>
      </c>
      <c r="V45" s="12" t="str">
        <f t="shared" si="4"/>
        <v/>
      </c>
      <c r="W45" s="20"/>
      <c r="X45" s="12" t="str">
        <f t="shared" si="5"/>
        <v/>
      </c>
      <c r="Y45" s="45" t="str">
        <f t="shared" si="6"/>
        <v/>
      </c>
      <c r="Z45" s="15"/>
      <c r="AA45" s="15"/>
      <c r="AB45" s="20"/>
      <c r="AC45" s="12" t="str">
        <f>IF($A45="","",SUMIFS('Consumable Usage'!$E:$E,'Consumable Usage'!$A:$A,$A45,'Consumable Usage'!$D:$D,3))</f>
        <v/>
      </c>
      <c r="AD45" s="12" t="str">
        <f>IF($A45="","",SUMIFS('Nursing Charges'!$I:$I,'Nursing Charges'!$A:$A,$A45,'Nursing Charges'!$C:$C,3))</f>
        <v/>
      </c>
      <c r="AE45" s="12" t="str">
        <f>IF($A45="","",AB45+(AD45-SUMIFS('Nursing Charges'!$J:$J,'Nursing Charges'!$A:$A,$A45,'Nursing Charges'!$C:$C,3))+(AC45-SUMIFS('Consumable Usage'!$F:$F,'Consumable Usage'!$A:$A,$A45,'Consumable Usage'!$D:$D,3)))</f>
        <v/>
      </c>
      <c r="AF45" s="12" t="str">
        <f t="shared" si="7"/>
        <v/>
      </c>
      <c r="AG45" s="20"/>
      <c r="AH45" s="12" t="str">
        <f t="shared" si="8"/>
        <v/>
      </c>
      <c r="AI45" s="45" t="str">
        <f t="shared" si="9"/>
        <v/>
      </c>
      <c r="AJ45" s="15"/>
      <c r="AK45" s="15"/>
      <c r="AL45" s="20"/>
      <c r="AM45" s="12" t="str">
        <f>IF($A45="","",SUMIFS('Consumable Usage'!$E:$E,'Consumable Usage'!$A:$A,$A45,'Consumable Usage'!$D:$D,4))</f>
        <v/>
      </c>
      <c r="AN45" s="12" t="str">
        <f>IF($A45="","",SUMIFS('Nursing Charges'!$I:$I,'Nursing Charges'!$A:$A,$A45,'Nursing Charges'!$C:$C,4))</f>
        <v/>
      </c>
      <c r="AO45" s="12" t="str">
        <f>IF($A45="","",AL45+(AN45-SUMIFS('Nursing Charges'!$J:$J,'Nursing Charges'!$A:$A,$A45,'Nursing Charges'!$C:$C,4))+(AM45-SUMIFS('Consumable Usage'!$F:$F,'Consumable Usage'!$A:$A,$A45,'Consumable Usage'!$D:$D,4)))</f>
        <v/>
      </c>
      <c r="AP45" s="12" t="str">
        <f t="shared" si="10"/>
        <v/>
      </c>
      <c r="AQ45" s="20"/>
      <c r="AR45" s="12" t="str">
        <f t="shared" si="11"/>
        <v/>
      </c>
      <c r="AS45" s="45" t="str">
        <f t="shared" si="12"/>
        <v/>
      </c>
      <c r="AT45" s="15"/>
      <c r="AU45" s="15"/>
      <c r="AV45" s="20"/>
      <c r="AW45" s="12" t="str">
        <f>IF($A45="","",SUMIFS('Consumable Usage'!$E:$E,'Consumable Usage'!$A:$A,$A45,'Consumable Usage'!$D:$D,5))</f>
        <v/>
      </c>
      <c r="AX45" s="12" t="str">
        <f>IF($A45="","",SUMIFS('Nursing Charges'!$I:$I,'Nursing Charges'!$A:$A,$A45,'Nursing Charges'!$C:$C,5))</f>
        <v/>
      </c>
      <c r="AY45" s="12" t="str">
        <f>IF($A45="","",AV45+(AX45-SUMIFS('Nursing Charges'!$J:$J,'Nursing Charges'!$A:$A,$A45,'Nursing Charges'!$C:$C,5))+(AW45-SUMIFS('Consumable Usage'!$F:$F,'Consumable Usage'!$A:$A,$A45,'Consumable Usage'!$D:$D,5)))</f>
        <v/>
      </c>
      <c r="AZ45" s="12" t="str">
        <f t="shared" si="13"/>
        <v/>
      </c>
      <c r="BA45" s="20"/>
      <c r="BB45" s="12" t="str">
        <f t="shared" si="14"/>
        <v/>
      </c>
      <c r="BC45" s="45" t="str">
        <f t="shared" si="15"/>
        <v/>
      </c>
      <c r="BD45" s="15"/>
      <c r="BE45" s="15"/>
      <c r="BF45" s="20"/>
      <c r="BG45" s="12" t="str">
        <f>IF($A45="","",SUMIFS('Consumable Usage'!$E:$E,'Consumable Usage'!$A:$A,$A45,'Consumable Usage'!$D:$D,6))</f>
        <v/>
      </c>
      <c r="BH45" s="12" t="str">
        <f>IF($A45="","",SUMIFS('Nursing Charges'!$I:$I,'Nursing Charges'!$A:$A,$A45,'Nursing Charges'!$C:$C,6))</f>
        <v/>
      </c>
      <c r="BI45" s="12" t="str">
        <f>IF($A45="","",BF45+(BH45-SUMIFS('Nursing Charges'!$J:$J,'Nursing Charges'!$A:$A,$A45,'Nursing Charges'!$C:$C,6))+(BG45-SUMIFS('Consumable Usage'!$F:$F,'Consumable Usage'!$A:$A,$A45,'Consumable Usage'!$D:$D,6)))</f>
        <v/>
      </c>
      <c r="BJ45" s="12" t="str">
        <f t="shared" si="16"/>
        <v/>
      </c>
      <c r="BK45" s="20"/>
      <c r="BL45" s="12" t="str">
        <f t="shared" si="17"/>
        <v/>
      </c>
      <c r="BM45" s="45" t="str">
        <f t="shared" si="18"/>
        <v/>
      </c>
      <c r="BN45" s="15"/>
      <c r="BO45" s="15"/>
      <c r="BP45" s="20"/>
      <c r="BQ45" s="12" t="str">
        <f>IF($A45="","",SUMIFS('Consumable Usage'!$E:$E,'Consumable Usage'!$A:$A,$A45,'Consumable Usage'!$D:$D,7))</f>
        <v/>
      </c>
      <c r="BR45" s="12" t="str">
        <f>IF($A45="","",SUMIFS('Nursing Charges'!$I:$I,'Nursing Charges'!$A:$A,$A45,'Nursing Charges'!$C:$C,7))</f>
        <v/>
      </c>
      <c r="BS45" s="12" t="str">
        <f>IF($A45="","",BP45+(BR45-SUMIFS('Nursing Charges'!$J:$J,'Nursing Charges'!$A:$A,$A45,'Nursing Charges'!$C:$C,7))+(BQ45-SUMIFS('Consumable Usage'!$F:$F,'Consumable Usage'!$A:$A,$A45,'Consumable Usage'!$D:$D,7)))</f>
        <v/>
      </c>
      <c r="BT45" s="12" t="str">
        <f t="shared" si="19"/>
        <v/>
      </c>
      <c r="BU45" s="20"/>
      <c r="BV45" s="12" t="str">
        <f t="shared" si="20"/>
        <v/>
      </c>
      <c r="BW45" s="45" t="str">
        <f t="shared" si="21"/>
        <v/>
      </c>
      <c r="BX45" s="15"/>
      <c r="BY45" s="15"/>
      <c r="BZ45" s="20"/>
      <c r="CA45" s="12" t="str">
        <f>IF($A45="","",SUMIFS('Consumable Usage'!$E:$E,'Consumable Usage'!$A:$A,$A45,'Consumable Usage'!$D:$D,8))</f>
        <v/>
      </c>
      <c r="CB45" s="12" t="str">
        <f>IF($A45="","",SUMIFS('Nursing Charges'!$I:$I,'Nursing Charges'!$A:$A,$A45,'Nursing Charges'!$C:$C,8))</f>
        <v/>
      </c>
      <c r="CC45" s="12" t="str">
        <f>IF($A45="","",BZ45+(CB45-SUMIFS('Nursing Charges'!$J:$J,'Nursing Charges'!$A:$A,$A45,'Nursing Charges'!$C:$C,8))+(CA45-SUMIFS('Consumable Usage'!$F:$F,'Consumable Usage'!$A:$A,$A45,'Consumable Usage'!$D:$D,8)))</f>
        <v/>
      </c>
      <c r="CD45" s="12" t="str">
        <f t="shared" si="22"/>
        <v/>
      </c>
      <c r="CE45" s="20"/>
      <c r="CF45" s="12" t="str">
        <f t="shared" si="23"/>
        <v/>
      </c>
      <c r="CG45" s="45" t="str">
        <f t="shared" si="24"/>
        <v/>
      </c>
      <c r="CH45" s="15"/>
      <c r="CI45" s="15"/>
      <c r="CJ45" s="20"/>
      <c r="CK45" s="12" t="str">
        <f>IF($A45="","",SUMIFS('Consumable Usage'!$E:$E,'Consumable Usage'!$A:$A,$A45,'Consumable Usage'!$D:$D,9))</f>
        <v/>
      </c>
      <c r="CL45" s="12" t="str">
        <f>IF($A45="","",SUMIFS('Nursing Charges'!$I:$I,'Nursing Charges'!$A:$A,$A45,'Nursing Charges'!$C:$C,9))</f>
        <v/>
      </c>
      <c r="CM45" s="12" t="str">
        <f>IF($A45="","",CJ45+(CL45-SUMIFS('Nursing Charges'!$J:$J,'Nursing Charges'!$A:$A,$A45,'Nursing Charges'!$C:$C,9))+(CK45-SUMIFS('Consumable Usage'!$F:$F,'Consumable Usage'!$A:$A,$A45,'Consumable Usage'!$D:$D,9)))</f>
        <v/>
      </c>
      <c r="CN45" s="12" t="str">
        <f t="shared" si="25"/>
        <v/>
      </c>
      <c r="CO45" s="20"/>
      <c r="CP45" s="12" t="str">
        <f t="shared" si="26"/>
        <v/>
      </c>
      <c r="CQ45" s="45" t="str">
        <f t="shared" si="27"/>
        <v/>
      </c>
      <c r="CR45" s="15"/>
      <c r="CS45" s="15"/>
      <c r="CT45" s="20"/>
      <c r="CU45" s="12" t="str">
        <f>IF($A45="","",SUMIFS('Consumable Usage'!$E:$E,'Consumable Usage'!$A:$A,$A45,'Consumable Usage'!$D:$D,10))</f>
        <v/>
      </c>
      <c r="CV45" s="12" t="str">
        <f>IF($A45="","",SUMIFS('Nursing Charges'!$I:$I,'Nursing Charges'!$A:$A,$A45,'Nursing Charges'!$C:$C,10))</f>
        <v/>
      </c>
      <c r="CW45" s="12" t="str">
        <f>IF($A45="","",CT45+(CV45-SUMIFS('Nursing Charges'!$J:$J,'Nursing Charges'!$A:$A,$A45,'Nursing Charges'!$C:$C,10))+(CU45-SUMIFS('Consumable Usage'!$F:$F,'Consumable Usage'!$A:$A,$A45,'Consumable Usage'!$D:$D,10)))</f>
        <v/>
      </c>
      <c r="CX45" s="12" t="str">
        <f t="shared" si="28"/>
        <v/>
      </c>
      <c r="CY45" s="20"/>
      <c r="CZ45" s="12" t="str">
        <f t="shared" si="29"/>
        <v/>
      </c>
      <c r="DA45" s="45" t="str">
        <f t="shared" si="30"/>
        <v/>
      </c>
      <c r="DB45" s="15"/>
      <c r="DC45" s="15"/>
      <c r="DD45" s="20"/>
      <c r="DE45" s="12" t="str">
        <f>IF($A45="","",SUMIFS('Consumable Usage'!$E:$E,'Consumable Usage'!$A:$A,$A45,'Consumable Usage'!$D:$D,11))</f>
        <v/>
      </c>
      <c r="DF45" s="12" t="str">
        <f>IF($A45="","",SUMIFS('Nursing Charges'!$I:$I,'Nursing Charges'!$A:$A,$A45,'Nursing Charges'!$C:$C,11))</f>
        <v/>
      </c>
      <c r="DG45" s="12" t="str">
        <f>IF($A45="","",DD45+(DF45-SUMIFS('Nursing Charges'!$J:$J,'Nursing Charges'!$A:$A,$A45,'Nursing Charges'!$C:$C,11))+(DE45-SUMIFS('Consumable Usage'!$F:$F,'Consumable Usage'!$A:$A,$A45,'Consumable Usage'!$D:$D,11)))</f>
        <v/>
      </c>
      <c r="DH45" s="12" t="str">
        <f t="shared" si="31"/>
        <v/>
      </c>
      <c r="DI45" s="20"/>
      <c r="DJ45" s="12" t="str">
        <f t="shared" si="32"/>
        <v/>
      </c>
      <c r="DK45" s="45" t="str">
        <f t="shared" si="33"/>
        <v/>
      </c>
      <c r="DL45" s="15"/>
      <c r="DM45" s="15"/>
      <c r="DN45" s="20"/>
      <c r="DO45" s="12" t="str">
        <f>IF($A45="","",SUMIFS('Consumable Usage'!$E:$E,'Consumable Usage'!$A:$A,$A45,'Consumable Usage'!$D:$D,12))</f>
        <v/>
      </c>
      <c r="DP45" s="12" t="str">
        <f>IF($A45="","",SUMIFS('Nursing Charges'!$I:$I,'Nursing Charges'!$A:$A,$A45,'Nursing Charges'!$C:$C,12))</f>
        <v/>
      </c>
      <c r="DQ45" s="12" t="str">
        <f>IF($A45="","",DN45+(DP45-SUMIFS('Nursing Charges'!$J:$J,'Nursing Charges'!$A:$A,$A45,'Nursing Charges'!$C:$C,12))+(DO45-SUMIFS('Consumable Usage'!$F:$F,'Consumable Usage'!$A:$A,$A45,'Consumable Usage'!$D:$D,12)))</f>
        <v/>
      </c>
      <c r="DR45" s="12" t="str">
        <f t="shared" si="34"/>
        <v/>
      </c>
      <c r="DS45" s="20"/>
      <c r="DT45" s="12" t="str">
        <f t="shared" si="35"/>
        <v/>
      </c>
      <c r="DU45" s="45" t="str">
        <f t="shared" si="36"/>
        <v/>
      </c>
      <c r="DV45" s="15"/>
      <c r="DW45" s="15"/>
      <c r="DX45" s="20"/>
      <c r="DY45" s="12" t="str">
        <f>IF($A45="","",SUMIFS('Consumable Usage'!$E:$E,'Consumable Usage'!$A:$A,$A45,'Consumable Usage'!$D:$D,13))</f>
        <v/>
      </c>
      <c r="DZ45" s="12" t="str">
        <f>IF($A45="","",SUMIFS('Nursing Charges'!$I:$I,'Nursing Charges'!$A:$A,$A45,'Nursing Charges'!$C:$C,13))</f>
        <v/>
      </c>
      <c r="EA45" s="12" t="str">
        <f>IF($A45="","",DX45+(DZ45-SUMIFS('Nursing Charges'!$J:$J,'Nursing Charges'!$A:$A,$A45,'Nursing Charges'!$C:$C,13))+(DY45-SUMIFS('Consumable Usage'!$F:$F,'Consumable Usage'!$A:$A,$A45,'Consumable Usage'!$D:$D,13)))</f>
        <v/>
      </c>
      <c r="EB45" s="12" t="str">
        <f t="shared" si="37"/>
        <v/>
      </c>
      <c r="EC45" s="20"/>
      <c r="ED45" s="12" t="str">
        <f t="shared" si="38"/>
        <v/>
      </c>
      <c r="EE45" s="45" t="str">
        <f t="shared" si="39"/>
        <v/>
      </c>
      <c r="EF45" s="15"/>
      <c r="EG45" s="15"/>
      <c r="EH45" s="20"/>
      <c r="EI45" s="12" t="str">
        <f>IF($A45="","",SUMIFS('Consumable Usage'!$E:$E,'Consumable Usage'!$A:$A,$A45,'Consumable Usage'!$D:$D,14))</f>
        <v/>
      </c>
      <c r="EJ45" s="12" t="str">
        <f>IF($A45="","",SUMIFS('Nursing Charges'!$I:$I,'Nursing Charges'!$A:$A,$A45,'Nursing Charges'!$C:$C,14))</f>
        <v/>
      </c>
      <c r="EK45" s="12" t="str">
        <f>IF($A45="","",EH45+(EJ45-SUMIFS('Nursing Charges'!$J:$J,'Nursing Charges'!$A:$A,$A45,'Nursing Charges'!$C:$C,14))+(EI45-SUMIFS('Consumable Usage'!$F:$F,'Consumable Usage'!$A:$A,$A45,'Consumable Usage'!$D:$D,14)))</f>
        <v/>
      </c>
      <c r="EL45" s="12" t="str">
        <f t="shared" si="40"/>
        <v/>
      </c>
      <c r="EM45" s="20"/>
      <c r="EN45" s="12" t="str">
        <f t="shared" si="41"/>
        <v/>
      </c>
      <c r="EO45" s="45" t="str">
        <f t="shared" si="42"/>
        <v/>
      </c>
      <c r="EP45" s="15"/>
      <c r="EQ45" s="15"/>
      <c r="ER45" s="20"/>
      <c r="ES45" s="12" t="str">
        <f>IF($A45="","",SUMIFS('Consumable Usage'!$E:$E,'Consumable Usage'!$A:$A,$A45,'Consumable Usage'!$D:$D,15))</f>
        <v/>
      </c>
      <c r="ET45" s="12" t="str">
        <f>IF($A45="","",SUMIFS('Nursing Charges'!$I:$I,'Nursing Charges'!$A:$A,$A45,'Nursing Charges'!$C:$C,15))</f>
        <v/>
      </c>
      <c r="EU45" s="12" t="str">
        <f>IF($A45="","",ER45+(ET45-SUMIFS('Nursing Charges'!$J:$J,'Nursing Charges'!$A:$A,$A45,'Nursing Charges'!$C:$C,15))+(ES45-SUMIFS('Consumable Usage'!$F:$F,'Consumable Usage'!$A:$A,$A45,'Consumable Usage'!$D:$D,15)))</f>
        <v/>
      </c>
      <c r="EV45" s="12" t="str">
        <f t="shared" si="43"/>
        <v/>
      </c>
      <c r="EW45" s="20"/>
      <c r="EX45" s="12" t="str">
        <f t="shared" si="44"/>
        <v/>
      </c>
      <c r="EY45" s="45" t="str">
        <f t="shared" si="45"/>
        <v/>
      </c>
      <c r="EZ45" s="15"/>
      <c r="FA45" s="15"/>
      <c r="FB45" s="20"/>
      <c r="FC45" s="12" t="str">
        <f>IF($A45="","",SUMIFS('Consumable Usage'!$E:$E,'Consumable Usage'!$A:$A,$A45,'Consumable Usage'!$D:$D,16))</f>
        <v/>
      </c>
      <c r="FD45" s="12" t="str">
        <f>IF($A45="","",SUMIFS('Nursing Charges'!$I:$I,'Nursing Charges'!$A:$A,$A45,'Nursing Charges'!$C:$C,16))</f>
        <v/>
      </c>
      <c r="FE45" s="12" t="str">
        <f>IF($A45="","",FB45+(FD45-SUMIFS('Nursing Charges'!$J:$J,'Nursing Charges'!$A:$A,$A45,'Nursing Charges'!$C:$C,16))+(FC45-SUMIFS('Consumable Usage'!$F:$F,'Consumable Usage'!$A:$A,$A45,'Consumable Usage'!$D:$D,16)))</f>
        <v/>
      </c>
      <c r="FF45" s="12" t="str">
        <f t="shared" si="46"/>
        <v/>
      </c>
      <c r="FG45" s="20"/>
      <c r="FH45" s="12" t="str">
        <f t="shared" si="47"/>
        <v/>
      </c>
      <c r="FI45" s="45" t="str">
        <f t="shared" si="48"/>
        <v/>
      </c>
      <c r="FJ45" s="53"/>
      <c r="FK45" s="53"/>
      <c r="FL45" s="63"/>
      <c r="FM45" s="63" t="str">
        <f>IF($A45="","",SUMIFS('Consumable Usage'!$E:$E,'Consumable Usage'!$A:$A,$A45,'Consumable Usage'!$D:$D,16))</f>
        <v/>
      </c>
      <c r="FN45" s="63" t="str">
        <f>IF($A45="","",SUMIFS('Nursing Charges'!$I:$I,'Nursing Charges'!$A:$A,$A45,'Nursing Charges'!$C:$C,16))</f>
        <v/>
      </c>
      <c r="FO45" s="63" t="str">
        <f>IF($A45="","",FL45+(FN45-SUMIFS('Nursing Charges'!$J:$J,'Nursing Charges'!$A:$A,$A45,'Nursing Charges'!$C:$C,16))+(FM45-SUMIFS('Consumable Usage'!$F:$F,'Consumable Usage'!$A:$A,$A45,'Consumable Usage'!$D:$D,16)))</f>
        <v/>
      </c>
      <c r="FP45" s="63" t="str">
        <f t="shared" si="49"/>
        <v/>
      </c>
      <c r="FQ45" s="63"/>
      <c r="FR45" s="63" t="str">
        <f t="shared" si="50"/>
        <v/>
      </c>
      <c r="FS45" s="53" t="str">
        <f t="shared" si="51"/>
        <v/>
      </c>
    </row>
    <row r="46" ht="15.0" customHeight="1">
      <c r="A46" s="15"/>
      <c r="B46" s="15"/>
      <c r="C46" s="15"/>
      <c r="D46" s="15"/>
      <c r="E46" s="15"/>
      <c r="F46" s="15"/>
      <c r="G46" s="15"/>
      <c r="H46" s="20"/>
      <c r="I46" s="12" t="str">
        <f>IF($A46="","",SUMIFS('Consumable Usage'!$E:$E,'Consumable Usage'!$A:$A,$A46,'Consumable Usage'!$D:$D,1))</f>
        <v/>
      </c>
      <c r="J46" s="12" t="str">
        <f>IF($A46="","",SUMIFS('Nursing Charges'!$I:$I,'Nursing Charges'!$A:$A,$A46,'Nursing Charges'!$C:$C,1))</f>
        <v/>
      </c>
      <c r="K46" s="12" t="str">
        <f>IF($A46="","",H46+(J46-SUMIFS('Nursing Charges'!$J:$J,'Nursing Charges'!$A:$A,$A46,'Nursing Charges'!$C:$C,1))+(I46-SUMIFS('Consumable Usage'!$F:$F,'Consumable Usage'!$A:$A,$A46,'Consumable Usage'!$D:$D,1)))</f>
        <v/>
      </c>
      <c r="L46" s="12" t="str">
        <f t="shared" si="1"/>
        <v/>
      </c>
      <c r="M46" s="20"/>
      <c r="N46" s="12" t="str">
        <f t="shared" si="2"/>
        <v/>
      </c>
      <c r="O46" s="45" t="str">
        <f t="shared" si="3"/>
        <v/>
      </c>
      <c r="P46" s="15"/>
      <c r="Q46" s="15"/>
      <c r="R46" s="20"/>
      <c r="S46" s="12" t="str">
        <f>IF($A46="","",SUMIFS('Consumable Usage'!$E:$E,'Consumable Usage'!$A:$A,$A46,'Consumable Usage'!$D:$D,2))</f>
        <v/>
      </c>
      <c r="T46" s="12" t="str">
        <f>IF($A46="","",SUMIFS('Nursing Charges'!$I:$I,'Nursing Charges'!$A:$A,$A46,'Nursing Charges'!$C:$C,2))</f>
        <v/>
      </c>
      <c r="U46" s="12" t="str">
        <f>IF($A46="","",R46+(T46-SUMIFS('Nursing Charges'!$J:$J,'Nursing Charges'!$A:$A,$A46,'Nursing Charges'!$C:$C,2))+(S46-SUMIFS('Consumable Usage'!$F:$F,'Consumable Usage'!$A:$A,$A46,'Consumable Usage'!$D:$D,2)))</f>
        <v/>
      </c>
      <c r="V46" s="12" t="str">
        <f t="shared" si="4"/>
        <v/>
      </c>
      <c r="W46" s="20"/>
      <c r="X46" s="12" t="str">
        <f t="shared" si="5"/>
        <v/>
      </c>
      <c r="Y46" s="45" t="str">
        <f t="shared" si="6"/>
        <v/>
      </c>
      <c r="Z46" s="15"/>
      <c r="AA46" s="15"/>
      <c r="AB46" s="20"/>
      <c r="AC46" s="12" t="str">
        <f>IF($A46="","",SUMIFS('Consumable Usage'!$E:$E,'Consumable Usage'!$A:$A,$A46,'Consumable Usage'!$D:$D,3))</f>
        <v/>
      </c>
      <c r="AD46" s="12" t="str">
        <f>IF($A46="","",SUMIFS('Nursing Charges'!$I:$I,'Nursing Charges'!$A:$A,$A46,'Nursing Charges'!$C:$C,3))</f>
        <v/>
      </c>
      <c r="AE46" s="12" t="str">
        <f>IF($A46="","",AB46+(AD46-SUMIFS('Nursing Charges'!$J:$J,'Nursing Charges'!$A:$A,$A46,'Nursing Charges'!$C:$C,3))+(AC46-SUMIFS('Consumable Usage'!$F:$F,'Consumable Usage'!$A:$A,$A46,'Consumable Usage'!$D:$D,3)))</f>
        <v/>
      </c>
      <c r="AF46" s="12" t="str">
        <f t="shared" si="7"/>
        <v/>
      </c>
      <c r="AG46" s="20"/>
      <c r="AH46" s="12" t="str">
        <f t="shared" si="8"/>
        <v/>
      </c>
      <c r="AI46" s="45" t="str">
        <f t="shared" si="9"/>
        <v/>
      </c>
      <c r="AJ46" s="15"/>
      <c r="AK46" s="15"/>
      <c r="AL46" s="20"/>
      <c r="AM46" s="12" t="str">
        <f>IF($A46="","",SUMIFS('Consumable Usage'!$E:$E,'Consumable Usage'!$A:$A,$A46,'Consumable Usage'!$D:$D,4))</f>
        <v/>
      </c>
      <c r="AN46" s="12" t="str">
        <f>IF($A46="","",SUMIFS('Nursing Charges'!$I:$I,'Nursing Charges'!$A:$A,$A46,'Nursing Charges'!$C:$C,4))</f>
        <v/>
      </c>
      <c r="AO46" s="12" t="str">
        <f>IF($A46="","",AL46+(AN46-SUMIFS('Nursing Charges'!$J:$J,'Nursing Charges'!$A:$A,$A46,'Nursing Charges'!$C:$C,4))+(AM46-SUMIFS('Consumable Usage'!$F:$F,'Consumable Usage'!$A:$A,$A46,'Consumable Usage'!$D:$D,4)))</f>
        <v/>
      </c>
      <c r="AP46" s="12" t="str">
        <f t="shared" si="10"/>
        <v/>
      </c>
      <c r="AQ46" s="20"/>
      <c r="AR46" s="12" t="str">
        <f t="shared" si="11"/>
        <v/>
      </c>
      <c r="AS46" s="45" t="str">
        <f t="shared" si="12"/>
        <v/>
      </c>
      <c r="AT46" s="15"/>
      <c r="AU46" s="15"/>
      <c r="AV46" s="20"/>
      <c r="AW46" s="12" t="str">
        <f>IF($A46="","",SUMIFS('Consumable Usage'!$E:$E,'Consumable Usage'!$A:$A,$A46,'Consumable Usage'!$D:$D,5))</f>
        <v/>
      </c>
      <c r="AX46" s="12" t="str">
        <f>IF($A46="","",SUMIFS('Nursing Charges'!$I:$I,'Nursing Charges'!$A:$A,$A46,'Nursing Charges'!$C:$C,5))</f>
        <v/>
      </c>
      <c r="AY46" s="12" t="str">
        <f>IF($A46="","",AV46+(AX46-SUMIFS('Nursing Charges'!$J:$J,'Nursing Charges'!$A:$A,$A46,'Nursing Charges'!$C:$C,5))+(AW46-SUMIFS('Consumable Usage'!$F:$F,'Consumable Usage'!$A:$A,$A46,'Consumable Usage'!$D:$D,5)))</f>
        <v/>
      </c>
      <c r="AZ46" s="12" t="str">
        <f t="shared" si="13"/>
        <v/>
      </c>
      <c r="BA46" s="20"/>
      <c r="BB46" s="12" t="str">
        <f t="shared" si="14"/>
        <v/>
      </c>
      <c r="BC46" s="45" t="str">
        <f t="shared" si="15"/>
        <v/>
      </c>
      <c r="BD46" s="15"/>
      <c r="BE46" s="15"/>
      <c r="BF46" s="20"/>
      <c r="BG46" s="12" t="str">
        <f>IF($A46="","",SUMIFS('Consumable Usage'!$E:$E,'Consumable Usage'!$A:$A,$A46,'Consumable Usage'!$D:$D,6))</f>
        <v/>
      </c>
      <c r="BH46" s="12" t="str">
        <f>IF($A46="","",SUMIFS('Nursing Charges'!$I:$I,'Nursing Charges'!$A:$A,$A46,'Nursing Charges'!$C:$C,6))</f>
        <v/>
      </c>
      <c r="BI46" s="12" t="str">
        <f>IF($A46="","",BF46+(BH46-SUMIFS('Nursing Charges'!$J:$J,'Nursing Charges'!$A:$A,$A46,'Nursing Charges'!$C:$C,6))+(BG46-SUMIFS('Consumable Usage'!$F:$F,'Consumable Usage'!$A:$A,$A46,'Consumable Usage'!$D:$D,6)))</f>
        <v/>
      </c>
      <c r="BJ46" s="12" t="str">
        <f t="shared" si="16"/>
        <v/>
      </c>
      <c r="BK46" s="20"/>
      <c r="BL46" s="12" t="str">
        <f t="shared" si="17"/>
        <v/>
      </c>
      <c r="BM46" s="45" t="str">
        <f t="shared" si="18"/>
        <v/>
      </c>
      <c r="BN46" s="15"/>
      <c r="BO46" s="15"/>
      <c r="BP46" s="20"/>
      <c r="BQ46" s="12" t="str">
        <f>IF($A46="","",SUMIFS('Consumable Usage'!$E:$E,'Consumable Usage'!$A:$A,$A46,'Consumable Usage'!$D:$D,7))</f>
        <v/>
      </c>
      <c r="BR46" s="12" t="str">
        <f>IF($A46="","",SUMIFS('Nursing Charges'!$I:$I,'Nursing Charges'!$A:$A,$A46,'Nursing Charges'!$C:$C,7))</f>
        <v/>
      </c>
      <c r="BS46" s="12" t="str">
        <f>IF($A46="","",BP46+(BR46-SUMIFS('Nursing Charges'!$J:$J,'Nursing Charges'!$A:$A,$A46,'Nursing Charges'!$C:$C,7))+(BQ46-SUMIFS('Consumable Usage'!$F:$F,'Consumable Usage'!$A:$A,$A46,'Consumable Usage'!$D:$D,7)))</f>
        <v/>
      </c>
      <c r="BT46" s="12" t="str">
        <f t="shared" si="19"/>
        <v/>
      </c>
      <c r="BU46" s="20"/>
      <c r="BV46" s="12" t="str">
        <f t="shared" si="20"/>
        <v/>
      </c>
      <c r="BW46" s="45" t="str">
        <f t="shared" si="21"/>
        <v/>
      </c>
      <c r="BX46" s="15"/>
      <c r="BY46" s="15"/>
      <c r="BZ46" s="20"/>
      <c r="CA46" s="12" t="str">
        <f>IF($A46="","",SUMIFS('Consumable Usage'!$E:$E,'Consumable Usage'!$A:$A,$A46,'Consumable Usage'!$D:$D,8))</f>
        <v/>
      </c>
      <c r="CB46" s="12" t="str">
        <f>IF($A46="","",SUMIFS('Nursing Charges'!$I:$I,'Nursing Charges'!$A:$A,$A46,'Nursing Charges'!$C:$C,8))</f>
        <v/>
      </c>
      <c r="CC46" s="12" t="str">
        <f>IF($A46="","",BZ46+(CB46-SUMIFS('Nursing Charges'!$J:$J,'Nursing Charges'!$A:$A,$A46,'Nursing Charges'!$C:$C,8))+(CA46-SUMIFS('Consumable Usage'!$F:$F,'Consumable Usage'!$A:$A,$A46,'Consumable Usage'!$D:$D,8)))</f>
        <v/>
      </c>
      <c r="CD46" s="12" t="str">
        <f t="shared" si="22"/>
        <v/>
      </c>
      <c r="CE46" s="20"/>
      <c r="CF46" s="12" t="str">
        <f t="shared" si="23"/>
        <v/>
      </c>
      <c r="CG46" s="45" t="str">
        <f t="shared" si="24"/>
        <v/>
      </c>
      <c r="CH46" s="15"/>
      <c r="CI46" s="15"/>
      <c r="CJ46" s="20"/>
      <c r="CK46" s="12" t="str">
        <f>IF($A46="","",SUMIFS('Consumable Usage'!$E:$E,'Consumable Usage'!$A:$A,$A46,'Consumable Usage'!$D:$D,9))</f>
        <v/>
      </c>
      <c r="CL46" s="12" t="str">
        <f>IF($A46="","",SUMIFS('Nursing Charges'!$I:$I,'Nursing Charges'!$A:$A,$A46,'Nursing Charges'!$C:$C,9))</f>
        <v/>
      </c>
      <c r="CM46" s="12" t="str">
        <f>IF($A46="","",CJ46+(CL46-SUMIFS('Nursing Charges'!$J:$J,'Nursing Charges'!$A:$A,$A46,'Nursing Charges'!$C:$C,9))+(CK46-SUMIFS('Consumable Usage'!$F:$F,'Consumable Usage'!$A:$A,$A46,'Consumable Usage'!$D:$D,9)))</f>
        <v/>
      </c>
      <c r="CN46" s="12" t="str">
        <f t="shared" si="25"/>
        <v/>
      </c>
      <c r="CO46" s="20"/>
      <c r="CP46" s="12" t="str">
        <f t="shared" si="26"/>
        <v/>
      </c>
      <c r="CQ46" s="45" t="str">
        <f t="shared" si="27"/>
        <v/>
      </c>
      <c r="CR46" s="15"/>
      <c r="CS46" s="15"/>
      <c r="CT46" s="20"/>
      <c r="CU46" s="12" t="str">
        <f>IF($A46="","",SUMIFS('Consumable Usage'!$E:$E,'Consumable Usage'!$A:$A,$A46,'Consumable Usage'!$D:$D,10))</f>
        <v/>
      </c>
      <c r="CV46" s="12" t="str">
        <f>IF($A46="","",SUMIFS('Nursing Charges'!$I:$I,'Nursing Charges'!$A:$A,$A46,'Nursing Charges'!$C:$C,10))</f>
        <v/>
      </c>
      <c r="CW46" s="12" t="str">
        <f>IF($A46="","",CT46+(CV46-SUMIFS('Nursing Charges'!$J:$J,'Nursing Charges'!$A:$A,$A46,'Nursing Charges'!$C:$C,10))+(CU46-SUMIFS('Consumable Usage'!$F:$F,'Consumable Usage'!$A:$A,$A46,'Consumable Usage'!$D:$D,10)))</f>
        <v/>
      </c>
      <c r="CX46" s="12" t="str">
        <f t="shared" si="28"/>
        <v/>
      </c>
      <c r="CY46" s="20"/>
      <c r="CZ46" s="12" t="str">
        <f t="shared" si="29"/>
        <v/>
      </c>
      <c r="DA46" s="45" t="str">
        <f t="shared" si="30"/>
        <v/>
      </c>
      <c r="DB46" s="15"/>
      <c r="DC46" s="15"/>
      <c r="DD46" s="20"/>
      <c r="DE46" s="12" t="str">
        <f>IF($A46="","",SUMIFS('Consumable Usage'!$E:$E,'Consumable Usage'!$A:$A,$A46,'Consumable Usage'!$D:$D,11))</f>
        <v/>
      </c>
      <c r="DF46" s="12" t="str">
        <f>IF($A46="","",SUMIFS('Nursing Charges'!$I:$I,'Nursing Charges'!$A:$A,$A46,'Nursing Charges'!$C:$C,11))</f>
        <v/>
      </c>
      <c r="DG46" s="12" t="str">
        <f>IF($A46="","",DD46+(DF46-SUMIFS('Nursing Charges'!$J:$J,'Nursing Charges'!$A:$A,$A46,'Nursing Charges'!$C:$C,11))+(DE46-SUMIFS('Consumable Usage'!$F:$F,'Consumable Usage'!$A:$A,$A46,'Consumable Usage'!$D:$D,11)))</f>
        <v/>
      </c>
      <c r="DH46" s="12" t="str">
        <f t="shared" si="31"/>
        <v/>
      </c>
      <c r="DI46" s="20"/>
      <c r="DJ46" s="12" t="str">
        <f t="shared" si="32"/>
        <v/>
      </c>
      <c r="DK46" s="45" t="str">
        <f t="shared" si="33"/>
        <v/>
      </c>
      <c r="DL46" s="15"/>
      <c r="DM46" s="15"/>
      <c r="DN46" s="20"/>
      <c r="DO46" s="12" t="str">
        <f>IF($A46="","",SUMIFS('Consumable Usage'!$E:$E,'Consumable Usage'!$A:$A,$A46,'Consumable Usage'!$D:$D,12))</f>
        <v/>
      </c>
      <c r="DP46" s="12" t="str">
        <f>IF($A46="","",SUMIFS('Nursing Charges'!$I:$I,'Nursing Charges'!$A:$A,$A46,'Nursing Charges'!$C:$C,12))</f>
        <v/>
      </c>
      <c r="DQ46" s="12" t="str">
        <f>IF($A46="","",DN46+(DP46-SUMIFS('Nursing Charges'!$J:$J,'Nursing Charges'!$A:$A,$A46,'Nursing Charges'!$C:$C,12))+(DO46-SUMIFS('Consumable Usage'!$F:$F,'Consumable Usage'!$A:$A,$A46,'Consumable Usage'!$D:$D,12)))</f>
        <v/>
      </c>
      <c r="DR46" s="12" t="str">
        <f t="shared" si="34"/>
        <v/>
      </c>
      <c r="DS46" s="20"/>
      <c r="DT46" s="12" t="str">
        <f t="shared" si="35"/>
        <v/>
      </c>
      <c r="DU46" s="45" t="str">
        <f t="shared" si="36"/>
        <v/>
      </c>
      <c r="DV46" s="15"/>
      <c r="DW46" s="15"/>
      <c r="DX46" s="20"/>
      <c r="DY46" s="12" t="str">
        <f>IF($A46="","",SUMIFS('Consumable Usage'!$E:$E,'Consumable Usage'!$A:$A,$A46,'Consumable Usage'!$D:$D,13))</f>
        <v/>
      </c>
      <c r="DZ46" s="12" t="str">
        <f>IF($A46="","",SUMIFS('Nursing Charges'!$I:$I,'Nursing Charges'!$A:$A,$A46,'Nursing Charges'!$C:$C,13))</f>
        <v/>
      </c>
      <c r="EA46" s="12" t="str">
        <f>IF($A46="","",DX46+(DZ46-SUMIFS('Nursing Charges'!$J:$J,'Nursing Charges'!$A:$A,$A46,'Nursing Charges'!$C:$C,13))+(DY46-SUMIFS('Consumable Usage'!$F:$F,'Consumable Usage'!$A:$A,$A46,'Consumable Usage'!$D:$D,13)))</f>
        <v/>
      </c>
      <c r="EB46" s="12" t="str">
        <f t="shared" si="37"/>
        <v/>
      </c>
      <c r="EC46" s="20"/>
      <c r="ED46" s="12" t="str">
        <f t="shared" si="38"/>
        <v/>
      </c>
      <c r="EE46" s="45" t="str">
        <f t="shared" si="39"/>
        <v/>
      </c>
      <c r="EF46" s="15"/>
      <c r="EG46" s="15"/>
      <c r="EH46" s="20"/>
      <c r="EI46" s="12" t="str">
        <f>IF($A46="","",SUMIFS('Consumable Usage'!$E:$E,'Consumable Usage'!$A:$A,$A46,'Consumable Usage'!$D:$D,14))</f>
        <v/>
      </c>
      <c r="EJ46" s="12" t="str">
        <f>IF($A46="","",SUMIFS('Nursing Charges'!$I:$I,'Nursing Charges'!$A:$A,$A46,'Nursing Charges'!$C:$C,14))</f>
        <v/>
      </c>
      <c r="EK46" s="12" t="str">
        <f>IF($A46="","",EH46+(EJ46-SUMIFS('Nursing Charges'!$J:$J,'Nursing Charges'!$A:$A,$A46,'Nursing Charges'!$C:$C,14))+(EI46-SUMIFS('Consumable Usage'!$F:$F,'Consumable Usage'!$A:$A,$A46,'Consumable Usage'!$D:$D,14)))</f>
        <v/>
      </c>
      <c r="EL46" s="12" t="str">
        <f t="shared" si="40"/>
        <v/>
      </c>
      <c r="EM46" s="20"/>
      <c r="EN46" s="12" t="str">
        <f t="shared" si="41"/>
        <v/>
      </c>
      <c r="EO46" s="45" t="str">
        <f t="shared" si="42"/>
        <v/>
      </c>
      <c r="EP46" s="15"/>
      <c r="EQ46" s="15"/>
      <c r="ER46" s="20"/>
      <c r="ES46" s="12" t="str">
        <f>IF($A46="","",SUMIFS('Consumable Usage'!$E:$E,'Consumable Usage'!$A:$A,$A46,'Consumable Usage'!$D:$D,15))</f>
        <v/>
      </c>
      <c r="ET46" s="12" t="str">
        <f>IF($A46="","",SUMIFS('Nursing Charges'!$I:$I,'Nursing Charges'!$A:$A,$A46,'Nursing Charges'!$C:$C,15))</f>
        <v/>
      </c>
      <c r="EU46" s="12" t="str">
        <f>IF($A46="","",ER46+(ET46-SUMIFS('Nursing Charges'!$J:$J,'Nursing Charges'!$A:$A,$A46,'Nursing Charges'!$C:$C,15))+(ES46-SUMIFS('Consumable Usage'!$F:$F,'Consumable Usage'!$A:$A,$A46,'Consumable Usage'!$D:$D,15)))</f>
        <v/>
      </c>
      <c r="EV46" s="12" t="str">
        <f t="shared" si="43"/>
        <v/>
      </c>
      <c r="EW46" s="20"/>
      <c r="EX46" s="12" t="str">
        <f t="shared" si="44"/>
        <v/>
      </c>
      <c r="EY46" s="45" t="str">
        <f t="shared" si="45"/>
        <v/>
      </c>
      <c r="EZ46" s="15"/>
      <c r="FA46" s="15"/>
      <c r="FB46" s="20"/>
      <c r="FC46" s="12" t="str">
        <f>IF($A46="","",SUMIFS('Consumable Usage'!$E:$E,'Consumable Usage'!$A:$A,$A46,'Consumable Usage'!$D:$D,16))</f>
        <v/>
      </c>
      <c r="FD46" s="12" t="str">
        <f>IF($A46="","",SUMIFS('Nursing Charges'!$I:$I,'Nursing Charges'!$A:$A,$A46,'Nursing Charges'!$C:$C,16))</f>
        <v/>
      </c>
      <c r="FE46" s="12" t="str">
        <f>IF($A46="","",FB46+(FD46-SUMIFS('Nursing Charges'!$J:$J,'Nursing Charges'!$A:$A,$A46,'Nursing Charges'!$C:$C,16))+(FC46-SUMIFS('Consumable Usage'!$F:$F,'Consumable Usage'!$A:$A,$A46,'Consumable Usage'!$D:$D,16)))</f>
        <v/>
      </c>
      <c r="FF46" s="12" t="str">
        <f t="shared" si="46"/>
        <v/>
      </c>
      <c r="FG46" s="20"/>
      <c r="FH46" s="12" t="str">
        <f t="shared" si="47"/>
        <v/>
      </c>
      <c r="FI46" s="45" t="str">
        <f t="shared" si="48"/>
        <v/>
      </c>
      <c r="FJ46" s="53"/>
      <c r="FK46" s="53"/>
      <c r="FL46" s="63"/>
      <c r="FM46" s="63" t="str">
        <f>IF($A46="","",SUMIFS('Consumable Usage'!$E:$E,'Consumable Usage'!$A:$A,$A46,'Consumable Usage'!$D:$D,16))</f>
        <v/>
      </c>
      <c r="FN46" s="63" t="str">
        <f>IF($A46="","",SUMIFS('Nursing Charges'!$I:$I,'Nursing Charges'!$A:$A,$A46,'Nursing Charges'!$C:$C,16))</f>
        <v/>
      </c>
      <c r="FO46" s="63" t="str">
        <f>IF($A46="","",FL46+(FN46-SUMIFS('Nursing Charges'!$J:$J,'Nursing Charges'!$A:$A,$A46,'Nursing Charges'!$C:$C,16))+(FM46-SUMIFS('Consumable Usage'!$F:$F,'Consumable Usage'!$A:$A,$A46,'Consumable Usage'!$D:$D,16)))</f>
        <v/>
      </c>
      <c r="FP46" s="63" t="str">
        <f t="shared" si="49"/>
        <v/>
      </c>
      <c r="FQ46" s="63"/>
      <c r="FR46" s="63" t="str">
        <f t="shared" si="50"/>
        <v/>
      </c>
      <c r="FS46" s="53" t="str">
        <f t="shared" si="51"/>
        <v/>
      </c>
    </row>
    <row r="47" ht="15.0" customHeight="1">
      <c r="A47" s="15"/>
      <c r="B47" s="15"/>
      <c r="C47" s="15"/>
      <c r="D47" s="15"/>
      <c r="E47" s="15"/>
      <c r="F47" s="15"/>
      <c r="G47" s="15"/>
      <c r="H47" s="20"/>
      <c r="I47" s="12" t="str">
        <f>IF($A47="","",SUMIFS('Consumable Usage'!$E:$E,'Consumable Usage'!$A:$A,$A47,'Consumable Usage'!$D:$D,1))</f>
        <v/>
      </c>
      <c r="J47" s="12" t="str">
        <f>IF($A47="","",SUMIFS('Nursing Charges'!$I:$I,'Nursing Charges'!$A:$A,$A47,'Nursing Charges'!$C:$C,1))</f>
        <v/>
      </c>
      <c r="K47" s="12" t="str">
        <f>IF($A47="","",H47+(J47-SUMIFS('Nursing Charges'!$J:$J,'Nursing Charges'!$A:$A,$A47,'Nursing Charges'!$C:$C,1))+(I47-SUMIFS('Consumable Usage'!$F:$F,'Consumable Usage'!$A:$A,$A47,'Consumable Usage'!$D:$D,1)))</f>
        <v/>
      </c>
      <c r="L47" s="12" t="str">
        <f t="shared" si="1"/>
        <v/>
      </c>
      <c r="M47" s="20"/>
      <c r="N47" s="12" t="str">
        <f t="shared" si="2"/>
        <v/>
      </c>
      <c r="O47" s="45" t="str">
        <f t="shared" si="3"/>
        <v/>
      </c>
      <c r="P47" s="15"/>
      <c r="Q47" s="15"/>
      <c r="R47" s="20"/>
      <c r="S47" s="12" t="str">
        <f>IF($A47="","",SUMIFS('Consumable Usage'!$E:$E,'Consumable Usage'!$A:$A,$A47,'Consumable Usage'!$D:$D,2))</f>
        <v/>
      </c>
      <c r="T47" s="12" t="str">
        <f>IF($A47="","",SUMIFS('Nursing Charges'!$I:$I,'Nursing Charges'!$A:$A,$A47,'Nursing Charges'!$C:$C,2))</f>
        <v/>
      </c>
      <c r="U47" s="12" t="str">
        <f>IF($A47="","",R47+(T47-SUMIFS('Nursing Charges'!$J:$J,'Nursing Charges'!$A:$A,$A47,'Nursing Charges'!$C:$C,2))+(S47-SUMIFS('Consumable Usage'!$F:$F,'Consumable Usage'!$A:$A,$A47,'Consumable Usage'!$D:$D,2)))</f>
        <v/>
      </c>
      <c r="V47" s="12" t="str">
        <f t="shared" si="4"/>
        <v/>
      </c>
      <c r="W47" s="20"/>
      <c r="X47" s="12" t="str">
        <f t="shared" si="5"/>
        <v/>
      </c>
      <c r="Y47" s="45" t="str">
        <f t="shared" si="6"/>
        <v/>
      </c>
      <c r="Z47" s="15"/>
      <c r="AA47" s="15"/>
      <c r="AB47" s="20"/>
      <c r="AC47" s="12" t="str">
        <f>IF($A47="","",SUMIFS('Consumable Usage'!$E:$E,'Consumable Usage'!$A:$A,$A47,'Consumable Usage'!$D:$D,3))</f>
        <v/>
      </c>
      <c r="AD47" s="12" t="str">
        <f>IF($A47="","",SUMIFS('Nursing Charges'!$I:$I,'Nursing Charges'!$A:$A,$A47,'Nursing Charges'!$C:$C,3))</f>
        <v/>
      </c>
      <c r="AE47" s="12" t="str">
        <f>IF($A47="","",AB47+(AD47-SUMIFS('Nursing Charges'!$J:$J,'Nursing Charges'!$A:$A,$A47,'Nursing Charges'!$C:$C,3))+(AC47-SUMIFS('Consumable Usage'!$F:$F,'Consumable Usage'!$A:$A,$A47,'Consumable Usage'!$D:$D,3)))</f>
        <v/>
      </c>
      <c r="AF47" s="12" t="str">
        <f t="shared" si="7"/>
        <v/>
      </c>
      <c r="AG47" s="20"/>
      <c r="AH47" s="12" t="str">
        <f t="shared" si="8"/>
        <v/>
      </c>
      <c r="AI47" s="45" t="str">
        <f t="shared" si="9"/>
        <v/>
      </c>
      <c r="AJ47" s="15"/>
      <c r="AK47" s="15"/>
      <c r="AL47" s="20"/>
      <c r="AM47" s="12" t="str">
        <f>IF($A47="","",SUMIFS('Consumable Usage'!$E:$E,'Consumable Usage'!$A:$A,$A47,'Consumable Usage'!$D:$D,4))</f>
        <v/>
      </c>
      <c r="AN47" s="12" t="str">
        <f>IF($A47="","",SUMIFS('Nursing Charges'!$I:$I,'Nursing Charges'!$A:$A,$A47,'Nursing Charges'!$C:$C,4))</f>
        <v/>
      </c>
      <c r="AO47" s="12" t="str">
        <f>IF($A47="","",AL47+(AN47-SUMIFS('Nursing Charges'!$J:$J,'Nursing Charges'!$A:$A,$A47,'Nursing Charges'!$C:$C,4))+(AM47-SUMIFS('Consumable Usage'!$F:$F,'Consumable Usage'!$A:$A,$A47,'Consumable Usage'!$D:$D,4)))</f>
        <v/>
      </c>
      <c r="AP47" s="12" t="str">
        <f t="shared" si="10"/>
        <v/>
      </c>
      <c r="AQ47" s="20"/>
      <c r="AR47" s="12" t="str">
        <f t="shared" si="11"/>
        <v/>
      </c>
      <c r="AS47" s="45" t="str">
        <f t="shared" si="12"/>
        <v/>
      </c>
      <c r="AT47" s="15"/>
      <c r="AU47" s="15"/>
      <c r="AV47" s="20"/>
      <c r="AW47" s="12" t="str">
        <f>IF($A47="","",SUMIFS('Consumable Usage'!$E:$E,'Consumable Usage'!$A:$A,$A47,'Consumable Usage'!$D:$D,5))</f>
        <v/>
      </c>
      <c r="AX47" s="12" t="str">
        <f>IF($A47="","",SUMIFS('Nursing Charges'!$I:$I,'Nursing Charges'!$A:$A,$A47,'Nursing Charges'!$C:$C,5))</f>
        <v/>
      </c>
      <c r="AY47" s="12" t="str">
        <f>IF($A47="","",AV47+(AX47-SUMIFS('Nursing Charges'!$J:$J,'Nursing Charges'!$A:$A,$A47,'Nursing Charges'!$C:$C,5))+(AW47-SUMIFS('Consumable Usage'!$F:$F,'Consumable Usage'!$A:$A,$A47,'Consumable Usage'!$D:$D,5)))</f>
        <v/>
      </c>
      <c r="AZ47" s="12" t="str">
        <f t="shared" si="13"/>
        <v/>
      </c>
      <c r="BA47" s="20"/>
      <c r="BB47" s="12" t="str">
        <f t="shared" si="14"/>
        <v/>
      </c>
      <c r="BC47" s="45" t="str">
        <f t="shared" si="15"/>
        <v/>
      </c>
      <c r="BD47" s="15"/>
      <c r="BE47" s="15"/>
      <c r="BF47" s="20"/>
      <c r="BG47" s="12" t="str">
        <f>IF($A47="","",SUMIFS('Consumable Usage'!$E:$E,'Consumable Usage'!$A:$A,$A47,'Consumable Usage'!$D:$D,6))</f>
        <v/>
      </c>
      <c r="BH47" s="12" t="str">
        <f>IF($A47="","",SUMIFS('Nursing Charges'!$I:$I,'Nursing Charges'!$A:$A,$A47,'Nursing Charges'!$C:$C,6))</f>
        <v/>
      </c>
      <c r="BI47" s="12" t="str">
        <f>IF($A47="","",BF47+(BH47-SUMIFS('Nursing Charges'!$J:$J,'Nursing Charges'!$A:$A,$A47,'Nursing Charges'!$C:$C,6))+(BG47-SUMIFS('Consumable Usage'!$F:$F,'Consumable Usage'!$A:$A,$A47,'Consumable Usage'!$D:$D,6)))</f>
        <v/>
      </c>
      <c r="BJ47" s="12" t="str">
        <f t="shared" si="16"/>
        <v/>
      </c>
      <c r="BK47" s="20"/>
      <c r="BL47" s="12" t="str">
        <f t="shared" si="17"/>
        <v/>
      </c>
      <c r="BM47" s="45" t="str">
        <f t="shared" si="18"/>
        <v/>
      </c>
      <c r="BN47" s="15"/>
      <c r="BO47" s="15"/>
      <c r="BP47" s="20"/>
      <c r="BQ47" s="12" t="str">
        <f>IF($A47="","",SUMIFS('Consumable Usage'!$E:$E,'Consumable Usage'!$A:$A,$A47,'Consumable Usage'!$D:$D,7))</f>
        <v/>
      </c>
      <c r="BR47" s="12" t="str">
        <f>IF($A47="","",SUMIFS('Nursing Charges'!$I:$I,'Nursing Charges'!$A:$A,$A47,'Nursing Charges'!$C:$C,7))</f>
        <v/>
      </c>
      <c r="BS47" s="12" t="str">
        <f>IF($A47="","",BP47+(BR47-SUMIFS('Nursing Charges'!$J:$J,'Nursing Charges'!$A:$A,$A47,'Nursing Charges'!$C:$C,7))+(BQ47-SUMIFS('Consumable Usage'!$F:$F,'Consumable Usage'!$A:$A,$A47,'Consumable Usage'!$D:$D,7)))</f>
        <v/>
      </c>
      <c r="BT47" s="12" t="str">
        <f t="shared" si="19"/>
        <v/>
      </c>
      <c r="BU47" s="20"/>
      <c r="BV47" s="12" t="str">
        <f t="shared" si="20"/>
        <v/>
      </c>
      <c r="BW47" s="45" t="str">
        <f t="shared" si="21"/>
        <v/>
      </c>
      <c r="BX47" s="15"/>
      <c r="BY47" s="15"/>
      <c r="BZ47" s="20"/>
      <c r="CA47" s="12" t="str">
        <f>IF($A47="","",SUMIFS('Consumable Usage'!$E:$E,'Consumable Usage'!$A:$A,$A47,'Consumable Usage'!$D:$D,8))</f>
        <v/>
      </c>
      <c r="CB47" s="12" t="str">
        <f>IF($A47="","",SUMIFS('Nursing Charges'!$I:$I,'Nursing Charges'!$A:$A,$A47,'Nursing Charges'!$C:$C,8))</f>
        <v/>
      </c>
      <c r="CC47" s="12" t="str">
        <f>IF($A47="","",BZ47+(CB47-SUMIFS('Nursing Charges'!$J:$J,'Nursing Charges'!$A:$A,$A47,'Nursing Charges'!$C:$C,8))+(CA47-SUMIFS('Consumable Usage'!$F:$F,'Consumable Usage'!$A:$A,$A47,'Consumable Usage'!$D:$D,8)))</f>
        <v/>
      </c>
      <c r="CD47" s="12" t="str">
        <f t="shared" si="22"/>
        <v/>
      </c>
      <c r="CE47" s="20"/>
      <c r="CF47" s="12" t="str">
        <f t="shared" si="23"/>
        <v/>
      </c>
      <c r="CG47" s="45" t="str">
        <f t="shared" si="24"/>
        <v/>
      </c>
      <c r="CH47" s="15"/>
      <c r="CI47" s="15"/>
      <c r="CJ47" s="20"/>
      <c r="CK47" s="12" t="str">
        <f>IF($A47="","",SUMIFS('Consumable Usage'!$E:$E,'Consumable Usage'!$A:$A,$A47,'Consumable Usage'!$D:$D,9))</f>
        <v/>
      </c>
      <c r="CL47" s="12" t="str">
        <f>IF($A47="","",SUMIFS('Nursing Charges'!$I:$I,'Nursing Charges'!$A:$A,$A47,'Nursing Charges'!$C:$C,9))</f>
        <v/>
      </c>
      <c r="CM47" s="12" t="str">
        <f>IF($A47="","",CJ47+(CL47-SUMIFS('Nursing Charges'!$J:$J,'Nursing Charges'!$A:$A,$A47,'Nursing Charges'!$C:$C,9))+(CK47-SUMIFS('Consumable Usage'!$F:$F,'Consumable Usage'!$A:$A,$A47,'Consumable Usage'!$D:$D,9)))</f>
        <v/>
      </c>
      <c r="CN47" s="12" t="str">
        <f t="shared" si="25"/>
        <v/>
      </c>
      <c r="CO47" s="20"/>
      <c r="CP47" s="12" t="str">
        <f t="shared" si="26"/>
        <v/>
      </c>
      <c r="CQ47" s="45" t="str">
        <f t="shared" si="27"/>
        <v/>
      </c>
      <c r="CR47" s="15"/>
      <c r="CS47" s="15"/>
      <c r="CT47" s="20"/>
      <c r="CU47" s="12" t="str">
        <f>IF($A47="","",SUMIFS('Consumable Usage'!$E:$E,'Consumable Usage'!$A:$A,$A47,'Consumable Usage'!$D:$D,10))</f>
        <v/>
      </c>
      <c r="CV47" s="12" t="str">
        <f>IF($A47="","",SUMIFS('Nursing Charges'!$I:$I,'Nursing Charges'!$A:$A,$A47,'Nursing Charges'!$C:$C,10))</f>
        <v/>
      </c>
      <c r="CW47" s="12" t="str">
        <f>IF($A47="","",CT47+(CV47-SUMIFS('Nursing Charges'!$J:$J,'Nursing Charges'!$A:$A,$A47,'Nursing Charges'!$C:$C,10))+(CU47-SUMIFS('Consumable Usage'!$F:$F,'Consumable Usage'!$A:$A,$A47,'Consumable Usage'!$D:$D,10)))</f>
        <v/>
      </c>
      <c r="CX47" s="12" t="str">
        <f t="shared" si="28"/>
        <v/>
      </c>
      <c r="CY47" s="20"/>
      <c r="CZ47" s="12" t="str">
        <f t="shared" si="29"/>
        <v/>
      </c>
      <c r="DA47" s="45" t="str">
        <f t="shared" si="30"/>
        <v/>
      </c>
      <c r="DB47" s="15"/>
      <c r="DC47" s="15"/>
      <c r="DD47" s="20"/>
      <c r="DE47" s="12" t="str">
        <f>IF($A47="","",SUMIFS('Consumable Usage'!$E:$E,'Consumable Usage'!$A:$A,$A47,'Consumable Usage'!$D:$D,11))</f>
        <v/>
      </c>
      <c r="DF47" s="12" t="str">
        <f>IF($A47="","",SUMIFS('Nursing Charges'!$I:$I,'Nursing Charges'!$A:$A,$A47,'Nursing Charges'!$C:$C,11))</f>
        <v/>
      </c>
      <c r="DG47" s="12" t="str">
        <f>IF($A47="","",DD47+(DF47-SUMIFS('Nursing Charges'!$J:$J,'Nursing Charges'!$A:$A,$A47,'Nursing Charges'!$C:$C,11))+(DE47-SUMIFS('Consumable Usage'!$F:$F,'Consumable Usage'!$A:$A,$A47,'Consumable Usage'!$D:$D,11)))</f>
        <v/>
      </c>
      <c r="DH47" s="12" t="str">
        <f t="shared" si="31"/>
        <v/>
      </c>
      <c r="DI47" s="20"/>
      <c r="DJ47" s="12" t="str">
        <f t="shared" si="32"/>
        <v/>
      </c>
      <c r="DK47" s="45" t="str">
        <f t="shared" si="33"/>
        <v/>
      </c>
      <c r="DL47" s="15"/>
      <c r="DM47" s="15"/>
      <c r="DN47" s="20"/>
      <c r="DO47" s="12" t="str">
        <f>IF($A47="","",SUMIFS('Consumable Usage'!$E:$E,'Consumable Usage'!$A:$A,$A47,'Consumable Usage'!$D:$D,12))</f>
        <v/>
      </c>
      <c r="DP47" s="12" t="str">
        <f>IF($A47="","",SUMIFS('Nursing Charges'!$I:$I,'Nursing Charges'!$A:$A,$A47,'Nursing Charges'!$C:$C,12))</f>
        <v/>
      </c>
      <c r="DQ47" s="12" t="str">
        <f>IF($A47="","",DN47+(DP47-SUMIFS('Nursing Charges'!$J:$J,'Nursing Charges'!$A:$A,$A47,'Nursing Charges'!$C:$C,12))+(DO47-SUMIFS('Consumable Usage'!$F:$F,'Consumable Usage'!$A:$A,$A47,'Consumable Usage'!$D:$D,12)))</f>
        <v/>
      </c>
      <c r="DR47" s="12" t="str">
        <f t="shared" si="34"/>
        <v/>
      </c>
      <c r="DS47" s="20"/>
      <c r="DT47" s="12" t="str">
        <f t="shared" si="35"/>
        <v/>
      </c>
      <c r="DU47" s="45" t="str">
        <f t="shared" si="36"/>
        <v/>
      </c>
      <c r="DV47" s="15"/>
      <c r="DW47" s="15"/>
      <c r="DX47" s="20"/>
      <c r="DY47" s="12" t="str">
        <f>IF($A47="","",SUMIFS('Consumable Usage'!$E:$E,'Consumable Usage'!$A:$A,$A47,'Consumable Usage'!$D:$D,13))</f>
        <v/>
      </c>
      <c r="DZ47" s="12" t="str">
        <f>IF($A47="","",SUMIFS('Nursing Charges'!$I:$I,'Nursing Charges'!$A:$A,$A47,'Nursing Charges'!$C:$C,13))</f>
        <v/>
      </c>
      <c r="EA47" s="12" t="str">
        <f>IF($A47="","",DX47+(DZ47-SUMIFS('Nursing Charges'!$J:$J,'Nursing Charges'!$A:$A,$A47,'Nursing Charges'!$C:$C,13))+(DY47-SUMIFS('Consumable Usage'!$F:$F,'Consumable Usage'!$A:$A,$A47,'Consumable Usage'!$D:$D,13)))</f>
        <v/>
      </c>
      <c r="EB47" s="12" t="str">
        <f t="shared" si="37"/>
        <v/>
      </c>
      <c r="EC47" s="20"/>
      <c r="ED47" s="12" t="str">
        <f t="shared" si="38"/>
        <v/>
      </c>
      <c r="EE47" s="45" t="str">
        <f t="shared" si="39"/>
        <v/>
      </c>
      <c r="EF47" s="15"/>
      <c r="EG47" s="15"/>
      <c r="EH47" s="20"/>
      <c r="EI47" s="12" t="str">
        <f>IF($A47="","",SUMIFS('Consumable Usage'!$E:$E,'Consumable Usage'!$A:$A,$A47,'Consumable Usage'!$D:$D,14))</f>
        <v/>
      </c>
      <c r="EJ47" s="12" t="str">
        <f>IF($A47="","",SUMIFS('Nursing Charges'!$I:$I,'Nursing Charges'!$A:$A,$A47,'Nursing Charges'!$C:$C,14))</f>
        <v/>
      </c>
      <c r="EK47" s="12" t="str">
        <f>IF($A47="","",EH47+(EJ47-SUMIFS('Nursing Charges'!$J:$J,'Nursing Charges'!$A:$A,$A47,'Nursing Charges'!$C:$C,14))+(EI47-SUMIFS('Consumable Usage'!$F:$F,'Consumable Usage'!$A:$A,$A47,'Consumable Usage'!$D:$D,14)))</f>
        <v/>
      </c>
      <c r="EL47" s="12" t="str">
        <f t="shared" si="40"/>
        <v/>
      </c>
      <c r="EM47" s="20"/>
      <c r="EN47" s="12" t="str">
        <f t="shared" si="41"/>
        <v/>
      </c>
      <c r="EO47" s="45" t="str">
        <f t="shared" si="42"/>
        <v/>
      </c>
      <c r="EP47" s="15"/>
      <c r="EQ47" s="15"/>
      <c r="ER47" s="20"/>
      <c r="ES47" s="12" t="str">
        <f>IF($A47="","",SUMIFS('Consumable Usage'!$E:$E,'Consumable Usage'!$A:$A,$A47,'Consumable Usage'!$D:$D,15))</f>
        <v/>
      </c>
      <c r="ET47" s="12" t="str">
        <f>IF($A47="","",SUMIFS('Nursing Charges'!$I:$I,'Nursing Charges'!$A:$A,$A47,'Nursing Charges'!$C:$C,15))</f>
        <v/>
      </c>
      <c r="EU47" s="12" t="str">
        <f>IF($A47="","",ER47+(ET47-SUMIFS('Nursing Charges'!$J:$J,'Nursing Charges'!$A:$A,$A47,'Nursing Charges'!$C:$C,15))+(ES47-SUMIFS('Consumable Usage'!$F:$F,'Consumable Usage'!$A:$A,$A47,'Consumable Usage'!$D:$D,15)))</f>
        <v/>
      </c>
      <c r="EV47" s="12" t="str">
        <f t="shared" si="43"/>
        <v/>
      </c>
      <c r="EW47" s="20"/>
      <c r="EX47" s="12" t="str">
        <f t="shared" si="44"/>
        <v/>
      </c>
      <c r="EY47" s="45" t="str">
        <f t="shared" si="45"/>
        <v/>
      </c>
      <c r="EZ47" s="15"/>
      <c r="FA47" s="15"/>
      <c r="FB47" s="20"/>
      <c r="FC47" s="12" t="str">
        <f>IF($A47="","",SUMIFS('Consumable Usage'!$E:$E,'Consumable Usage'!$A:$A,$A47,'Consumable Usage'!$D:$D,16))</f>
        <v/>
      </c>
      <c r="FD47" s="12" t="str">
        <f>IF($A47="","",SUMIFS('Nursing Charges'!$I:$I,'Nursing Charges'!$A:$A,$A47,'Nursing Charges'!$C:$C,16))</f>
        <v/>
      </c>
      <c r="FE47" s="12" t="str">
        <f>IF($A47="","",FB47+(FD47-SUMIFS('Nursing Charges'!$J:$J,'Nursing Charges'!$A:$A,$A47,'Nursing Charges'!$C:$C,16))+(FC47-SUMIFS('Consumable Usage'!$F:$F,'Consumable Usage'!$A:$A,$A47,'Consumable Usage'!$D:$D,16)))</f>
        <v/>
      </c>
      <c r="FF47" s="12" t="str">
        <f t="shared" si="46"/>
        <v/>
      </c>
      <c r="FG47" s="20"/>
      <c r="FH47" s="12" t="str">
        <f t="shared" si="47"/>
        <v/>
      </c>
      <c r="FI47" s="45" t="str">
        <f t="shared" si="48"/>
        <v/>
      </c>
      <c r="FJ47" s="53"/>
      <c r="FK47" s="53"/>
      <c r="FL47" s="63"/>
      <c r="FM47" s="63" t="str">
        <f>IF($A47="","",SUMIFS('Consumable Usage'!$E:$E,'Consumable Usage'!$A:$A,$A47,'Consumable Usage'!$D:$D,16))</f>
        <v/>
      </c>
      <c r="FN47" s="63" t="str">
        <f>IF($A47="","",SUMIFS('Nursing Charges'!$I:$I,'Nursing Charges'!$A:$A,$A47,'Nursing Charges'!$C:$C,16))</f>
        <v/>
      </c>
      <c r="FO47" s="63" t="str">
        <f>IF($A47="","",FL47+(FN47-SUMIFS('Nursing Charges'!$J:$J,'Nursing Charges'!$A:$A,$A47,'Nursing Charges'!$C:$C,16))+(FM47-SUMIFS('Consumable Usage'!$F:$F,'Consumable Usage'!$A:$A,$A47,'Consumable Usage'!$D:$D,16)))</f>
        <v/>
      </c>
      <c r="FP47" s="63" t="str">
        <f t="shared" si="49"/>
        <v/>
      </c>
      <c r="FQ47" s="63"/>
      <c r="FR47" s="63" t="str">
        <f t="shared" si="50"/>
        <v/>
      </c>
      <c r="FS47" s="53" t="str">
        <f t="shared" si="51"/>
        <v/>
      </c>
    </row>
    <row r="48" ht="15.0" customHeight="1">
      <c r="A48" s="15"/>
      <c r="B48" s="15"/>
      <c r="C48" s="15"/>
      <c r="D48" s="15"/>
      <c r="E48" s="15"/>
      <c r="F48" s="15"/>
      <c r="G48" s="15"/>
      <c r="H48" s="20"/>
      <c r="I48" s="12" t="str">
        <f>IF($A48="","",SUMIFS('Consumable Usage'!$E:$E,'Consumable Usage'!$A:$A,$A48,'Consumable Usage'!$D:$D,1))</f>
        <v/>
      </c>
      <c r="J48" s="12" t="str">
        <f>IF($A48="","",SUMIFS('Nursing Charges'!$I:$I,'Nursing Charges'!$A:$A,$A48,'Nursing Charges'!$C:$C,1))</f>
        <v/>
      </c>
      <c r="K48" s="12" t="str">
        <f>IF($A48="","",H48+(J48-SUMIFS('Nursing Charges'!$J:$J,'Nursing Charges'!$A:$A,$A48,'Nursing Charges'!$C:$C,1))+(I48-SUMIFS('Consumable Usage'!$F:$F,'Consumable Usage'!$A:$A,$A48,'Consumable Usage'!$D:$D,1)))</f>
        <v/>
      </c>
      <c r="L48" s="12" t="str">
        <f t="shared" si="1"/>
        <v/>
      </c>
      <c r="M48" s="20"/>
      <c r="N48" s="12" t="str">
        <f t="shared" si="2"/>
        <v/>
      </c>
      <c r="O48" s="45" t="str">
        <f t="shared" si="3"/>
        <v/>
      </c>
      <c r="P48" s="15"/>
      <c r="Q48" s="15"/>
      <c r="R48" s="20"/>
      <c r="S48" s="12" t="str">
        <f>IF($A48="","",SUMIFS('Consumable Usage'!$E:$E,'Consumable Usage'!$A:$A,$A48,'Consumable Usage'!$D:$D,2))</f>
        <v/>
      </c>
      <c r="T48" s="12" t="str">
        <f>IF($A48="","",SUMIFS('Nursing Charges'!$I:$I,'Nursing Charges'!$A:$A,$A48,'Nursing Charges'!$C:$C,2))</f>
        <v/>
      </c>
      <c r="U48" s="12" t="str">
        <f>IF($A48="","",R48+(T48-SUMIFS('Nursing Charges'!$J:$J,'Nursing Charges'!$A:$A,$A48,'Nursing Charges'!$C:$C,2))+(S48-SUMIFS('Consumable Usage'!$F:$F,'Consumable Usage'!$A:$A,$A48,'Consumable Usage'!$D:$D,2)))</f>
        <v/>
      </c>
      <c r="V48" s="12" t="str">
        <f t="shared" si="4"/>
        <v/>
      </c>
      <c r="W48" s="20"/>
      <c r="X48" s="12" t="str">
        <f t="shared" si="5"/>
        <v/>
      </c>
      <c r="Y48" s="45" t="str">
        <f t="shared" si="6"/>
        <v/>
      </c>
      <c r="Z48" s="15"/>
      <c r="AA48" s="15"/>
      <c r="AB48" s="20"/>
      <c r="AC48" s="12" t="str">
        <f>IF($A48="","",SUMIFS('Consumable Usage'!$E:$E,'Consumable Usage'!$A:$A,$A48,'Consumable Usage'!$D:$D,3))</f>
        <v/>
      </c>
      <c r="AD48" s="12" t="str">
        <f>IF($A48="","",SUMIFS('Nursing Charges'!$I:$I,'Nursing Charges'!$A:$A,$A48,'Nursing Charges'!$C:$C,3))</f>
        <v/>
      </c>
      <c r="AE48" s="12" t="str">
        <f>IF($A48="","",AB48+(AD48-SUMIFS('Nursing Charges'!$J:$J,'Nursing Charges'!$A:$A,$A48,'Nursing Charges'!$C:$C,3))+(AC48-SUMIFS('Consumable Usage'!$F:$F,'Consumable Usage'!$A:$A,$A48,'Consumable Usage'!$D:$D,3)))</f>
        <v/>
      </c>
      <c r="AF48" s="12" t="str">
        <f t="shared" si="7"/>
        <v/>
      </c>
      <c r="AG48" s="20"/>
      <c r="AH48" s="12" t="str">
        <f t="shared" si="8"/>
        <v/>
      </c>
      <c r="AI48" s="45" t="str">
        <f t="shared" si="9"/>
        <v/>
      </c>
      <c r="AJ48" s="15"/>
      <c r="AK48" s="15"/>
      <c r="AL48" s="20"/>
      <c r="AM48" s="12" t="str">
        <f>IF($A48="","",SUMIFS('Consumable Usage'!$E:$E,'Consumable Usage'!$A:$A,$A48,'Consumable Usage'!$D:$D,4))</f>
        <v/>
      </c>
      <c r="AN48" s="12" t="str">
        <f>IF($A48="","",SUMIFS('Nursing Charges'!$I:$I,'Nursing Charges'!$A:$A,$A48,'Nursing Charges'!$C:$C,4))</f>
        <v/>
      </c>
      <c r="AO48" s="12" t="str">
        <f>IF($A48="","",AL48+(AN48-SUMIFS('Nursing Charges'!$J:$J,'Nursing Charges'!$A:$A,$A48,'Nursing Charges'!$C:$C,4))+(AM48-SUMIFS('Consumable Usage'!$F:$F,'Consumable Usage'!$A:$A,$A48,'Consumable Usage'!$D:$D,4)))</f>
        <v/>
      </c>
      <c r="AP48" s="12" t="str">
        <f t="shared" si="10"/>
        <v/>
      </c>
      <c r="AQ48" s="20"/>
      <c r="AR48" s="12" t="str">
        <f t="shared" si="11"/>
        <v/>
      </c>
      <c r="AS48" s="45" t="str">
        <f t="shared" si="12"/>
        <v/>
      </c>
      <c r="AT48" s="15"/>
      <c r="AU48" s="15"/>
      <c r="AV48" s="20"/>
      <c r="AW48" s="12" t="str">
        <f>IF($A48="","",SUMIFS('Consumable Usage'!$E:$E,'Consumable Usage'!$A:$A,$A48,'Consumable Usage'!$D:$D,5))</f>
        <v/>
      </c>
      <c r="AX48" s="12" t="str">
        <f>IF($A48="","",SUMIFS('Nursing Charges'!$I:$I,'Nursing Charges'!$A:$A,$A48,'Nursing Charges'!$C:$C,5))</f>
        <v/>
      </c>
      <c r="AY48" s="12" t="str">
        <f>IF($A48="","",AV48+(AX48-SUMIFS('Nursing Charges'!$J:$J,'Nursing Charges'!$A:$A,$A48,'Nursing Charges'!$C:$C,5))+(AW48-SUMIFS('Consumable Usage'!$F:$F,'Consumable Usage'!$A:$A,$A48,'Consumable Usage'!$D:$D,5)))</f>
        <v/>
      </c>
      <c r="AZ48" s="12" t="str">
        <f t="shared" si="13"/>
        <v/>
      </c>
      <c r="BA48" s="20"/>
      <c r="BB48" s="12" t="str">
        <f t="shared" si="14"/>
        <v/>
      </c>
      <c r="BC48" s="45" t="str">
        <f t="shared" si="15"/>
        <v/>
      </c>
      <c r="BD48" s="15"/>
      <c r="BE48" s="15"/>
      <c r="BF48" s="20"/>
      <c r="BG48" s="12" t="str">
        <f>IF($A48="","",SUMIFS('Consumable Usage'!$E:$E,'Consumable Usage'!$A:$A,$A48,'Consumable Usage'!$D:$D,6))</f>
        <v/>
      </c>
      <c r="BH48" s="12" t="str">
        <f>IF($A48="","",SUMIFS('Nursing Charges'!$I:$I,'Nursing Charges'!$A:$A,$A48,'Nursing Charges'!$C:$C,6))</f>
        <v/>
      </c>
      <c r="BI48" s="12" t="str">
        <f>IF($A48="","",BF48+(BH48-SUMIFS('Nursing Charges'!$J:$J,'Nursing Charges'!$A:$A,$A48,'Nursing Charges'!$C:$C,6))+(BG48-SUMIFS('Consumable Usage'!$F:$F,'Consumable Usage'!$A:$A,$A48,'Consumable Usage'!$D:$D,6)))</f>
        <v/>
      </c>
      <c r="BJ48" s="12" t="str">
        <f t="shared" si="16"/>
        <v/>
      </c>
      <c r="BK48" s="20"/>
      <c r="BL48" s="12" t="str">
        <f t="shared" si="17"/>
        <v/>
      </c>
      <c r="BM48" s="45" t="str">
        <f t="shared" si="18"/>
        <v/>
      </c>
      <c r="BN48" s="15"/>
      <c r="BO48" s="15"/>
      <c r="BP48" s="20"/>
      <c r="BQ48" s="12" t="str">
        <f>IF($A48="","",SUMIFS('Consumable Usage'!$E:$E,'Consumable Usage'!$A:$A,$A48,'Consumable Usage'!$D:$D,7))</f>
        <v/>
      </c>
      <c r="BR48" s="12" t="str">
        <f>IF($A48="","",SUMIFS('Nursing Charges'!$I:$I,'Nursing Charges'!$A:$A,$A48,'Nursing Charges'!$C:$C,7))</f>
        <v/>
      </c>
      <c r="BS48" s="12" t="str">
        <f>IF($A48="","",BP48+(BR48-SUMIFS('Nursing Charges'!$J:$J,'Nursing Charges'!$A:$A,$A48,'Nursing Charges'!$C:$C,7))+(BQ48-SUMIFS('Consumable Usage'!$F:$F,'Consumable Usage'!$A:$A,$A48,'Consumable Usage'!$D:$D,7)))</f>
        <v/>
      </c>
      <c r="BT48" s="12" t="str">
        <f t="shared" si="19"/>
        <v/>
      </c>
      <c r="BU48" s="20"/>
      <c r="BV48" s="12" t="str">
        <f t="shared" si="20"/>
        <v/>
      </c>
      <c r="BW48" s="45" t="str">
        <f t="shared" si="21"/>
        <v/>
      </c>
      <c r="BX48" s="15"/>
      <c r="BY48" s="15"/>
      <c r="BZ48" s="20"/>
      <c r="CA48" s="12" t="str">
        <f>IF($A48="","",SUMIFS('Consumable Usage'!$E:$E,'Consumable Usage'!$A:$A,$A48,'Consumable Usage'!$D:$D,8))</f>
        <v/>
      </c>
      <c r="CB48" s="12" t="str">
        <f>IF($A48="","",SUMIFS('Nursing Charges'!$I:$I,'Nursing Charges'!$A:$A,$A48,'Nursing Charges'!$C:$C,8))</f>
        <v/>
      </c>
      <c r="CC48" s="12" t="str">
        <f>IF($A48="","",BZ48+(CB48-SUMIFS('Nursing Charges'!$J:$J,'Nursing Charges'!$A:$A,$A48,'Nursing Charges'!$C:$C,8))+(CA48-SUMIFS('Consumable Usage'!$F:$F,'Consumable Usage'!$A:$A,$A48,'Consumable Usage'!$D:$D,8)))</f>
        <v/>
      </c>
      <c r="CD48" s="12" t="str">
        <f t="shared" si="22"/>
        <v/>
      </c>
      <c r="CE48" s="20"/>
      <c r="CF48" s="12" t="str">
        <f t="shared" si="23"/>
        <v/>
      </c>
      <c r="CG48" s="45" t="str">
        <f t="shared" si="24"/>
        <v/>
      </c>
      <c r="CH48" s="15"/>
      <c r="CI48" s="15"/>
      <c r="CJ48" s="20"/>
      <c r="CK48" s="12" t="str">
        <f>IF($A48="","",SUMIFS('Consumable Usage'!$E:$E,'Consumable Usage'!$A:$A,$A48,'Consumable Usage'!$D:$D,9))</f>
        <v/>
      </c>
      <c r="CL48" s="12" t="str">
        <f>IF($A48="","",SUMIFS('Nursing Charges'!$I:$I,'Nursing Charges'!$A:$A,$A48,'Nursing Charges'!$C:$C,9))</f>
        <v/>
      </c>
      <c r="CM48" s="12" t="str">
        <f>IF($A48="","",CJ48+(CL48-SUMIFS('Nursing Charges'!$J:$J,'Nursing Charges'!$A:$A,$A48,'Nursing Charges'!$C:$C,9))+(CK48-SUMIFS('Consumable Usage'!$F:$F,'Consumable Usage'!$A:$A,$A48,'Consumable Usage'!$D:$D,9)))</f>
        <v/>
      </c>
      <c r="CN48" s="12" t="str">
        <f t="shared" si="25"/>
        <v/>
      </c>
      <c r="CO48" s="20"/>
      <c r="CP48" s="12" t="str">
        <f t="shared" si="26"/>
        <v/>
      </c>
      <c r="CQ48" s="45" t="str">
        <f t="shared" si="27"/>
        <v/>
      </c>
      <c r="CR48" s="15"/>
      <c r="CS48" s="15"/>
      <c r="CT48" s="20"/>
      <c r="CU48" s="12" t="str">
        <f>IF($A48="","",SUMIFS('Consumable Usage'!$E:$E,'Consumable Usage'!$A:$A,$A48,'Consumable Usage'!$D:$D,10))</f>
        <v/>
      </c>
      <c r="CV48" s="12" t="str">
        <f>IF($A48="","",SUMIFS('Nursing Charges'!$I:$I,'Nursing Charges'!$A:$A,$A48,'Nursing Charges'!$C:$C,10))</f>
        <v/>
      </c>
      <c r="CW48" s="12" t="str">
        <f>IF($A48="","",CT48+(CV48-SUMIFS('Nursing Charges'!$J:$J,'Nursing Charges'!$A:$A,$A48,'Nursing Charges'!$C:$C,10))+(CU48-SUMIFS('Consumable Usage'!$F:$F,'Consumable Usage'!$A:$A,$A48,'Consumable Usage'!$D:$D,10)))</f>
        <v/>
      </c>
      <c r="CX48" s="12" t="str">
        <f t="shared" si="28"/>
        <v/>
      </c>
      <c r="CY48" s="20"/>
      <c r="CZ48" s="12" t="str">
        <f t="shared" si="29"/>
        <v/>
      </c>
      <c r="DA48" s="45" t="str">
        <f t="shared" si="30"/>
        <v/>
      </c>
      <c r="DB48" s="15"/>
      <c r="DC48" s="15"/>
      <c r="DD48" s="20"/>
      <c r="DE48" s="12" t="str">
        <f>IF($A48="","",SUMIFS('Consumable Usage'!$E:$E,'Consumable Usage'!$A:$A,$A48,'Consumable Usage'!$D:$D,11))</f>
        <v/>
      </c>
      <c r="DF48" s="12" t="str">
        <f>IF($A48="","",SUMIFS('Nursing Charges'!$I:$I,'Nursing Charges'!$A:$A,$A48,'Nursing Charges'!$C:$C,11))</f>
        <v/>
      </c>
      <c r="DG48" s="12" t="str">
        <f>IF($A48="","",DD48+(DF48-SUMIFS('Nursing Charges'!$J:$J,'Nursing Charges'!$A:$A,$A48,'Nursing Charges'!$C:$C,11))+(DE48-SUMIFS('Consumable Usage'!$F:$F,'Consumable Usage'!$A:$A,$A48,'Consumable Usage'!$D:$D,11)))</f>
        <v/>
      </c>
      <c r="DH48" s="12" t="str">
        <f t="shared" si="31"/>
        <v/>
      </c>
      <c r="DI48" s="20"/>
      <c r="DJ48" s="12" t="str">
        <f t="shared" si="32"/>
        <v/>
      </c>
      <c r="DK48" s="45" t="str">
        <f t="shared" si="33"/>
        <v/>
      </c>
      <c r="DL48" s="15"/>
      <c r="DM48" s="15"/>
      <c r="DN48" s="20"/>
      <c r="DO48" s="12" t="str">
        <f>IF($A48="","",SUMIFS('Consumable Usage'!$E:$E,'Consumable Usage'!$A:$A,$A48,'Consumable Usage'!$D:$D,12))</f>
        <v/>
      </c>
      <c r="DP48" s="12" t="str">
        <f>IF($A48="","",SUMIFS('Nursing Charges'!$I:$I,'Nursing Charges'!$A:$A,$A48,'Nursing Charges'!$C:$C,12))</f>
        <v/>
      </c>
      <c r="DQ48" s="12" t="str">
        <f>IF($A48="","",DN48+(DP48-SUMIFS('Nursing Charges'!$J:$J,'Nursing Charges'!$A:$A,$A48,'Nursing Charges'!$C:$C,12))+(DO48-SUMIFS('Consumable Usage'!$F:$F,'Consumable Usage'!$A:$A,$A48,'Consumable Usage'!$D:$D,12)))</f>
        <v/>
      </c>
      <c r="DR48" s="12" t="str">
        <f t="shared" si="34"/>
        <v/>
      </c>
      <c r="DS48" s="20"/>
      <c r="DT48" s="12" t="str">
        <f t="shared" si="35"/>
        <v/>
      </c>
      <c r="DU48" s="45" t="str">
        <f t="shared" si="36"/>
        <v/>
      </c>
      <c r="DV48" s="15"/>
      <c r="DW48" s="15"/>
      <c r="DX48" s="20"/>
      <c r="DY48" s="12" t="str">
        <f>IF($A48="","",SUMIFS('Consumable Usage'!$E:$E,'Consumable Usage'!$A:$A,$A48,'Consumable Usage'!$D:$D,13))</f>
        <v/>
      </c>
      <c r="DZ48" s="12" t="str">
        <f>IF($A48="","",SUMIFS('Nursing Charges'!$I:$I,'Nursing Charges'!$A:$A,$A48,'Nursing Charges'!$C:$C,13))</f>
        <v/>
      </c>
      <c r="EA48" s="12" t="str">
        <f>IF($A48="","",DX48+(DZ48-SUMIFS('Nursing Charges'!$J:$J,'Nursing Charges'!$A:$A,$A48,'Nursing Charges'!$C:$C,13))+(DY48-SUMIFS('Consumable Usage'!$F:$F,'Consumable Usage'!$A:$A,$A48,'Consumable Usage'!$D:$D,13)))</f>
        <v/>
      </c>
      <c r="EB48" s="12" t="str">
        <f t="shared" si="37"/>
        <v/>
      </c>
      <c r="EC48" s="20"/>
      <c r="ED48" s="12" t="str">
        <f t="shared" si="38"/>
        <v/>
      </c>
      <c r="EE48" s="45" t="str">
        <f t="shared" si="39"/>
        <v/>
      </c>
      <c r="EF48" s="15"/>
      <c r="EG48" s="15"/>
      <c r="EH48" s="20"/>
      <c r="EI48" s="12" t="str">
        <f>IF($A48="","",SUMIFS('Consumable Usage'!$E:$E,'Consumable Usage'!$A:$A,$A48,'Consumable Usage'!$D:$D,14))</f>
        <v/>
      </c>
      <c r="EJ48" s="12" t="str">
        <f>IF($A48="","",SUMIFS('Nursing Charges'!$I:$I,'Nursing Charges'!$A:$A,$A48,'Nursing Charges'!$C:$C,14))</f>
        <v/>
      </c>
      <c r="EK48" s="12" t="str">
        <f>IF($A48="","",EH48+(EJ48-SUMIFS('Nursing Charges'!$J:$J,'Nursing Charges'!$A:$A,$A48,'Nursing Charges'!$C:$C,14))+(EI48-SUMIFS('Consumable Usage'!$F:$F,'Consumable Usage'!$A:$A,$A48,'Consumable Usage'!$D:$D,14)))</f>
        <v/>
      </c>
      <c r="EL48" s="12" t="str">
        <f t="shared" si="40"/>
        <v/>
      </c>
      <c r="EM48" s="20"/>
      <c r="EN48" s="12" t="str">
        <f t="shared" si="41"/>
        <v/>
      </c>
      <c r="EO48" s="45" t="str">
        <f t="shared" si="42"/>
        <v/>
      </c>
      <c r="EP48" s="15"/>
      <c r="EQ48" s="15"/>
      <c r="ER48" s="20"/>
      <c r="ES48" s="12" t="str">
        <f>IF($A48="","",SUMIFS('Consumable Usage'!$E:$E,'Consumable Usage'!$A:$A,$A48,'Consumable Usage'!$D:$D,15))</f>
        <v/>
      </c>
      <c r="ET48" s="12" t="str">
        <f>IF($A48="","",SUMIFS('Nursing Charges'!$I:$I,'Nursing Charges'!$A:$A,$A48,'Nursing Charges'!$C:$C,15))</f>
        <v/>
      </c>
      <c r="EU48" s="12" t="str">
        <f>IF($A48="","",ER48+(ET48-SUMIFS('Nursing Charges'!$J:$J,'Nursing Charges'!$A:$A,$A48,'Nursing Charges'!$C:$C,15))+(ES48-SUMIFS('Consumable Usage'!$F:$F,'Consumable Usage'!$A:$A,$A48,'Consumable Usage'!$D:$D,15)))</f>
        <v/>
      </c>
      <c r="EV48" s="12" t="str">
        <f t="shared" si="43"/>
        <v/>
      </c>
      <c r="EW48" s="20"/>
      <c r="EX48" s="12" t="str">
        <f t="shared" si="44"/>
        <v/>
      </c>
      <c r="EY48" s="45" t="str">
        <f t="shared" si="45"/>
        <v/>
      </c>
      <c r="EZ48" s="15"/>
      <c r="FA48" s="15"/>
      <c r="FB48" s="20"/>
      <c r="FC48" s="12" t="str">
        <f>IF($A48="","",SUMIFS('Consumable Usage'!$E:$E,'Consumable Usage'!$A:$A,$A48,'Consumable Usage'!$D:$D,16))</f>
        <v/>
      </c>
      <c r="FD48" s="12" t="str">
        <f>IF($A48="","",SUMIFS('Nursing Charges'!$I:$I,'Nursing Charges'!$A:$A,$A48,'Nursing Charges'!$C:$C,16))</f>
        <v/>
      </c>
      <c r="FE48" s="12" t="str">
        <f>IF($A48="","",FB48+(FD48-SUMIFS('Nursing Charges'!$J:$J,'Nursing Charges'!$A:$A,$A48,'Nursing Charges'!$C:$C,16))+(FC48-SUMIFS('Consumable Usage'!$F:$F,'Consumable Usage'!$A:$A,$A48,'Consumable Usage'!$D:$D,16)))</f>
        <v/>
      </c>
      <c r="FF48" s="12" t="str">
        <f t="shared" si="46"/>
        <v/>
      </c>
      <c r="FG48" s="20"/>
      <c r="FH48" s="12" t="str">
        <f t="shared" si="47"/>
        <v/>
      </c>
      <c r="FI48" s="45" t="str">
        <f t="shared" si="48"/>
        <v/>
      </c>
      <c r="FJ48" s="53"/>
      <c r="FK48" s="53"/>
      <c r="FL48" s="63"/>
      <c r="FM48" s="63" t="str">
        <f>IF($A48="","",SUMIFS('Consumable Usage'!$E:$E,'Consumable Usage'!$A:$A,$A48,'Consumable Usage'!$D:$D,16))</f>
        <v/>
      </c>
      <c r="FN48" s="63" t="str">
        <f>IF($A48="","",SUMIFS('Nursing Charges'!$I:$I,'Nursing Charges'!$A:$A,$A48,'Nursing Charges'!$C:$C,16))</f>
        <v/>
      </c>
      <c r="FO48" s="63" t="str">
        <f>IF($A48="","",FL48+(FN48-SUMIFS('Nursing Charges'!$J:$J,'Nursing Charges'!$A:$A,$A48,'Nursing Charges'!$C:$C,16))+(FM48-SUMIFS('Consumable Usage'!$F:$F,'Consumable Usage'!$A:$A,$A48,'Consumable Usage'!$D:$D,16)))</f>
        <v/>
      </c>
      <c r="FP48" s="63" t="str">
        <f t="shared" si="49"/>
        <v/>
      </c>
      <c r="FQ48" s="63"/>
      <c r="FR48" s="63" t="str">
        <f t="shared" si="50"/>
        <v/>
      </c>
      <c r="FS48" s="53" t="str">
        <f t="shared" si="51"/>
        <v/>
      </c>
    </row>
    <row r="49" ht="15.0" customHeight="1">
      <c r="A49" s="15"/>
      <c r="B49" s="15"/>
      <c r="C49" s="15"/>
      <c r="D49" s="15"/>
      <c r="E49" s="15"/>
      <c r="F49" s="15"/>
      <c r="G49" s="15"/>
      <c r="H49" s="20"/>
      <c r="I49" s="12" t="str">
        <f>IF($A49="","",SUMIFS('Consumable Usage'!$E:$E,'Consumable Usage'!$A:$A,$A49,'Consumable Usage'!$D:$D,1))</f>
        <v/>
      </c>
      <c r="J49" s="12" t="str">
        <f>IF($A49="","",SUMIFS('Nursing Charges'!$I:$I,'Nursing Charges'!$A:$A,$A49,'Nursing Charges'!$C:$C,1))</f>
        <v/>
      </c>
      <c r="K49" s="12" t="str">
        <f>IF($A49="","",H49+(J49-SUMIFS('Nursing Charges'!$J:$J,'Nursing Charges'!$A:$A,$A49,'Nursing Charges'!$C:$C,1))+(I49-SUMIFS('Consumable Usage'!$F:$F,'Consumable Usage'!$A:$A,$A49,'Consumable Usage'!$D:$D,1)))</f>
        <v/>
      </c>
      <c r="L49" s="12" t="str">
        <f t="shared" si="1"/>
        <v/>
      </c>
      <c r="M49" s="20"/>
      <c r="N49" s="12" t="str">
        <f t="shared" si="2"/>
        <v/>
      </c>
      <c r="O49" s="45" t="str">
        <f t="shared" si="3"/>
        <v/>
      </c>
      <c r="P49" s="15"/>
      <c r="Q49" s="15"/>
      <c r="R49" s="20"/>
      <c r="S49" s="12" t="str">
        <f>IF($A49="","",SUMIFS('Consumable Usage'!$E:$E,'Consumable Usage'!$A:$A,$A49,'Consumable Usage'!$D:$D,2))</f>
        <v/>
      </c>
      <c r="T49" s="12" t="str">
        <f>IF($A49="","",SUMIFS('Nursing Charges'!$I:$I,'Nursing Charges'!$A:$A,$A49,'Nursing Charges'!$C:$C,2))</f>
        <v/>
      </c>
      <c r="U49" s="12" t="str">
        <f>IF($A49="","",R49+(T49-SUMIFS('Nursing Charges'!$J:$J,'Nursing Charges'!$A:$A,$A49,'Nursing Charges'!$C:$C,2))+(S49-SUMIFS('Consumable Usage'!$F:$F,'Consumable Usage'!$A:$A,$A49,'Consumable Usage'!$D:$D,2)))</f>
        <v/>
      </c>
      <c r="V49" s="12" t="str">
        <f t="shared" si="4"/>
        <v/>
      </c>
      <c r="W49" s="20"/>
      <c r="X49" s="12" t="str">
        <f t="shared" si="5"/>
        <v/>
      </c>
      <c r="Y49" s="45" t="str">
        <f t="shared" si="6"/>
        <v/>
      </c>
      <c r="Z49" s="15"/>
      <c r="AA49" s="15"/>
      <c r="AB49" s="20"/>
      <c r="AC49" s="12" t="str">
        <f>IF($A49="","",SUMIFS('Consumable Usage'!$E:$E,'Consumable Usage'!$A:$A,$A49,'Consumable Usage'!$D:$D,3))</f>
        <v/>
      </c>
      <c r="AD49" s="12" t="str">
        <f>IF($A49="","",SUMIFS('Nursing Charges'!$I:$I,'Nursing Charges'!$A:$A,$A49,'Nursing Charges'!$C:$C,3))</f>
        <v/>
      </c>
      <c r="AE49" s="12" t="str">
        <f>IF($A49="","",AB49+(AD49-SUMIFS('Nursing Charges'!$J:$J,'Nursing Charges'!$A:$A,$A49,'Nursing Charges'!$C:$C,3))+(AC49-SUMIFS('Consumable Usage'!$F:$F,'Consumable Usage'!$A:$A,$A49,'Consumable Usage'!$D:$D,3)))</f>
        <v/>
      </c>
      <c r="AF49" s="12" t="str">
        <f t="shared" si="7"/>
        <v/>
      </c>
      <c r="AG49" s="20"/>
      <c r="AH49" s="12" t="str">
        <f t="shared" si="8"/>
        <v/>
      </c>
      <c r="AI49" s="45" t="str">
        <f t="shared" si="9"/>
        <v/>
      </c>
      <c r="AJ49" s="15"/>
      <c r="AK49" s="15"/>
      <c r="AL49" s="20"/>
      <c r="AM49" s="12" t="str">
        <f>IF($A49="","",SUMIFS('Consumable Usage'!$E:$E,'Consumable Usage'!$A:$A,$A49,'Consumable Usage'!$D:$D,4))</f>
        <v/>
      </c>
      <c r="AN49" s="12" t="str">
        <f>IF($A49="","",SUMIFS('Nursing Charges'!$I:$I,'Nursing Charges'!$A:$A,$A49,'Nursing Charges'!$C:$C,4))</f>
        <v/>
      </c>
      <c r="AO49" s="12" t="str">
        <f>IF($A49="","",AL49+(AN49-SUMIFS('Nursing Charges'!$J:$J,'Nursing Charges'!$A:$A,$A49,'Nursing Charges'!$C:$C,4))+(AM49-SUMIFS('Consumable Usage'!$F:$F,'Consumable Usage'!$A:$A,$A49,'Consumable Usage'!$D:$D,4)))</f>
        <v/>
      </c>
      <c r="AP49" s="12" t="str">
        <f t="shared" si="10"/>
        <v/>
      </c>
      <c r="AQ49" s="20"/>
      <c r="AR49" s="12" t="str">
        <f t="shared" si="11"/>
        <v/>
      </c>
      <c r="AS49" s="45" t="str">
        <f t="shared" si="12"/>
        <v/>
      </c>
      <c r="AT49" s="15"/>
      <c r="AU49" s="15"/>
      <c r="AV49" s="20"/>
      <c r="AW49" s="12" t="str">
        <f>IF($A49="","",SUMIFS('Consumable Usage'!$E:$E,'Consumable Usage'!$A:$A,$A49,'Consumable Usage'!$D:$D,5))</f>
        <v/>
      </c>
      <c r="AX49" s="12" t="str">
        <f>IF($A49="","",SUMIFS('Nursing Charges'!$I:$I,'Nursing Charges'!$A:$A,$A49,'Nursing Charges'!$C:$C,5))</f>
        <v/>
      </c>
      <c r="AY49" s="12" t="str">
        <f>IF($A49="","",AV49+(AX49-SUMIFS('Nursing Charges'!$J:$J,'Nursing Charges'!$A:$A,$A49,'Nursing Charges'!$C:$C,5))+(AW49-SUMIFS('Consumable Usage'!$F:$F,'Consumable Usage'!$A:$A,$A49,'Consumable Usage'!$D:$D,5)))</f>
        <v/>
      </c>
      <c r="AZ49" s="12" t="str">
        <f t="shared" si="13"/>
        <v/>
      </c>
      <c r="BA49" s="20"/>
      <c r="BB49" s="12" t="str">
        <f t="shared" si="14"/>
        <v/>
      </c>
      <c r="BC49" s="45" t="str">
        <f t="shared" si="15"/>
        <v/>
      </c>
      <c r="BD49" s="15"/>
      <c r="BE49" s="15"/>
      <c r="BF49" s="20"/>
      <c r="BG49" s="12" t="str">
        <f>IF($A49="","",SUMIFS('Consumable Usage'!$E:$E,'Consumable Usage'!$A:$A,$A49,'Consumable Usage'!$D:$D,6))</f>
        <v/>
      </c>
      <c r="BH49" s="12" t="str">
        <f>IF($A49="","",SUMIFS('Nursing Charges'!$I:$I,'Nursing Charges'!$A:$A,$A49,'Nursing Charges'!$C:$C,6))</f>
        <v/>
      </c>
      <c r="BI49" s="12" t="str">
        <f>IF($A49="","",BF49+(BH49-SUMIFS('Nursing Charges'!$J:$J,'Nursing Charges'!$A:$A,$A49,'Nursing Charges'!$C:$C,6))+(BG49-SUMIFS('Consumable Usage'!$F:$F,'Consumable Usage'!$A:$A,$A49,'Consumable Usage'!$D:$D,6)))</f>
        <v/>
      </c>
      <c r="BJ49" s="12" t="str">
        <f t="shared" si="16"/>
        <v/>
      </c>
      <c r="BK49" s="20"/>
      <c r="BL49" s="12" t="str">
        <f t="shared" si="17"/>
        <v/>
      </c>
      <c r="BM49" s="45" t="str">
        <f t="shared" si="18"/>
        <v/>
      </c>
      <c r="BN49" s="15"/>
      <c r="BO49" s="15"/>
      <c r="BP49" s="20"/>
      <c r="BQ49" s="12" t="str">
        <f>IF($A49="","",SUMIFS('Consumable Usage'!$E:$E,'Consumable Usage'!$A:$A,$A49,'Consumable Usage'!$D:$D,7))</f>
        <v/>
      </c>
      <c r="BR49" s="12" t="str">
        <f>IF($A49="","",SUMIFS('Nursing Charges'!$I:$I,'Nursing Charges'!$A:$A,$A49,'Nursing Charges'!$C:$C,7))</f>
        <v/>
      </c>
      <c r="BS49" s="12" t="str">
        <f>IF($A49="","",BP49+(BR49-SUMIFS('Nursing Charges'!$J:$J,'Nursing Charges'!$A:$A,$A49,'Nursing Charges'!$C:$C,7))+(BQ49-SUMIFS('Consumable Usage'!$F:$F,'Consumable Usage'!$A:$A,$A49,'Consumable Usage'!$D:$D,7)))</f>
        <v/>
      </c>
      <c r="BT49" s="12" t="str">
        <f t="shared" si="19"/>
        <v/>
      </c>
      <c r="BU49" s="20"/>
      <c r="BV49" s="12" t="str">
        <f t="shared" si="20"/>
        <v/>
      </c>
      <c r="BW49" s="45" t="str">
        <f t="shared" si="21"/>
        <v/>
      </c>
      <c r="BX49" s="15"/>
      <c r="BY49" s="15"/>
      <c r="BZ49" s="20"/>
      <c r="CA49" s="12" t="str">
        <f>IF($A49="","",SUMIFS('Consumable Usage'!$E:$E,'Consumable Usage'!$A:$A,$A49,'Consumable Usage'!$D:$D,8))</f>
        <v/>
      </c>
      <c r="CB49" s="12" t="str">
        <f>IF($A49="","",SUMIFS('Nursing Charges'!$I:$I,'Nursing Charges'!$A:$A,$A49,'Nursing Charges'!$C:$C,8))</f>
        <v/>
      </c>
      <c r="CC49" s="12" t="str">
        <f>IF($A49="","",BZ49+(CB49-SUMIFS('Nursing Charges'!$J:$J,'Nursing Charges'!$A:$A,$A49,'Nursing Charges'!$C:$C,8))+(CA49-SUMIFS('Consumable Usage'!$F:$F,'Consumable Usage'!$A:$A,$A49,'Consumable Usage'!$D:$D,8)))</f>
        <v/>
      </c>
      <c r="CD49" s="12" t="str">
        <f t="shared" si="22"/>
        <v/>
      </c>
      <c r="CE49" s="20"/>
      <c r="CF49" s="12" t="str">
        <f t="shared" si="23"/>
        <v/>
      </c>
      <c r="CG49" s="45" t="str">
        <f t="shared" si="24"/>
        <v/>
      </c>
      <c r="CH49" s="15"/>
      <c r="CI49" s="15"/>
      <c r="CJ49" s="20"/>
      <c r="CK49" s="12" t="str">
        <f>IF($A49="","",SUMIFS('Consumable Usage'!$E:$E,'Consumable Usage'!$A:$A,$A49,'Consumable Usage'!$D:$D,9))</f>
        <v/>
      </c>
      <c r="CL49" s="12" t="str">
        <f>IF($A49="","",SUMIFS('Nursing Charges'!$I:$I,'Nursing Charges'!$A:$A,$A49,'Nursing Charges'!$C:$C,9))</f>
        <v/>
      </c>
      <c r="CM49" s="12" t="str">
        <f>IF($A49="","",CJ49+(CL49-SUMIFS('Nursing Charges'!$J:$J,'Nursing Charges'!$A:$A,$A49,'Nursing Charges'!$C:$C,9))+(CK49-SUMIFS('Consumable Usage'!$F:$F,'Consumable Usage'!$A:$A,$A49,'Consumable Usage'!$D:$D,9)))</f>
        <v/>
      </c>
      <c r="CN49" s="12" t="str">
        <f t="shared" si="25"/>
        <v/>
      </c>
      <c r="CO49" s="20"/>
      <c r="CP49" s="12" t="str">
        <f t="shared" si="26"/>
        <v/>
      </c>
      <c r="CQ49" s="45" t="str">
        <f t="shared" si="27"/>
        <v/>
      </c>
      <c r="CR49" s="15"/>
      <c r="CS49" s="15"/>
      <c r="CT49" s="20"/>
      <c r="CU49" s="12" t="str">
        <f>IF($A49="","",SUMIFS('Consumable Usage'!$E:$E,'Consumable Usage'!$A:$A,$A49,'Consumable Usage'!$D:$D,10))</f>
        <v/>
      </c>
      <c r="CV49" s="12" t="str">
        <f>IF($A49="","",SUMIFS('Nursing Charges'!$I:$I,'Nursing Charges'!$A:$A,$A49,'Nursing Charges'!$C:$C,10))</f>
        <v/>
      </c>
      <c r="CW49" s="12" t="str">
        <f>IF($A49="","",CT49+(CV49-SUMIFS('Nursing Charges'!$J:$J,'Nursing Charges'!$A:$A,$A49,'Nursing Charges'!$C:$C,10))+(CU49-SUMIFS('Consumable Usage'!$F:$F,'Consumable Usage'!$A:$A,$A49,'Consumable Usage'!$D:$D,10)))</f>
        <v/>
      </c>
      <c r="CX49" s="12" t="str">
        <f t="shared" si="28"/>
        <v/>
      </c>
      <c r="CY49" s="20"/>
      <c r="CZ49" s="12" t="str">
        <f t="shared" si="29"/>
        <v/>
      </c>
      <c r="DA49" s="45" t="str">
        <f t="shared" si="30"/>
        <v/>
      </c>
      <c r="DB49" s="15"/>
      <c r="DC49" s="15"/>
      <c r="DD49" s="20"/>
      <c r="DE49" s="12" t="str">
        <f>IF($A49="","",SUMIFS('Consumable Usage'!$E:$E,'Consumable Usage'!$A:$A,$A49,'Consumable Usage'!$D:$D,11))</f>
        <v/>
      </c>
      <c r="DF49" s="12" t="str">
        <f>IF($A49="","",SUMIFS('Nursing Charges'!$I:$I,'Nursing Charges'!$A:$A,$A49,'Nursing Charges'!$C:$C,11))</f>
        <v/>
      </c>
      <c r="DG49" s="12" t="str">
        <f>IF($A49="","",DD49+(DF49-SUMIFS('Nursing Charges'!$J:$J,'Nursing Charges'!$A:$A,$A49,'Nursing Charges'!$C:$C,11))+(DE49-SUMIFS('Consumable Usage'!$F:$F,'Consumable Usage'!$A:$A,$A49,'Consumable Usage'!$D:$D,11)))</f>
        <v/>
      </c>
      <c r="DH49" s="12" t="str">
        <f t="shared" si="31"/>
        <v/>
      </c>
      <c r="DI49" s="20"/>
      <c r="DJ49" s="12" t="str">
        <f t="shared" si="32"/>
        <v/>
      </c>
      <c r="DK49" s="45" t="str">
        <f t="shared" si="33"/>
        <v/>
      </c>
      <c r="DL49" s="15"/>
      <c r="DM49" s="15"/>
      <c r="DN49" s="20"/>
      <c r="DO49" s="12" t="str">
        <f>IF($A49="","",SUMIFS('Consumable Usage'!$E:$E,'Consumable Usage'!$A:$A,$A49,'Consumable Usage'!$D:$D,12))</f>
        <v/>
      </c>
      <c r="DP49" s="12" t="str">
        <f>IF($A49="","",SUMIFS('Nursing Charges'!$I:$I,'Nursing Charges'!$A:$A,$A49,'Nursing Charges'!$C:$C,12))</f>
        <v/>
      </c>
      <c r="DQ49" s="12" t="str">
        <f>IF($A49="","",DN49+(DP49-SUMIFS('Nursing Charges'!$J:$J,'Nursing Charges'!$A:$A,$A49,'Nursing Charges'!$C:$C,12))+(DO49-SUMIFS('Consumable Usage'!$F:$F,'Consumable Usage'!$A:$A,$A49,'Consumable Usage'!$D:$D,12)))</f>
        <v/>
      </c>
      <c r="DR49" s="12" t="str">
        <f t="shared" si="34"/>
        <v/>
      </c>
      <c r="DS49" s="20"/>
      <c r="DT49" s="12" t="str">
        <f t="shared" si="35"/>
        <v/>
      </c>
      <c r="DU49" s="45" t="str">
        <f t="shared" si="36"/>
        <v/>
      </c>
      <c r="DV49" s="15"/>
      <c r="DW49" s="15"/>
      <c r="DX49" s="20"/>
      <c r="DY49" s="12" t="str">
        <f>IF($A49="","",SUMIFS('Consumable Usage'!$E:$E,'Consumable Usage'!$A:$A,$A49,'Consumable Usage'!$D:$D,13))</f>
        <v/>
      </c>
      <c r="DZ49" s="12" t="str">
        <f>IF($A49="","",SUMIFS('Nursing Charges'!$I:$I,'Nursing Charges'!$A:$A,$A49,'Nursing Charges'!$C:$C,13))</f>
        <v/>
      </c>
      <c r="EA49" s="12" t="str">
        <f>IF($A49="","",DX49+(DZ49-SUMIFS('Nursing Charges'!$J:$J,'Nursing Charges'!$A:$A,$A49,'Nursing Charges'!$C:$C,13))+(DY49-SUMIFS('Consumable Usage'!$F:$F,'Consumable Usage'!$A:$A,$A49,'Consumable Usage'!$D:$D,13)))</f>
        <v/>
      </c>
      <c r="EB49" s="12" t="str">
        <f t="shared" si="37"/>
        <v/>
      </c>
      <c r="EC49" s="20"/>
      <c r="ED49" s="12" t="str">
        <f t="shared" si="38"/>
        <v/>
      </c>
      <c r="EE49" s="45" t="str">
        <f t="shared" si="39"/>
        <v/>
      </c>
      <c r="EF49" s="15"/>
      <c r="EG49" s="15"/>
      <c r="EH49" s="20"/>
      <c r="EI49" s="12" t="str">
        <f>IF($A49="","",SUMIFS('Consumable Usage'!$E:$E,'Consumable Usage'!$A:$A,$A49,'Consumable Usage'!$D:$D,14))</f>
        <v/>
      </c>
      <c r="EJ49" s="12" t="str">
        <f>IF($A49="","",SUMIFS('Nursing Charges'!$I:$I,'Nursing Charges'!$A:$A,$A49,'Nursing Charges'!$C:$C,14))</f>
        <v/>
      </c>
      <c r="EK49" s="12" t="str">
        <f>IF($A49="","",EH49+(EJ49-SUMIFS('Nursing Charges'!$J:$J,'Nursing Charges'!$A:$A,$A49,'Nursing Charges'!$C:$C,14))+(EI49-SUMIFS('Consumable Usage'!$F:$F,'Consumable Usage'!$A:$A,$A49,'Consumable Usage'!$D:$D,14)))</f>
        <v/>
      </c>
      <c r="EL49" s="12" t="str">
        <f t="shared" si="40"/>
        <v/>
      </c>
      <c r="EM49" s="20"/>
      <c r="EN49" s="12" t="str">
        <f t="shared" si="41"/>
        <v/>
      </c>
      <c r="EO49" s="45" t="str">
        <f t="shared" si="42"/>
        <v/>
      </c>
      <c r="EP49" s="15"/>
      <c r="EQ49" s="15"/>
      <c r="ER49" s="20"/>
      <c r="ES49" s="12" t="str">
        <f>IF($A49="","",SUMIFS('Consumable Usage'!$E:$E,'Consumable Usage'!$A:$A,$A49,'Consumable Usage'!$D:$D,15))</f>
        <v/>
      </c>
      <c r="ET49" s="12" t="str">
        <f>IF($A49="","",SUMIFS('Nursing Charges'!$I:$I,'Nursing Charges'!$A:$A,$A49,'Nursing Charges'!$C:$C,15))</f>
        <v/>
      </c>
      <c r="EU49" s="12" t="str">
        <f>IF($A49="","",ER49+(ET49-SUMIFS('Nursing Charges'!$J:$J,'Nursing Charges'!$A:$A,$A49,'Nursing Charges'!$C:$C,15))+(ES49-SUMIFS('Consumable Usage'!$F:$F,'Consumable Usage'!$A:$A,$A49,'Consumable Usage'!$D:$D,15)))</f>
        <v/>
      </c>
      <c r="EV49" s="12" t="str">
        <f t="shared" si="43"/>
        <v/>
      </c>
      <c r="EW49" s="20"/>
      <c r="EX49" s="12" t="str">
        <f t="shared" si="44"/>
        <v/>
      </c>
      <c r="EY49" s="45" t="str">
        <f t="shared" si="45"/>
        <v/>
      </c>
      <c r="EZ49" s="15"/>
      <c r="FA49" s="15"/>
      <c r="FB49" s="20"/>
      <c r="FC49" s="12" t="str">
        <f>IF($A49="","",SUMIFS('Consumable Usage'!$E:$E,'Consumable Usage'!$A:$A,$A49,'Consumable Usage'!$D:$D,16))</f>
        <v/>
      </c>
      <c r="FD49" s="12" t="str">
        <f>IF($A49="","",SUMIFS('Nursing Charges'!$I:$I,'Nursing Charges'!$A:$A,$A49,'Nursing Charges'!$C:$C,16))</f>
        <v/>
      </c>
      <c r="FE49" s="12" t="str">
        <f>IF($A49="","",FB49+(FD49-SUMIFS('Nursing Charges'!$J:$J,'Nursing Charges'!$A:$A,$A49,'Nursing Charges'!$C:$C,16))+(FC49-SUMIFS('Consumable Usage'!$F:$F,'Consumable Usage'!$A:$A,$A49,'Consumable Usage'!$D:$D,16)))</f>
        <v/>
      </c>
      <c r="FF49" s="12" t="str">
        <f t="shared" si="46"/>
        <v/>
      </c>
      <c r="FG49" s="20"/>
      <c r="FH49" s="12" t="str">
        <f t="shared" si="47"/>
        <v/>
      </c>
      <c r="FI49" s="45" t="str">
        <f t="shared" si="48"/>
        <v/>
      </c>
      <c r="FJ49" s="53"/>
      <c r="FK49" s="53"/>
      <c r="FL49" s="63"/>
      <c r="FM49" s="63" t="str">
        <f>IF($A49="","",SUMIFS('Consumable Usage'!$E:$E,'Consumable Usage'!$A:$A,$A49,'Consumable Usage'!$D:$D,16))</f>
        <v/>
      </c>
      <c r="FN49" s="63" t="str">
        <f>IF($A49="","",SUMIFS('Nursing Charges'!$I:$I,'Nursing Charges'!$A:$A,$A49,'Nursing Charges'!$C:$C,16))</f>
        <v/>
      </c>
      <c r="FO49" s="63" t="str">
        <f>IF($A49="","",FL49+(FN49-SUMIFS('Nursing Charges'!$J:$J,'Nursing Charges'!$A:$A,$A49,'Nursing Charges'!$C:$C,16))+(FM49-SUMIFS('Consumable Usage'!$F:$F,'Consumable Usage'!$A:$A,$A49,'Consumable Usage'!$D:$D,16)))</f>
        <v/>
      </c>
      <c r="FP49" s="63" t="str">
        <f t="shared" si="49"/>
        <v/>
      </c>
      <c r="FQ49" s="63"/>
      <c r="FR49" s="63" t="str">
        <f t="shared" si="50"/>
        <v/>
      </c>
      <c r="FS49" s="53" t="str">
        <f t="shared" si="51"/>
        <v/>
      </c>
    </row>
    <row r="50" ht="15.0" customHeight="1">
      <c r="A50" s="15"/>
      <c r="B50" s="15"/>
      <c r="C50" s="15"/>
      <c r="D50" s="15"/>
      <c r="E50" s="15"/>
      <c r="F50" s="15"/>
      <c r="G50" s="15"/>
      <c r="H50" s="20"/>
      <c r="I50" s="12" t="str">
        <f>IF($A50="","",SUMIFS('Consumable Usage'!$E:$E,'Consumable Usage'!$A:$A,$A50,'Consumable Usage'!$D:$D,1))</f>
        <v/>
      </c>
      <c r="J50" s="12" t="str">
        <f>IF($A50="","",SUMIFS('Nursing Charges'!$I:$I,'Nursing Charges'!$A:$A,$A50,'Nursing Charges'!$C:$C,1))</f>
        <v/>
      </c>
      <c r="K50" s="12" t="str">
        <f>IF($A50="","",H50+(J50-SUMIFS('Nursing Charges'!$J:$J,'Nursing Charges'!$A:$A,$A50,'Nursing Charges'!$C:$C,1))+(I50-SUMIFS('Consumable Usage'!$F:$F,'Consumable Usage'!$A:$A,$A50,'Consumable Usage'!$D:$D,1)))</f>
        <v/>
      </c>
      <c r="L50" s="12" t="str">
        <f t="shared" si="1"/>
        <v/>
      </c>
      <c r="M50" s="20"/>
      <c r="N50" s="12" t="str">
        <f t="shared" si="2"/>
        <v/>
      </c>
      <c r="O50" s="45" t="str">
        <f t="shared" si="3"/>
        <v/>
      </c>
      <c r="P50" s="15"/>
      <c r="Q50" s="15"/>
      <c r="R50" s="20"/>
      <c r="S50" s="12" t="str">
        <f>IF($A50="","",SUMIFS('Consumable Usage'!$E:$E,'Consumable Usage'!$A:$A,$A50,'Consumable Usage'!$D:$D,2))</f>
        <v/>
      </c>
      <c r="T50" s="12" t="str">
        <f>IF($A50="","",SUMIFS('Nursing Charges'!$I:$I,'Nursing Charges'!$A:$A,$A50,'Nursing Charges'!$C:$C,2))</f>
        <v/>
      </c>
      <c r="U50" s="12" t="str">
        <f>IF($A50="","",R50+(T50-SUMIFS('Nursing Charges'!$J:$J,'Nursing Charges'!$A:$A,$A50,'Nursing Charges'!$C:$C,2))+(S50-SUMIFS('Consumable Usage'!$F:$F,'Consumable Usage'!$A:$A,$A50,'Consumable Usage'!$D:$D,2)))</f>
        <v/>
      </c>
      <c r="V50" s="12" t="str">
        <f t="shared" si="4"/>
        <v/>
      </c>
      <c r="W50" s="20"/>
      <c r="X50" s="12" t="str">
        <f t="shared" si="5"/>
        <v/>
      </c>
      <c r="Y50" s="45" t="str">
        <f t="shared" si="6"/>
        <v/>
      </c>
      <c r="Z50" s="15"/>
      <c r="AA50" s="15"/>
      <c r="AB50" s="20"/>
      <c r="AC50" s="12" t="str">
        <f>IF($A50="","",SUMIFS('Consumable Usage'!$E:$E,'Consumable Usage'!$A:$A,$A50,'Consumable Usage'!$D:$D,3))</f>
        <v/>
      </c>
      <c r="AD50" s="12" t="str">
        <f>IF($A50="","",SUMIFS('Nursing Charges'!$I:$I,'Nursing Charges'!$A:$A,$A50,'Nursing Charges'!$C:$C,3))</f>
        <v/>
      </c>
      <c r="AE50" s="12" t="str">
        <f>IF($A50="","",AB50+(AD50-SUMIFS('Nursing Charges'!$J:$J,'Nursing Charges'!$A:$A,$A50,'Nursing Charges'!$C:$C,3))+(AC50-SUMIFS('Consumable Usage'!$F:$F,'Consumable Usage'!$A:$A,$A50,'Consumable Usage'!$D:$D,3)))</f>
        <v/>
      </c>
      <c r="AF50" s="12" t="str">
        <f t="shared" si="7"/>
        <v/>
      </c>
      <c r="AG50" s="20"/>
      <c r="AH50" s="12" t="str">
        <f t="shared" si="8"/>
        <v/>
      </c>
      <c r="AI50" s="45" t="str">
        <f t="shared" si="9"/>
        <v/>
      </c>
      <c r="AJ50" s="15"/>
      <c r="AK50" s="15"/>
      <c r="AL50" s="20"/>
      <c r="AM50" s="12" t="str">
        <f>IF($A50="","",SUMIFS('Consumable Usage'!$E:$E,'Consumable Usage'!$A:$A,$A50,'Consumable Usage'!$D:$D,4))</f>
        <v/>
      </c>
      <c r="AN50" s="12" t="str">
        <f>IF($A50="","",SUMIFS('Nursing Charges'!$I:$I,'Nursing Charges'!$A:$A,$A50,'Nursing Charges'!$C:$C,4))</f>
        <v/>
      </c>
      <c r="AO50" s="12" t="str">
        <f>IF($A50="","",AL50+(AN50-SUMIFS('Nursing Charges'!$J:$J,'Nursing Charges'!$A:$A,$A50,'Nursing Charges'!$C:$C,4))+(AM50-SUMIFS('Consumable Usage'!$F:$F,'Consumable Usage'!$A:$A,$A50,'Consumable Usage'!$D:$D,4)))</f>
        <v/>
      </c>
      <c r="AP50" s="12" t="str">
        <f t="shared" si="10"/>
        <v/>
      </c>
      <c r="AQ50" s="20"/>
      <c r="AR50" s="12" t="str">
        <f t="shared" si="11"/>
        <v/>
      </c>
      <c r="AS50" s="45" t="str">
        <f t="shared" si="12"/>
        <v/>
      </c>
      <c r="AT50" s="15"/>
      <c r="AU50" s="15"/>
      <c r="AV50" s="20"/>
      <c r="AW50" s="12" t="str">
        <f>IF($A50="","",SUMIFS('Consumable Usage'!$E:$E,'Consumable Usage'!$A:$A,$A50,'Consumable Usage'!$D:$D,5))</f>
        <v/>
      </c>
      <c r="AX50" s="12" t="str">
        <f>IF($A50="","",SUMIFS('Nursing Charges'!$I:$I,'Nursing Charges'!$A:$A,$A50,'Nursing Charges'!$C:$C,5))</f>
        <v/>
      </c>
      <c r="AY50" s="12" t="str">
        <f>IF($A50="","",AV50+(AX50-SUMIFS('Nursing Charges'!$J:$J,'Nursing Charges'!$A:$A,$A50,'Nursing Charges'!$C:$C,5))+(AW50-SUMIFS('Consumable Usage'!$F:$F,'Consumable Usage'!$A:$A,$A50,'Consumable Usage'!$D:$D,5)))</f>
        <v/>
      </c>
      <c r="AZ50" s="12" t="str">
        <f t="shared" si="13"/>
        <v/>
      </c>
      <c r="BA50" s="20"/>
      <c r="BB50" s="12" t="str">
        <f t="shared" si="14"/>
        <v/>
      </c>
      <c r="BC50" s="45" t="str">
        <f t="shared" si="15"/>
        <v/>
      </c>
      <c r="BD50" s="15"/>
      <c r="BE50" s="15"/>
      <c r="BF50" s="20"/>
      <c r="BG50" s="12" t="str">
        <f>IF($A50="","",SUMIFS('Consumable Usage'!$E:$E,'Consumable Usage'!$A:$A,$A50,'Consumable Usage'!$D:$D,6))</f>
        <v/>
      </c>
      <c r="BH50" s="12" t="str">
        <f>IF($A50="","",SUMIFS('Nursing Charges'!$I:$I,'Nursing Charges'!$A:$A,$A50,'Nursing Charges'!$C:$C,6))</f>
        <v/>
      </c>
      <c r="BI50" s="12" t="str">
        <f>IF($A50="","",BF50+(BH50-SUMIFS('Nursing Charges'!$J:$J,'Nursing Charges'!$A:$A,$A50,'Nursing Charges'!$C:$C,6))+(BG50-SUMIFS('Consumable Usage'!$F:$F,'Consumable Usage'!$A:$A,$A50,'Consumable Usage'!$D:$D,6)))</f>
        <v/>
      </c>
      <c r="BJ50" s="12" t="str">
        <f t="shared" si="16"/>
        <v/>
      </c>
      <c r="BK50" s="20"/>
      <c r="BL50" s="12" t="str">
        <f t="shared" si="17"/>
        <v/>
      </c>
      <c r="BM50" s="45" t="str">
        <f t="shared" si="18"/>
        <v/>
      </c>
      <c r="BN50" s="15"/>
      <c r="BO50" s="15"/>
      <c r="BP50" s="20"/>
      <c r="BQ50" s="12" t="str">
        <f>IF($A50="","",SUMIFS('Consumable Usage'!$E:$E,'Consumable Usage'!$A:$A,$A50,'Consumable Usage'!$D:$D,7))</f>
        <v/>
      </c>
      <c r="BR50" s="12" t="str">
        <f>IF($A50="","",SUMIFS('Nursing Charges'!$I:$I,'Nursing Charges'!$A:$A,$A50,'Nursing Charges'!$C:$C,7))</f>
        <v/>
      </c>
      <c r="BS50" s="12" t="str">
        <f>IF($A50="","",BP50+(BR50-SUMIFS('Nursing Charges'!$J:$J,'Nursing Charges'!$A:$A,$A50,'Nursing Charges'!$C:$C,7))+(BQ50-SUMIFS('Consumable Usage'!$F:$F,'Consumable Usage'!$A:$A,$A50,'Consumable Usage'!$D:$D,7)))</f>
        <v/>
      </c>
      <c r="BT50" s="12" t="str">
        <f t="shared" si="19"/>
        <v/>
      </c>
      <c r="BU50" s="20"/>
      <c r="BV50" s="12" t="str">
        <f t="shared" si="20"/>
        <v/>
      </c>
      <c r="BW50" s="45" t="str">
        <f t="shared" si="21"/>
        <v/>
      </c>
      <c r="BX50" s="15"/>
      <c r="BY50" s="15"/>
      <c r="BZ50" s="20"/>
      <c r="CA50" s="12" t="str">
        <f>IF($A50="","",SUMIFS('Consumable Usage'!$E:$E,'Consumable Usage'!$A:$A,$A50,'Consumable Usage'!$D:$D,8))</f>
        <v/>
      </c>
      <c r="CB50" s="12" t="str">
        <f>IF($A50="","",SUMIFS('Nursing Charges'!$I:$I,'Nursing Charges'!$A:$A,$A50,'Nursing Charges'!$C:$C,8))</f>
        <v/>
      </c>
      <c r="CC50" s="12" t="str">
        <f>IF($A50="","",BZ50+(CB50-SUMIFS('Nursing Charges'!$J:$J,'Nursing Charges'!$A:$A,$A50,'Nursing Charges'!$C:$C,8))+(CA50-SUMIFS('Consumable Usage'!$F:$F,'Consumable Usage'!$A:$A,$A50,'Consumable Usage'!$D:$D,8)))</f>
        <v/>
      </c>
      <c r="CD50" s="12" t="str">
        <f t="shared" si="22"/>
        <v/>
      </c>
      <c r="CE50" s="20"/>
      <c r="CF50" s="12" t="str">
        <f t="shared" si="23"/>
        <v/>
      </c>
      <c r="CG50" s="45" t="str">
        <f t="shared" si="24"/>
        <v/>
      </c>
      <c r="CH50" s="15"/>
      <c r="CI50" s="15"/>
      <c r="CJ50" s="20"/>
      <c r="CK50" s="12" t="str">
        <f>IF($A50="","",SUMIFS('Consumable Usage'!$E:$E,'Consumable Usage'!$A:$A,$A50,'Consumable Usage'!$D:$D,9))</f>
        <v/>
      </c>
      <c r="CL50" s="12" t="str">
        <f>IF($A50="","",SUMIFS('Nursing Charges'!$I:$I,'Nursing Charges'!$A:$A,$A50,'Nursing Charges'!$C:$C,9))</f>
        <v/>
      </c>
      <c r="CM50" s="12" t="str">
        <f>IF($A50="","",CJ50+(CL50-SUMIFS('Nursing Charges'!$J:$J,'Nursing Charges'!$A:$A,$A50,'Nursing Charges'!$C:$C,9))+(CK50-SUMIFS('Consumable Usage'!$F:$F,'Consumable Usage'!$A:$A,$A50,'Consumable Usage'!$D:$D,9)))</f>
        <v/>
      </c>
      <c r="CN50" s="12" t="str">
        <f t="shared" si="25"/>
        <v/>
      </c>
      <c r="CO50" s="20"/>
      <c r="CP50" s="12" t="str">
        <f t="shared" si="26"/>
        <v/>
      </c>
      <c r="CQ50" s="45" t="str">
        <f t="shared" si="27"/>
        <v/>
      </c>
      <c r="CR50" s="15"/>
      <c r="CS50" s="15"/>
      <c r="CT50" s="20"/>
      <c r="CU50" s="12" t="str">
        <f>IF($A50="","",SUMIFS('Consumable Usage'!$E:$E,'Consumable Usage'!$A:$A,$A50,'Consumable Usage'!$D:$D,10))</f>
        <v/>
      </c>
      <c r="CV50" s="12" t="str">
        <f>IF($A50="","",SUMIFS('Nursing Charges'!$I:$I,'Nursing Charges'!$A:$A,$A50,'Nursing Charges'!$C:$C,10))</f>
        <v/>
      </c>
      <c r="CW50" s="12" t="str">
        <f>IF($A50="","",CT50+(CV50-SUMIFS('Nursing Charges'!$J:$J,'Nursing Charges'!$A:$A,$A50,'Nursing Charges'!$C:$C,10))+(CU50-SUMIFS('Consumable Usage'!$F:$F,'Consumable Usage'!$A:$A,$A50,'Consumable Usage'!$D:$D,10)))</f>
        <v/>
      </c>
      <c r="CX50" s="12" t="str">
        <f t="shared" si="28"/>
        <v/>
      </c>
      <c r="CY50" s="20"/>
      <c r="CZ50" s="12" t="str">
        <f t="shared" si="29"/>
        <v/>
      </c>
      <c r="DA50" s="45" t="str">
        <f t="shared" si="30"/>
        <v/>
      </c>
      <c r="DB50" s="15"/>
      <c r="DC50" s="15"/>
      <c r="DD50" s="20"/>
      <c r="DE50" s="12" t="str">
        <f>IF($A50="","",SUMIFS('Consumable Usage'!$E:$E,'Consumable Usage'!$A:$A,$A50,'Consumable Usage'!$D:$D,11))</f>
        <v/>
      </c>
      <c r="DF50" s="12" t="str">
        <f>IF($A50="","",SUMIFS('Nursing Charges'!$I:$I,'Nursing Charges'!$A:$A,$A50,'Nursing Charges'!$C:$C,11))</f>
        <v/>
      </c>
      <c r="DG50" s="12" t="str">
        <f>IF($A50="","",DD50+(DF50-SUMIFS('Nursing Charges'!$J:$J,'Nursing Charges'!$A:$A,$A50,'Nursing Charges'!$C:$C,11))+(DE50-SUMIFS('Consumable Usage'!$F:$F,'Consumable Usage'!$A:$A,$A50,'Consumable Usage'!$D:$D,11)))</f>
        <v/>
      </c>
      <c r="DH50" s="12" t="str">
        <f t="shared" si="31"/>
        <v/>
      </c>
      <c r="DI50" s="20"/>
      <c r="DJ50" s="12" t="str">
        <f t="shared" si="32"/>
        <v/>
      </c>
      <c r="DK50" s="45" t="str">
        <f t="shared" si="33"/>
        <v/>
      </c>
      <c r="DL50" s="15"/>
      <c r="DM50" s="15"/>
      <c r="DN50" s="20"/>
      <c r="DO50" s="12" t="str">
        <f>IF($A50="","",SUMIFS('Consumable Usage'!$E:$E,'Consumable Usage'!$A:$A,$A50,'Consumable Usage'!$D:$D,12))</f>
        <v/>
      </c>
      <c r="DP50" s="12" t="str">
        <f>IF($A50="","",SUMIFS('Nursing Charges'!$I:$I,'Nursing Charges'!$A:$A,$A50,'Nursing Charges'!$C:$C,12))</f>
        <v/>
      </c>
      <c r="DQ50" s="12" t="str">
        <f>IF($A50="","",DN50+(DP50-SUMIFS('Nursing Charges'!$J:$J,'Nursing Charges'!$A:$A,$A50,'Nursing Charges'!$C:$C,12))+(DO50-SUMIFS('Consumable Usage'!$F:$F,'Consumable Usage'!$A:$A,$A50,'Consumable Usage'!$D:$D,12)))</f>
        <v/>
      </c>
      <c r="DR50" s="12" t="str">
        <f t="shared" si="34"/>
        <v/>
      </c>
      <c r="DS50" s="20"/>
      <c r="DT50" s="12" t="str">
        <f t="shared" si="35"/>
        <v/>
      </c>
      <c r="DU50" s="45" t="str">
        <f t="shared" si="36"/>
        <v/>
      </c>
      <c r="DV50" s="15"/>
      <c r="DW50" s="15"/>
      <c r="DX50" s="20"/>
      <c r="DY50" s="12" t="str">
        <f>IF($A50="","",SUMIFS('Consumable Usage'!$E:$E,'Consumable Usage'!$A:$A,$A50,'Consumable Usage'!$D:$D,13))</f>
        <v/>
      </c>
      <c r="DZ50" s="12" t="str">
        <f>IF($A50="","",SUMIFS('Nursing Charges'!$I:$I,'Nursing Charges'!$A:$A,$A50,'Nursing Charges'!$C:$C,13))</f>
        <v/>
      </c>
      <c r="EA50" s="12" t="str">
        <f>IF($A50="","",DX50+(DZ50-SUMIFS('Nursing Charges'!$J:$J,'Nursing Charges'!$A:$A,$A50,'Nursing Charges'!$C:$C,13))+(DY50-SUMIFS('Consumable Usage'!$F:$F,'Consumable Usage'!$A:$A,$A50,'Consumable Usage'!$D:$D,13)))</f>
        <v/>
      </c>
      <c r="EB50" s="12" t="str">
        <f t="shared" si="37"/>
        <v/>
      </c>
      <c r="EC50" s="20"/>
      <c r="ED50" s="12" t="str">
        <f t="shared" si="38"/>
        <v/>
      </c>
      <c r="EE50" s="45" t="str">
        <f t="shared" si="39"/>
        <v/>
      </c>
      <c r="EF50" s="15"/>
      <c r="EG50" s="15"/>
      <c r="EH50" s="20"/>
      <c r="EI50" s="12" t="str">
        <f>IF($A50="","",SUMIFS('Consumable Usage'!$E:$E,'Consumable Usage'!$A:$A,$A50,'Consumable Usage'!$D:$D,14))</f>
        <v/>
      </c>
      <c r="EJ50" s="12" t="str">
        <f>IF($A50="","",SUMIFS('Nursing Charges'!$I:$I,'Nursing Charges'!$A:$A,$A50,'Nursing Charges'!$C:$C,14))</f>
        <v/>
      </c>
      <c r="EK50" s="12" t="str">
        <f>IF($A50="","",EH50+(EJ50-SUMIFS('Nursing Charges'!$J:$J,'Nursing Charges'!$A:$A,$A50,'Nursing Charges'!$C:$C,14))+(EI50-SUMIFS('Consumable Usage'!$F:$F,'Consumable Usage'!$A:$A,$A50,'Consumable Usage'!$D:$D,14)))</f>
        <v/>
      </c>
      <c r="EL50" s="12" t="str">
        <f t="shared" si="40"/>
        <v/>
      </c>
      <c r="EM50" s="20"/>
      <c r="EN50" s="12" t="str">
        <f t="shared" si="41"/>
        <v/>
      </c>
      <c r="EO50" s="45" t="str">
        <f t="shared" si="42"/>
        <v/>
      </c>
      <c r="EP50" s="15"/>
      <c r="EQ50" s="15"/>
      <c r="ER50" s="20"/>
      <c r="ES50" s="12" t="str">
        <f>IF($A50="","",SUMIFS('Consumable Usage'!$E:$E,'Consumable Usage'!$A:$A,$A50,'Consumable Usage'!$D:$D,15))</f>
        <v/>
      </c>
      <c r="ET50" s="12" t="str">
        <f>IF($A50="","",SUMIFS('Nursing Charges'!$I:$I,'Nursing Charges'!$A:$A,$A50,'Nursing Charges'!$C:$C,15))</f>
        <v/>
      </c>
      <c r="EU50" s="12" t="str">
        <f>IF($A50="","",ER50+(ET50-SUMIFS('Nursing Charges'!$J:$J,'Nursing Charges'!$A:$A,$A50,'Nursing Charges'!$C:$C,15))+(ES50-SUMIFS('Consumable Usage'!$F:$F,'Consumable Usage'!$A:$A,$A50,'Consumable Usage'!$D:$D,15)))</f>
        <v/>
      </c>
      <c r="EV50" s="12" t="str">
        <f t="shared" si="43"/>
        <v/>
      </c>
      <c r="EW50" s="20"/>
      <c r="EX50" s="12" t="str">
        <f t="shared" si="44"/>
        <v/>
      </c>
      <c r="EY50" s="45" t="str">
        <f t="shared" si="45"/>
        <v/>
      </c>
      <c r="EZ50" s="15"/>
      <c r="FA50" s="15"/>
      <c r="FB50" s="20"/>
      <c r="FC50" s="12" t="str">
        <f>IF($A50="","",SUMIFS('Consumable Usage'!$E:$E,'Consumable Usage'!$A:$A,$A50,'Consumable Usage'!$D:$D,16))</f>
        <v/>
      </c>
      <c r="FD50" s="12" t="str">
        <f>IF($A50="","",SUMIFS('Nursing Charges'!$I:$I,'Nursing Charges'!$A:$A,$A50,'Nursing Charges'!$C:$C,16))</f>
        <v/>
      </c>
      <c r="FE50" s="12" t="str">
        <f>IF($A50="","",FB50+(FD50-SUMIFS('Nursing Charges'!$J:$J,'Nursing Charges'!$A:$A,$A50,'Nursing Charges'!$C:$C,16))+(FC50-SUMIFS('Consumable Usage'!$F:$F,'Consumable Usage'!$A:$A,$A50,'Consumable Usage'!$D:$D,16)))</f>
        <v/>
      </c>
      <c r="FF50" s="12" t="str">
        <f t="shared" si="46"/>
        <v/>
      </c>
      <c r="FG50" s="20"/>
      <c r="FH50" s="12" t="str">
        <f t="shared" si="47"/>
        <v/>
      </c>
      <c r="FI50" s="45" t="str">
        <f t="shared" si="48"/>
        <v/>
      </c>
      <c r="FJ50" s="53"/>
      <c r="FK50" s="53"/>
      <c r="FL50" s="63"/>
      <c r="FM50" s="63" t="str">
        <f>IF($A50="","",SUMIFS('Consumable Usage'!$E:$E,'Consumable Usage'!$A:$A,$A50,'Consumable Usage'!$D:$D,16))</f>
        <v/>
      </c>
      <c r="FN50" s="63" t="str">
        <f>IF($A50="","",SUMIFS('Nursing Charges'!$I:$I,'Nursing Charges'!$A:$A,$A50,'Nursing Charges'!$C:$C,16))</f>
        <v/>
      </c>
      <c r="FO50" s="63" t="str">
        <f>IF($A50="","",FL50+(FN50-SUMIFS('Nursing Charges'!$J:$J,'Nursing Charges'!$A:$A,$A50,'Nursing Charges'!$C:$C,16))+(FM50-SUMIFS('Consumable Usage'!$F:$F,'Consumable Usage'!$A:$A,$A50,'Consumable Usage'!$D:$D,16)))</f>
        <v/>
      </c>
      <c r="FP50" s="63" t="str">
        <f t="shared" si="49"/>
        <v/>
      </c>
      <c r="FQ50" s="63"/>
      <c r="FR50" s="63" t="str">
        <f t="shared" si="50"/>
        <v/>
      </c>
      <c r="FS50" s="53" t="str">
        <f t="shared" si="51"/>
        <v/>
      </c>
    </row>
    <row r="51" ht="15.0" customHeight="1">
      <c r="A51" s="15"/>
      <c r="B51" s="15"/>
      <c r="C51" s="15"/>
      <c r="D51" s="15"/>
      <c r="E51" s="15"/>
      <c r="F51" s="15"/>
      <c r="G51" s="15"/>
      <c r="H51" s="20"/>
      <c r="I51" s="12" t="str">
        <f>IF($A51="","",SUMIFS('Consumable Usage'!$E:$E,'Consumable Usage'!$A:$A,$A51,'Consumable Usage'!$D:$D,1))</f>
        <v/>
      </c>
      <c r="J51" s="12" t="str">
        <f>IF($A51="","",SUMIFS('Nursing Charges'!$I:$I,'Nursing Charges'!$A:$A,$A51,'Nursing Charges'!$C:$C,1))</f>
        <v/>
      </c>
      <c r="K51" s="12" t="str">
        <f>IF($A51="","",H51+(J51-SUMIFS('Nursing Charges'!$J:$J,'Nursing Charges'!$A:$A,$A51,'Nursing Charges'!$C:$C,1))+(I51-SUMIFS('Consumable Usage'!$F:$F,'Consumable Usage'!$A:$A,$A51,'Consumable Usage'!$D:$D,1)))</f>
        <v/>
      </c>
      <c r="L51" s="12" t="str">
        <f t="shared" si="1"/>
        <v/>
      </c>
      <c r="M51" s="20"/>
      <c r="N51" s="12" t="str">
        <f t="shared" si="2"/>
        <v/>
      </c>
      <c r="O51" s="45" t="str">
        <f t="shared" si="3"/>
        <v/>
      </c>
      <c r="P51" s="15"/>
      <c r="Q51" s="15"/>
      <c r="R51" s="20"/>
      <c r="S51" s="12" t="str">
        <f>IF($A51="","",SUMIFS('Consumable Usage'!$E:$E,'Consumable Usage'!$A:$A,$A51,'Consumable Usage'!$D:$D,2))</f>
        <v/>
      </c>
      <c r="T51" s="12" t="str">
        <f>IF($A51="","",SUMIFS('Nursing Charges'!$I:$I,'Nursing Charges'!$A:$A,$A51,'Nursing Charges'!$C:$C,2))</f>
        <v/>
      </c>
      <c r="U51" s="12" t="str">
        <f>IF($A51="","",R51+(T51-SUMIFS('Nursing Charges'!$J:$J,'Nursing Charges'!$A:$A,$A51,'Nursing Charges'!$C:$C,2))+(S51-SUMIFS('Consumable Usage'!$F:$F,'Consumable Usage'!$A:$A,$A51,'Consumable Usage'!$D:$D,2)))</f>
        <v/>
      </c>
      <c r="V51" s="12" t="str">
        <f t="shared" si="4"/>
        <v/>
      </c>
      <c r="W51" s="20"/>
      <c r="X51" s="12" t="str">
        <f t="shared" si="5"/>
        <v/>
      </c>
      <c r="Y51" s="45" t="str">
        <f t="shared" si="6"/>
        <v/>
      </c>
      <c r="Z51" s="15"/>
      <c r="AA51" s="15"/>
      <c r="AB51" s="20"/>
      <c r="AC51" s="12" t="str">
        <f>IF($A51="","",SUMIFS('Consumable Usage'!$E:$E,'Consumable Usage'!$A:$A,$A51,'Consumable Usage'!$D:$D,3))</f>
        <v/>
      </c>
      <c r="AD51" s="12" t="str">
        <f>IF($A51="","",SUMIFS('Nursing Charges'!$I:$I,'Nursing Charges'!$A:$A,$A51,'Nursing Charges'!$C:$C,3))</f>
        <v/>
      </c>
      <c r="AE51" s="12" t="str">
        <f>IF($A51="","",AB51+(AD51-SUMIFS('Nursing Charges'!$J:$J,'Nursing Charges'!$A:$A,$A51,'Nursing Charges'!$C:$C,3))+(AC51-SUMIFS('Consumable Usage'!$F:$F,'Consumable Usage'!$A:$A,$A51,'Consumable Usage'!$D:$D,3)))</f>
        <v/>
      </c>
      <c r="AF51" s="12" t="str">
        <f t="shared" si="7"/>
        <v/>
      </c>
      <c r="AG51" s="20"/>
      <c r="AH51" s="12" t="str">
        <f t="shared" si="8"/>
        <v/>
      </c>
      <c r="AI51" s="45" t="str">
        <f t="shared" si="9"/>
        <v/>
      </c>
      <c r="AJ51" s="15"/>
      <c r="AK51" s="15"/>
      <c r="AL51" s="20"/>
      <c r="AM51" s="12" t="str">
        <f>IF($A51="","",SUMIFS('Consumable Usage'!$E:$E,'Consumable Usage'!$A:$A,$A51,'Consumable Usage'!$D:$D,4))</f>
        <v/>
      </c>
      <c r="AN51" s="12" t="str">
        <f>IF($A51="","",SUMIFS('Nursing Charges'!$I:$I,'Nursing Charges'!$A:$A,$A51,'Nursing Charges'!$C:$C,4))</f>
        <v/>
      </c>
      <c r="AO51" s="12" t="str">
        <f>IF($A51="","",AL51+(AN51-SUMIFS('Nursing Charges'!$J:$J,'Nursing Charges'!$A:$A,$A51,'Nursing Charges'!$C:$C,4))+(AM51-SUMIFS('Consumable Usage'!$F:$F,'Consumable Usage'!$A:$A,$A51,'Consumable Usage'!$D:$D,4)))</f>
        <v/>
      </c>
      <c r="AP51" s="12" t="str">
        <f t="shared" si="10"/>
        <v/>
      </c>
      <c r="AQ51" s="20"/>
      <c r="AR51" s="12" t="str">
        <f t="shared" si="11"/>
        <v/>
      </c>
      <c r="AS51" s="45" t="str">
        <f t="shared" si="12"/>
        <v/>
      </c>
      <c r="AT51" s="15"/>
      <c r="AU51" s="15"/>
      <c r="AV51" s="20"/>
      <c r="AW51" s="12" t="str">
        <f>IF($A51="","",SUMIFS('Consumable Usage'!$E:$E,'Consumable Usage'!$A:$A,$A51,'Consumable Usage'!$D:$D,5))</f>
        <v/>
      </c>
      <c r="AX51" s="12" t="str">
        <f>IF($A51="","",SUMIFS('Nursing Charges'!$I:$I,'Nursing Charges'!$A:$A,$A51,'Nursing Charges'!$C:$C,5))</f>
        <v/>
      </c>
      <c r="AY51" s="12" t="str">
        <f>IF($A51="","",AV51+(AX51-SUMIFS('Nursing Charges'!$J:$J,'Nursing Charges'!$A:$A,$A51,'Nursing Charges'!$C:$C,5))+(AW51-SUMIFS('Consumable Usage'!$F:$F,'Consumable Usage'!$A:$A,$A51,'Consumable Usage'!$D:$D,5)))</f>
        <v/>
      </c>
      <c r="AZ51" s="12" t="str">
        <f t="shared" si="13"/>
        <v/>
      </c>
      <c r="BA51" s="20"/>
      <c r="BB51" s="12" t="str">
        <f t="shared" si="14"/>
        <v/>
      </c>
      <c r="BC51" s="45" t="str">
        <f t="shared" si="15"/>
        <v/>
      </c>
      <c r="BD51" s="15"/>
      <c r="BE51" s="15"/>
      <c r="BF51" s="20"/>
      <c r="BG51" s="12" t="str">
        <f>IF($A51="","",SUMIFS('Consumable Usage'!$E:$E,'Consumable Usage'!$A:$A,$A51,'Consumable Usage'!$D:$D,6))</f>
        <v/>
      </c>
      <c r="BH51" s="12" t="str">
        <f>IF($A51="","",SUMIFS('Nursing Charges'!$I:$I,'Nursing Charges'!$A:$A,$A51,'Nursing Charges'!$C:$C,6))</f>
        <v/>
      </c>
      <c r="BI51" s="12" t="str">
        <f>IF($A51="","",BF51+(BH51-SUMIFS('Nursing Charges'!$J:$J,'Nursing Charges'!$A:$A,$A51,'Nursing Charges'!$C:$C,6))+(BG51-SUMIFS('Consumable Usage'!$F:$F,'Consumable Usage'!$A:$A,$A51,'Consumable Usage'!$D:$D,6)))</f>
        <v/>
      </c>
      <c r="BJ51" s="12" t="str">
        <f t="shared" si="16"/>
        <v/>
      </c>
      <c r="BK51" s="20"/>
      <c r="BL51" s="12" t="str">
        <f t="shared" si="17"/>
        <v/>
      </c>
      <c r="BM51" s="45" t="str">
        <f t="shared" si="18"/>
        <v/>
      </c>
      <c r="BN51" s="15"/>
      <c r="BO51" s="15"/>
      <c r="BP51" s="20"/>
      <c r="BQ51" s="12" t="str">
        <f>IF($A51="","",SUMIFS('Consumable Usage'!$E:$E,'Consumable Usage'!$A:$A,$A51,'Consumable Usage'!$D:$D,7))</f>
        <v/>
      </c>
      <c r="BR51" s="12" t="str">
        <f>IF($A51="","",SUMIFS('Nursing Charges'!$I:$I,'Nursing Charges'!$A:$A,$A51,'Nursing Charges'!$C:$C,7))</f>
        <v/>
      </c>
      <c r="BS51" s="12" t="str">
        <f>IF($A51="","",BP51+(BR51-SUMIFS('Nursing Charges'!$J:$J,'Nursing Charges'!$A:$A,$A51,'Nursing Charges'!$C:$C,7))+(BQ51-SUMIFS('Consumable Usage'!$F:$F,'Consumable Usage'!$A:$A,$A51,'Consumable Usage'!$D:$D,7)))</f>
        <v/>
      </c>
      <c r="BT51" s="12" t="str">
        <f t="shared" si="19"/>
        <v/>
      </c>
      <c r="BU51" s="20"/>
      <c r="BV51" s="12" t="str">
        <f t="shared" si="20"/>
        <v/>
      </c>
      <c r="BW51" s="45" t="str">
        <f t="shared" si="21"/>
        <v/>
      </c>
      <c r="BX51" s="15"/>
      <c r="BY51" s="15"/>
      <c r="BZ51" s="20"/>
      <c r="CA51" s="12" t="str">
        <f>IF($A51="","",SUMIFS('Consumable Usage'!$E:$E,'Consumable Usage'!$A:$A,$A51,'Consumable Usage'!$D:$D,8))</f>
        <v/>
      </c>
      <c r="CB51" s="12" t="str">
        <f>IF($A51="","",SUMIFS('Nursing Charges'!$I:$I,'Nursing Charges'!$A:$A,$A51,'Nursing Charges'!$C:$C,8))</f>
        <v/>
      </c>
      <c r="CC51" s="12" t="str">
        <f>IF($A51="","",BZ51+(CB51-SUMIFS('Nursing Charges'!$J:$J,'Nursing Charges'!$A:$A,$A51,'Nursing Charges'!$C:$C,8))+(CA51-SUMIFS('Consumable Usage'!$F:$F,'Consumable Usage'!$A:$A,$A51,'Consumable Usage'!$D:$D,8)))</f>
        <v/>
      </c>
      <c r="CD51" s="12" t="str">
        <f t="shared" si="22"/>
        <v/>
      </c>
      <c r="CE51" s="20"/>
      <c r="CF51" s="12" t="str">
        <f t="shared" si="23"/>
        <v/>
      </c>
      <c r="CG51" s="45" t="str">
        <f t="shared" si="24"/>
        <v/>
      </c>
      <c r="CH51" s="15"/>
      <c r="CI51" s="15"/>
      <c r="CJ51" s="20"/>
      <c r="CK51" s="12" t="str">
        <f>IF($A51="","",SUMIFS('Consumable Usage'!$E:$E,'Consumable Usage'!$A:$A,$A51,'Consumable Usage'!$D:$D,9))</f>
        <v/>
      </c>
      <c r="CL51" s="12" t="str">
        <f>IF($A51="","",SUMIFS('Nursing Charges'!$I:$I,'Nursing Charges'!$A:$A,$A51,'Nursing Charges'!$C:$C,9))</f>
        <v/>
      </c>
      <c r="CM51" s="12" t="str">
        <f>IF($A51="","",CJ51+(CL51-SUMIFS('Nursing Charges'!$J:$J,'Nursing Charges'!$A:$A,$A51,'Nursing Charges'!$C:$C,9))+(CK51-SUMIFS('Consumable Usage'!$F:$F,'Consumable Usage'!$A:$A,$A51,'Consumable Usage'!$D:$D,9)))</f>
        <v/>
      </c>
      <c r="CN51" s="12" t="str">
        <f t="shared" si="25"/>
        <v/>
      </c>
      <c r="CO51" s="20"/>
      <c r="CP51" s="12" t="str">
        <f t="shared" si="26"/>
        <v/>
      </c>
      <c r="CQ51" s="45" t="str">
        <f t="shared" si="27"/>
        <v/>
      </c>
      <c r="CR51" s="15"/>
      <c r="CS51" s="15"/>
      <c r="CT51" s="20"/>
      <c r="CU51" s="12" t="str">
        <f>IF($A51="","",SUMIFS('Consumable Usage'!$E:$E,'Consumable Usage'!$A:$A,$A51,'Consumable Usage'!$D:$D,10))</f>
        <v/>
      </c>
      <c r="CV51" s="12" t="str">
        <f>IF($A51="","",SUMIFS('Nursing Charges'!$I:$I,'Nursing Charges'!$A:$A,$A51,'Nursing Charges'!$C:$C,10))</f>
        <v/>
      </c>
      <c r="CW51" s="12" t="str">
        <f>IF($A51="","",CT51+(CV51-SUMIFS('Nursing Charges'!$J:$J,'Nursing Charges'!$A:$A,$A51,'Nursing Charges'!$C:$C,10))+(CU51-SUMIFS('Consumable Usage'!$F:$F,'Consumable Usage'!$A:$A,$A51,'Consumable Usage'!$D:$D,10)))</f>
        <v/>
      </c>
      <c r="CX51" s="12" t="str">
        <f t="shared" si="28"/>
        <v/>
      </c>
      <c r="CY51" s="20"/>
      <c r="CZ51" s="12" t="str">
        <f t="shared" si="29"/>
        <v/>
      </c>
      <c r="DA51" s="45" t="str">
        <f t="shared" si="30"/>
        <v/>
      </c>
      <c r="DB51" s="15"/>
      <c r="DC51" s="15"/>
      <c r="DD51" s="20"/>
      <c r="DE51" s="12" t="str">
        <f>IF($A51="","",SUMIFS('Consumable Usage'!$E:$E,'Consumable Usage'!$A:$A,$A51,'Consumable Usage'!$D:$D,11))</f>
        <v/>
      </c>
      <c r="DF51" s="12" t="str">
        <f>IF($A51="","",SUMIFS('Nursing Charges'!$I:$I,'Nursing Charges'!$A:$A,$A51,'Nursing Charges'!$C:$C,11))</f>
        <v/>
      </c>
      <c r="DG51" s="12" t="str">
        <f>IF($A51="","",DD51+(DF51-SUMIFS('Nursing Charges'!$J:$J,'Nursing Charges'!$A:$A,$A51,'Nursing Charges'!$C:$C,11))+(DE51-SUMIFS('Consumable Usage'!$F:$F,'Consumable Usage'!$A:$A,$A51,'Consumable Usage'!$D:$D,11)))</f>
        <v/>
      </c>
      <c r="DH51" s="12" t="str">
        <f t="shared" si="31"/>
        <v/>
      </c>
      <c r="DI51" s="20"/>
      <c r="DJ51" s="12" t="str">
        <f t="shared" si="32"/>
        <v/>
      </c>
      <c r="DK51" s="45" t="str">
        <f t="shared" si="33"/>
        <v/>
      </c>
      <c r="DL51" s="15"/>
      <c r="DM51" s="15"/>
      <c r="DN51" s="20"/>
      <c r="DO51" s="12" t="str">
        <f>IF($A51="","",SUMIFS('Consumable Usage'!$E:$E,'Consumable Usage'!$A:$A,$A51,'Consumable Usage'!$D:$D,12))</f>
        <v/>
      </c>
      <c r="DP51" s="12" t="str">
        <f>IF($A51="","",SUMIFS('Nursing Charges'!$I:$I,'Nursing Charges'!$A:$A,$A51,'Nursing Charges'!$C:$C,12))</f>
        <v/>
      </c>
      <c r="DQ51" s="12" t="str">
        <f>IF($A51="","",DN51+(DP51-SUMIFS('Nursing Charges'!$J:$J,'Nursing Charges'!$A:$A,$A51,'Nursing Charges'!$C:$C,12))+(DO51-SUMIFS('Consumable Usage'!$F:$F,'Consumable Usage'!$A:$A,$A51,'Consumable Usage'!$D:$D,12)))</f>
        <v/>
      </c>
      <c r="DR51" s="12" t="str">
        <f t="shared" si="34"/>
        <v/>
      </c>
      <c r="DS51" s="20"/>
      <c r="DT51" s="12" t="str">
        <f t="shared" si="35"/>
        <v/>
      </c>
      <c r="DU51" s="45" t="str">
        <f t="shared" si="36"/>
        <v/>
      </c>
      <c r="DV51" s="15"/>
      <c r="DW51" s="15"/>
      <c r="DX51" s="20"/>
      <c r="DY51" s="12" t="str">
        <f>IF($A51="","",SUMIFS('Consumable Usage'!$E:$E,'Consumable Usage'!$A:$A,$A51,'Consumable Usage'!$D:$D,13))</f>
        <v/>
      </c>
      <c r="DZ51" s="12" t="str">
        <f>IF($A51="","",SUMIFS('Nursing Charges'!$I:$I,'Nursing Charges'!$A:$A,$A51,'Nursing Charges'!$C:$C,13))</f>
        <v/>
      </c>
      <c r="EA51" s="12" t="str">
        <f>IF($A51="","",DX51+(DZ51-SUMIFS('Nursing Charges'!$J:$J,'Nursing Charges'!$A:$A,$A51,'Nursing Charges'!$C:$C,13))+(DY51-SUMIFS('Consumable Usage'!$F:$F,'Consumable Usage'!$A:$A,$A51,'Consumable Usage'!$D:$D,13)))</f>
        <v/>
      </c>
      <c r="EB51" s="12" t="str">
        <f t="shared" si="37"/>
        <v/>
      </c>
      <c r="EC51" s="20"/>
      <c r="ED51" s="12" t="str">
        <f t="shared" si="38"/>
        <v/>
      </c>
      <c r="EE51" s="45" t="str">
        <f t="shared" si="39"/>
        <v/>
      </c>
      <c r="EF51" s="15"/>
      <c r="EG51" s="15"/>
      <c r="EH51" s="20"/>
      <c r="EI51" s="12" t="str">
        <f>IF($A51="","",SUMIFS('Consumable Usage'!$E:$E,'Consumable Usage'!$A:$A,$A51,'Consumable Usage'!$D:$D,14))</f>
        <v/>
      </c>
      <c r="EJ51" s="12" t="str">
        <f>IF($A51="","",SUMIFS('Nursing Charges'!$I:$I,'Nursing Charges'!$A:$A,$A51,'Nursing Charges'!$C:$C,14))</f>
        <v/>
      </c>
      <c r="EK51" s="12" t="str">
        <f>IF($A51="","",EH51+(EJ51-SUMIFS('Nursing Charges'!$J:$J,'Nursing Charges'!$A:$A,$A51,'Nursing Charges'!$C:$C,14))+(EI51-SUMIFS('Consumable Usage'!$F:$F,'Consumable Usage'!$A:$A,$A51,'Consumable Usage'!$D:$D,14)))</f>
        <v/>
      </c>
      <c r="EL51" s="12" t="str">
        <f t="shared" si="40"/>
        <v/>
      </c>
      <c r="EM51" s="20"/>
      <c r="EN51" s="12" t="str">
        <f t="shared" si="41"/>
        <v/>
      </c>
      <c r="EO51" s="45" t="str">
        <f t="shared" si="42"/>
        <v/>
      </c>
      <c r="EP51" s="15"/>
      <c r="EQ51" s="15"/>
      <c r="ER51" s="20"/>
      <c r="ES51" s="12" t="str">
        <f>IF($A51="","",SUMIFS('Consumable Usage'!$E:$E,'Consumable Usage'!$A:$A,$A51,'Consumable Usage'!$D:$D,15))</f>
        <v/>
      </c>
      <c r="ET51" s="12" t="str">
        <f>IF($A51="","",SUMIFS('Nursing Charges'!$I:$I,'Nursing Charges'!$A:$A,$A51,'Nursing Charges'!$C:$C,15))</f>
        <v/>
      </c>
      <c r="EU51" s="12" t="str">
        <f>IF($A51="","",ER51+(ET51-SUMIFS('Nursing Charges'!$J:$J,'Nursing Charges'!$A:$A,$A51,'Nursing Charges'!$C:$C,15))+(ES51-SUMIFS('Consumable Usage'!$F:$F,'Consumable Usage'!$A:$A,$A51,'Consumable Usage'!$D:$D,15)))</f>
        <v/>
      </c>
      <c r="EV51" s="12" t="str">
        <f t="shared" si="43"/>
        <v/>
      </c>
      <c r="EW51" s="20"/>
      <c r="EX51" s="12" t="str">
        <f t="shared" si="44"/>
        <v/>
      </c>
      <c r="EY51" s="45" t="str">
        <f t="shared" si="45"/>
        <v/>
      </c>
      <c r="EZ51" s="15"/>
      <c r="FA51" s="15"/>
      <c r="FB51" s="20"/>
      <c r="FC51" s="12" t="str">
        <f>IF($A51="","",SUMIFS('Consumable Usage'!$E:$E,'Consumable Usage'!$A:$A,$A51,'Consumable Usage'!$D:$D,16))</f>
        <v/>
      </c>
      <c r="FD51" s="12" t="str">
        <f>IF($A51="","",SUMIFS('Nursing Charges'!$I:$I,'Nursing Charges'!$A:$A,$A51,'Nursing Charges'!$C:$C,16))</f>
        <v/>
      </c>
      <c r="FE51" s="12" t="str">
        <f>IF($A51="","",FB51+(FD51-SUMIFS('Nursing Charges'!$J:$J,'Nursing Charges'!$A:$A,$A51,'Nursing Charges'!$C:$C,16))+(FC51-SUMIFS('Consumable Usage'!$F:$F,'Consumable Usage'!$A:$A,$A51,'Consumable Usage'!$D:$D,16)))</f>
        <v/>
      </c>
      <c r="FF51" s="12" t="str">
        <f t="shared" si="46"/>
        <v/>
      </c>
      <c r="FG51" s="20"/>
      <c r="FH51" s="12" t="str">
        <f t="shared" si="47"/>
        <v/>
      </c>
      <c r="FI51" s="45" t="str">
        <f t="shared" si="48"/>
        <v/>
      </c>
      <c r="FJ51" s="53"/>
      <c r="FK51" s="53"/>
      <c r="FL51" s="63"/>
      <c r="FM51" s="63" t="str">
        <f>IF($A51="","",SUMIFS('Consumable Usage'!$E:$E,'Consumable Usage'!$A:$A,$A51,'Consumable Usage'!$D:$D,16))</f>
        <v/>
      </c>
      <c r="FN51" s="63" t="str">
        <f>IF($A51="","",SUMIFS('Nursing Charges'!$I:$I,'Nursing Charges'!$A:$A,$A51,'Nursing Charges'!$C:$C,16))</f>
        <v/>
      </c>
      <c r="FO51" s="63" t="str">
        <f>IF($A51="","",FL51+(FN51-SUMIFS('Nursing Charges'!$J:$J,'Nursing Charges'!$A:$A,$A51,'Nursing Charges'!$C:$C,16))+(FM51-SUMIFS('Consumable Usage'!$F:$F,'Consumable Usage'!$A:$A,$A51,'Consumable Usage'!$D:$D,16)))</f>
        <v/>
      </c>
      <c r="FP51" s="63" t="str">
        <f t="shared" si="49"/>
        <v/>
      </c>
      <c r="FQ51" s="63"/>
      <c r="FR51" s="63" t="str">
        <f t="shared" si="50"/>
        <v/>
      </c>
      <c r="FS51" s="53" t="str">
        <f t="shared" si="51"/>
        <v/>
      </c>
    </row>
    <row r="52" ht="15.0" customHeight="1">
      <c r="A52" s="15"/>
      <c r="B52" s="15"/>
      <c r="C52" s="15"/>
      <c r="D52" s="15"/>
      <c r="E52" s="15"/>
      <c r="F52" s="15"/>
      <c r="G52" s="15"/>
      <c r="H52" s="20"/>
      <c r="I52" s="12" t="str">
        <f>IF($A52="","",SUMIFS('Consumable Usage'!$E:$E,'Consumable Usage'!$A:$A,$A52,'Consumable Usage'!$D:$D,1))</f>
        <v/>
      </c>
      <c r="J52" s="12" t="str">
        <f>IF($A52="","",SUMIFS('Nursing Charges'!$I:$I,'Nursing Charges'!$A:$A,$A52,'Nursing Charges'!$C:$C,1))</f>
        <v/>
      </c>
      <c r="K52" s="12" t="str">
        <f>IF($A52="","",H52+(J52-SUMIFS('Nursing Charges'!$J:$J,'Nursing Charges'!$A:$A,$A52,'Nursing Charges'!$C:$C,1))+(I52-SUMIFS('Consumable Usage'!$F:$F,'Consumable Usage'!$A:$A,$A52,'Consumable Usage'!$D:$D,1)))</f>
        <v/>
      </c>
      <c r="L52" s="12" t="str">
        <f t="shared" si="1"/>
        <v/>
      </c>
      <c r="M52" s="20"/>
      <c r="N52" s="12" t="str">
        <f t="shared" si="2"/>
        <v/>
      </c>
      <c r="O52" s="45" t="str">
        <f t="shared" si="3"/>
        <v/>
      </c>
      <c r="P52" s="15"/>
      <c r="Q52" s="15"/>
      <c r="R52" s="20"/>
      <c r="S52" s="12" t="str">
        <f>IF($A52="","",SUMIFS('Consumable Usage'!$E:$E,'Consumable Usage'!$A:$A,$A52,'Consumable Usage'!$D:$D,2))</f>
        <v/>
      </c>
      <c r="T52" s="12" t="str">
        <f>IF($A52="","",SUMIFS('Nursing Charges'!$I:$I,'Nursing Charges'!$A:$A,$A52,'Nursing Charges'!$C:$C,2))</f>
        <v/>
      </c>
      <c r="U52" s="12" t="str">
        <f>IF($A52="","",R52+(T52-SUMIFS('Nursing Charges'!$J:$J,'Nursing Charges'!$A:$A,$A52,'Nursing Charges'!$C:$C,2))+(S52-SUMIFS('Consumable Usage'!$F:$F,'Consumable Usage'!$A:$A,$A52,'Consumable Usage'!$D:$D,2)))</f>
        <v/>
      </c>
      <c r="V52" s="12" t="str">
        <f t="shared" si="4"/>
        <v/>
      </c>
      <c r="W52" s="20"/>
      <c r="X52" s="12" t="str">
        <f t="shared" si="5"/>
        <v/>
      </c>
      <c r="Y52" s="45" t="str">
        <f t="shared" si="6"/>
        <v/>
      </c>
      <c r="Z52" s="15"/>
      <c r="AA52" s="15"/>
      <c r="AB52" s="20"/>
      <c r="AC52" s="12" t="str">
        <f>IF($A52="","",SUMIFS('Consumable Usage'!$E:$E,'Consumable Usage'!$A:$A,$A52,'Consumable Usage'!$D:$D,3))</f>
        <v/>
      </c>
      <c r="AD52" s="12" t="str">
        <f>IF($A52="","",SUMIFS('Nursing Charges'!$I:$I,'Nursing Charges'!$A:$A,$A52,'Nursing Charges'!$C:$C,3))</f>
        <v/>
      </c>
      <c r="AE52" s="12" t="str">
        <f>IF($A52="","",AB52+(AD52-SUMIFS('Nursing Charges'!$J:$J,'Nursing Charges'!$A:$A,$A52,'Nursing Charges'!$C:$C,3))+(AC52-SUMIFS('Consumable Usage'!$F:$F,'Consumable Usage'!$A:$A,$A52,'Consumable Usage'!$D:$D,3)))</f>
        <v/>
      </c>
      <c r="AF52" s="12" t="str">
        <f t="shared" si="7"/>
        <v/>
      </c>
      <c r="AG52" s="20"/>
      <c r="AH52" s="12" t="str">
        <f t="shared" si="8"/>
        <v/>
      </c>
      <c r="AI52" s="45" t="str">
        <f t="shared" si="9"/>
        <v/>
      </c>
      <c r="AJ52" s="15"/>
      <c r="AK52" s="15"/>
      <c r="AL52" s="20"/>
      <c r="AM52" s="12" t="str">
        <f>IF($A52="","",SUMIFS('Consumable Usage'!$E:$E,'Consumable Usage'!$A:$A,$A52,'Consumable Usage'!$D:$D,4))</f>
        <v/>
      </c>
      <c r="AN52" s="12" t="str">
        <f>IF($A52="","",SUMIFS('Nursing Charges'!$I:$I,'Nursing Charges'!$A:$A,$A52,'Nursing Charges'!$C:$C,4))</f>
        <v/>
      </c>
      <c r="AO52" s="12" t="str">
        <f>IF($A52="","",AL52+(AN52-SUMIFS('Nursing Charges'!$J:$J,'Nursing Charges'!$A:$A,$A52,'Nursing Charges'!$C:$C,4))+(AM52-SUMIFS('Consumable Usage'!$F:$F,'Consumable Usage'!$A:$A,$A52,'Consumable Usage'!$D:$D,4)))</f>
        <v/>
      </c>
      <c r="AP52" s="12" t="str">
        <f t="shared" si="10"/>
        <v/>
      </c>
      <c r="AQ52" s="20"/>
      <c r="AR52" s="12" t="str">
        <f t="shared" si="11"/>
        <v/>
      </c>
      <c r="AS52" s="45" t="str">
        <f t="shared" si="12"/>
        <v/>
      </c>
      <c r="AT52" s="15"/>
      <c r="AU52" s="15"/>
      <c r="AV52" s="20"/>
      <c r="AW52" s="12" t="str">
        <f>IF($A52="","",SUMIFS('Consumable Usage'!$E:$E,'Consumable Usage'!$A:$A,$A52,'Consumable Usage'!$D:$D,5))</f>
        <v/>
      </c>
      <c r="AX52" s="12" t="str">
        <f>IF($A52="","",SUMIFS('Nursing Charges'!$I:$I,'Nursing Charges'!$A:$A,$A52,'Nursing Charges'!$C:$C,5))</f>
        <v/>
      </c>
      <c r="AY52" s="12" t="str">
        <f>IF($A52="","",AV52+(AX52-SUMIFS('Nursing Charges'!$J:$J,'Nursing Charges'!$A:$A,$A52,'Nursing Charges'!$C:$C,5))+(AW52-SUMIFS('Consumable Usage'!$F:$F,'Consumable Usage'!$A:$A,$A52,'Consumable Usage'!$D:$D,5)))</f>
        <v/>
      </c>
      <c r="AZ52" s="12" t="str">
        <f t="shared" si="13"/>
        <v/>
      </c>
      <c r="BA52" s="20"/>
      <c r="BB52" s="12" t="str">
        <f t="shared" si="14"/>
        <v/>
      </c>
      <c r="BC52" s="45" t="str">
        <f t="shared" si="15"/>
        <v/>
      </c>
      <c r="BD52" s="15"/>
      <c r="BE52" s="15"/>
      <c r="BF52" s="20"/>
      <c r="BG52" s="12" t="str">
        <f>IF($A52="","",SUMIFS('Consumable Usage'!$E:$E,'Consumable Usage'!$A:$A,$A52,'Consumable Usage'!$D:$D,6))</f>
        <v/>
      </c>
      <c r="BH52" s="12" t="str">
        <f>IF($A52="","",SUMIFS('Nursing Charges'!$I:$I,'Nursing Charges'!$A:$A,$A52,'Nursing Charges'!$C:$C,6))</f>
        <v/>
      </c>
      <c r="BI52" s="12" t="str">
        <f>IF($A52="","",BF52+(BH52-SUMIFS('Nursing Charges'!$J:$J,'Nursing Charges'!$A:$A,$A52,'Nursing Charges'!$C:$C,6))+(BG52-SUMIFS('Consumable Usage'!$F:$F,'Consumable Usage'!$A:$A,$A52,'Consumable Usage'!$D:$D,6)))</f>
        <v/>
      </c>
      <c r="BJ52" s="12" t="str">
        <f t="shared" si="16"/>
        <v/>
      </c>
      <c r="BK52" s="20"/>
      <c r="BL52" s="12" t="str">
        <f t="shared" si="17"/>
        <v/>
      </c>
      <c r="BM52" s="45" t="str">
        <f t="shared" si="18"/>
        <v/>
      </c>
      <c r="BN52" s="15"/>
      <c r="BO52" s="15"/>
      <c r="BP52" s="20"/>
      <c r="BQ52" s="12" t="str">
        <f>IF($A52="","",SUMIFS('Consumable Usage'!$E:$E,'Consumable Usage'!$A:$A,$A52,'Consumable Usage'!$D:$D,7))</f>
        <v/>
      </c>
      <c r="BR52" s="12" t="str">
        <f>IF($A52="","",SUMIFS('Nursing Charges'!$I:$I,'Nursing Charges'!$A:$A,$A52,'Nursing Charges'!$C:$C,7))</f>
        <v/>
      </c>
      <c r="BS52" s="12" t="str">
        <f>IF($A52="","",BP52+(BR52-SUMIFS('Nursing Charges'!$J:$J,'Nursing Charges'!$A:$A,$A52,'Nursing Charges'!$C:$C,7))+(BQ52-SUMIFS('Consumable Usage'!$F:$F,'Consumable Usage'!$A:$A,$A52,'Consumable Usage'!$D:$D,7)))</f>
        <v/>
      </c>
      <c r="BT52" s="12" t="str">
        <f t="shared" si="19"/>
        <v/>
      </c>
      <c r="BU52" s="20"/>
      <c r="BV52" s="12" t="str">
        <f t="shared" si="20"/>
        <v/>
      </c>
      <c r="BW52" s="45" t="str">
        <f t="shared" si="21"/>
        <v/>
      </c>
      <c r="BX52" s="15"/>
      <c r="BY52" s="15"/>
      <c r="BZ52" s="20"/>
      <c r="CA52" s="12" t="str">
        <f>IF($A52="","",SUMIFS('Consumable Usage'!$E:$E,'Consumable Usage'!$A:$A,$A52,'Consumable Usage'!$D:$D,8))</f>
        <v/>
      </c>
      <c r="CB52" s="12" t="str">
        <f>IF($A52="","",SUMIFS('Nursing Charges'!$I:$I,'Nursing Charges'!$A:$A,$A52,'Nursing Charges'!$C:$C,8))</f>
        <v/>
      </c>
      <c r="CC52" s="12" t="str">
        <f>IF($A52="","",BZ52+(CB52-SUMIFS('Nursing Charges'!$J:$J,'Nursing Charges'!$A:$A,$A52,'Nursing Charges'!$C:$C,8))+(CA52-SUMIFS('Consumable Usage'!$F:$F,'Consumable Usage'!$A:$A,$A52,'Consumable Usage'!$D:$D,8)))</f>
        <v/>
      </c>
      <c r="CD52" s="12" t="str">
        <f t="shared" si="22"/>
        <v/>
      </c>
      <c r="CE52" s="20"/>
      <c r="CF52" s="12" t="str">
        <f t="shared" si="23"/>
        <v/>
      </c>
      <c r="CG52" s="45" t="str">
        <f t="shared" si="24"/>
        <v/>
      </c>
      <c r="CH52" s="15"/>
      <c r="CI52" s="15"/>
      <c r="CJ52" s="20"/>
      <c r="CK52" s="12" t="str">
        <f>IF($A52="","",SUMIFS('Consumable Usage'!$E:$E,'Consumable Usage'!$A:$A,$A52,'Consumable Usage'!$D:$D,9))</f>
        <v/>
      </c>
      <c r="CL52" s="12" t="str">
        <f>IF($A52="","",SUMIFS('Nursing Charges'!$I:$I,'Nursing Charges'!$A:$A,$A52,'Nursing Charges'!$C:$C,9))</f>
        <v/>
      </c>
      <c r="CM52" s="12" t="str">
        <f>IF($A52="","",CJ52+(CL52-SUMIFS('Nursing Charges'!$J:$J,'Nursing Charges'!$A:$A,$A52,'Nursing Charges'!$C:$C,9))+(CK52-SUMIFS('Consumable Usage'!$F:$F,'Consumable Usage'!$A:$A,$A52,'Consumable Usage'!$D:$D,9)))</f>
        <v/>
      </c>
      <c r="CN52" s="12" t="str">
        <f t="shared" si="25"/>
        <v/>
      </c>
      <c r="CO52" s="20"/>
      <c r="CP52" s="12" t="str">
        <f t="shared" si="26"/>
        <v/>
      </c>
      <c r="CQ52" s="45" t="str">
        <f t="shared" si="27"/>
        <v/>
      </c>
      <c r="CR52" s="15"/>
      <c r="CS52" s="15"/>
      <c r="CT52" s="20"/>
      <c r="CU52" s="12" t="str">
        <f>IF($A52="","",SUMIFS('Consumable Usage'!$E:$E,'Consumable Usage'!$A:$A,$A52,'Consumable Usage'!$D:$D,10))</f>
        <v/>
      </c>
      <c r="CV52" s="12" t="str">
        <f>IF($A52="","",SUMIFS('Nursing Charges'!$I:$I,'Nursing Charges'!$A:$A,$A52,'Nursing Charges'!$C:$C,10))</f>
        <v/>
      </c>
      <c r="CW52" s="12" t="str">
        <f>IF($A52="","",CT52+(CV52-SUMIFS('Nursing Charges'!$J:$J,'Nursing Charges'!$A:$A,$A52,'Nursing Charges'!$C:$C,10))+(CU52-SUMIFS('Consumable Usage'!$F:$F,'Consumable Usage'!$A:$A,$A52,'Consumable Usage'!$D:$D,10)))</f>
        <v/>
      </c>
      <c r="CX52" s="12" t="str">
        <f t="shared" si="28"/>
        <v/>
      </c>
      <c r="CY52" s="20"/>
      <c r="CZ52" s="12" t="str">
        <f t="shared" si="29"/>
        <v/>
      </c>
      <c r="DA52" s="45" t="str">
        <f t="shared" si="30"/>
        <v/>
      </c>
      <c r="DB52" s="15"/>
      <c r="DC52" s="15"/>
      <c r="DD52" s="20"/>
      <c r="DE52" s="12" t="str">
        <f>IF($A52="","",SUMIFS('Consumable Usage'!$E:$E,'Consumable Usage'!$A:$A,$A52,'Consumable Usage'!$D:$D,11))</f>
        <v/>
      </c>
      <c r="DF52" s="12" t="str">
        <f>IF($A52="","",SUMIFS('Nursing Charges'!$I:$I,'Nursing Charges'!$A:$A,$A52,'Nursing Charges'!$C:$C,11))</f>
        <v/>
      </c>
      <c r="DG52" s="12" t="str">
        <f>IF($A52="","",DD52+(DF52-SUMIFS('Nursing Charges'!$J:$J,'Nursing Charges'!$A:$A,$A52,'Nursing Charges'!$C:$C,11))+(DE52-SUMIFS('Consumable Usage'!$F:$F,'Consumable Usage'!$A:$A,$A52,'Consumable Usage'!$D:$D,11)))</f>
        <v/>
      </c>
      <c r="DH52" s="12" t="str">
        <f t="shared" si="31"/>
        <v/>
      </c>
      <c r="DI52" s="20"/>
      <c r="DJ52" s="12" t="str">
        <f t="shared" si="32"/>
        <v/>
      </c>
      <c r="DK52" s="45" t="str">
        <f t="shared" si="33"/>
        <v/>
      </c>
      <c r="DL52" s="15"/>
      <c r="DM52" s="15"/>
      <c r="DN52" s="20"/>
      <c r="DO52" s="12" t="str">
        <f>IF($A52="","",SUMIFS('Consumable Usage'!$E:$E,'Consumable Usage'!$A:$A,$A52,'Consumable Usage'!$D:$D,12))</f>
        <v/>
      </c>
      <c r="DP52" s="12" t="str">
        <f>IF($A52="","",SUMIFS('Nursing Charges'!$I:$I,'Nursing Charges'!$A:$A,$A52,'Nursing Charges'!$C:$C,12))</f>
        <v/>
      </c>
      <c r="DQ52" s="12" t="str">
        <f>IF($A52="","",DN52+(DP52-SUMIFS('Nursing Charges'!$J:$J,'Nursing Charges'!$A:$A,$A52,'Nursing Charges'!$C:$C,12))+(DO52-SUMIFS('Consumable Usage'!$F:$F,'Consumable Usage'!$A:$A,$A52,'Consumable Usage'!$D:$D,12)))</f>
        <v/>
      </c>
      <c r="DR52" s="12" t="str">
        <f t="shared" si="34"/>
        <v/>
      </c>
      <c r="DS52" s="20"/>
      <c r="DT52" s="12" t="str">
        <f t="shared" si="35"/>
        <v/>
      </c>
      <c r="DU52" s="45" t="str">
        <f t="shared" si="36"/>
        <v/>
      </c>
      <c r="DV52" s="15"/>
      <c r="DW52" s="15"/>
      <c r="DX52" s="20"/>
      <c r="DY52" s="12" t="str">
        <f>IF($A52="","",SUMIFS('Consumable Usage'!$E:$E,'Consumable Usage'!$A:$A,$A52,'Consumable Usage'!$D:$D,13))</f>
        <v/>
      </c>
      <c r="DZ52" s="12" t="str">
        <f>IF($A52="","",SUMIFS('Nursing Charges'!$I:$I,'Nursing Charges'!$A:$A,$A52,'Nursing Charges'!$C:$C,13))</f>
        <v/>
      </c>
      <c r="EA52" s="12" t="str">
        <f>IF($A52="","",DX52+(DZ52-SUMIFS('Nursing Charges'!$J:$J,'Nursing Charges'!$A:$A,$A52,'Nursing Charges'!$C:$C,13))+(DY52-SUMIFS('Consumable Usage'!$F:$F,'Consumable Usage'!$A:$A,$A52,'Consumable Usage'!$D:$D,13)))</f>
        <v/>
      </c>
      <c r="EB52" s="12" t="str">
        <f t="shared" si="37"/>
        <v/>
      </c>
      <c r="EC52" s="20"/>
      <c r="ED52" s="12" t="str">
        <f t="shared" si="38"/>
        <v/>
      </c>
      <c r="EE52" s="45" t="str">
        <f t="shared" si="39"/>
        <v/>
      </c>
      <c r="EF52" s="15"/>
      <c r="EG52" s="15"/>
      <c r="EH52" s="20"/>
      <c r="EI52" s="12" t="str">
        <f>IF($A52="","",SUMIFS('Consumable Usage'!$E:$E,'Consumable Usage'!$A:$A,$A52,'Consumable Usage'!$D:$D,14))</f>
        <v/>
      </c>
      <c r="EJ52" s="12" t="str">
        <f>IF($A52="","",SUMIFS('Nursing Charges'!$I:$I,'Nursing Charges'!$A:$A,$A52,'Nursing Charges'!$C:$C,14))</f>
        <v/>
      </c>
      <c r="EK52" s="12" t="str">
        <f>IF($A52="","",EH52+(EJ52-SUMIFS('Nursing Charges'!$J:$J,'Nursing Charges'!$A:$A,$A52,'Nursing Charges'!$C:$C,14))+(EI52-SUMIFS('Consumable Usage'!$F:$F,'Consumable Usage'!$A:$A,$A52,'Consumable Usage'!$D:$D,14)))</f>
        <v/>
      </c>
      <c r="EL52" s="12" t="str">
        <f t="shared" si="40"/>
        <v/>
      </c>
      <c r="EM52" s="20"/>
      <c r="EN52" s="12" t="str">
        <f t="shared" si="41"/>
        <v/>
      </c>
      <c r="EO52" s="45" t="str">
        <f t="shared" si="42"/>
        <v/>
      </c>
      <c r="EP52" s="15"/>
      <c r="EQ52" s="15"/>
      <c r="ER52" s="20"/>
      <c r="ES52" s="12" t="str">
        <f>IF($A52="","",SUMIFS('Consumable Usage'!$E:$E,'Consumable Usage'!$A:$A,$A52,'Consumable Usage'!$D:$D,15))</f>
        <v/>
      </c>
      <c r="ET52" s="12" t="str">
        <f>IF($A52="","",SUMIFS('Nursing Charges'!$I:$I,'Nursing Charges'!$A:$A,$A52,'Nursing Charges'!$C:$C,15))</f>
        <v/>
      </c>
      <c r="EU52" s="12" t="str">
        <f>IF($A52="","",ER52+(ET52-SUMIFS('Nursing Charges'!$J:$J,'Nursing Charges'!$A:$A,$A52,'Nursing Charges'!$C:$C,15))+(ES52-SUMIFS('Consumable Usage'!$F:$F,'Consumable Usage'!$A:$A,$A52,'Consumable Usage'!$D:$D,15)))</f>
        <v/>
      </c>
      <c r="EV52" s="12" t="str">
        <f t="shared" si="43"/>
        <v/>
      </c>
      <c r="EW52" s="20"/>
      <c r="EX52" s="12" t="str">
        <f t="shared" si="44"/>
        <v/>
      </c>
      <c r="EY52" s="45" t="str">
        <f t="shared" si="45"/>
        <v/>
      </c>
      <c r="EZ52" s="15"/>
      <c r="FA52" s="15"/>
      <c r="FB52" s="20"/>
      <c r="FC52" s="12" t="str">
        <f>IF($A52="","",SUMIFS('Consumable Usage'!$E:$E,'Consumable Usage'!$A:$A,$A52,'Consumable Usage'!$D:$D,16))</f>
        <v/>
      </c>
      <c r="FD52" s="12" t="str">
        <f>IF($A52="","",SUMIFS('Nursing Charges'!$I:$I,'Nursing Charges'!$A:$A,$A52,'Nursing Charges'!$C:$C,16))</f>
        <v/>
      </c>
      <c r="FE52" s="12" t="str">
        <f>IF($A52="","",FB52+(FD52-SUMIFS('Nursing Charges'!$J:$J,'Nursing Charges'!$A:$A,$A52,'Nursing Charges'!$C:$C,16))+(FC52-SUMIFS('Consumable Usage'!$F:$F,'Consumable Usage'!$A:$A,$A52,'Consumable Usage'!$D:$D,16)))</f>
        <v/>
      </c>
      <c r="FF52" s="12" t="str">
        <f t="shared" si="46"/>
        <v/>
      </c>
      <c r="FG52" s="20"/>
      <c r="FH52" s="12" t="str">
        <f t="shared" si="47"/>
        <v/>
      </c>
      <c r="FI52" s="45" t="str">
        <f t="shared" si="48"/>
        <v/>
      </c>
      <c r="FJ52" s="53"/>
      <c r="FK52" s="53"/>
      <c r="FL52" s="63"/>
      <c r="FM52" s="63" t="str">
        <f>IF($A52="","",SUMIFS('Consumable Usage'!$E:$E,'Consumable Usage'!$A:$A,$A52,'Consumable Usage'!$D:$D,16))</f>
        <v/>
      </c>
      <c r="FN52" s="63" t="str">
        <f>IF($A52="","",SUMIFS('Nursing Charges'!$I:$I,'Nursing Charges'!$A:$A,$A52,'Nursing Charges'!$C:$C,16))</f>
        <v/>
      </c>
      <c r="FO52" s="63" t="str">
        <f>IF($A52="","",FL52+(FN52-SUMIFS('Nursing Charges'!$J:$J,'Nursing Charges'!$A:$A,$A52,'Nursing Charges'!$C:$C,16))+(FM52-SUMIFS('Consumable Usage'!$F:$F,'Consumable Usage'!$A:$A,$A52,'Consumable Usage'!$D:$D,16)))</f>
        <v/>
      </c>
      <c r="FP52" s="63" t="str">
        <f t="shared" si="49"/>
        <v/>
      </c>
      <c r="FQ52" s="63"/>
      <c r="FR52" s="63" t="str">
        <f t="shared" si="50"/>
        <v/>
      </c>
      <c r="FS52" s="53" t="str">
        <f t="shared" si="51"/>
        <v/>
      </c>
    </row>
    <row r="53" ht="15.0" customHeight="1">
      <c r="A53" s="15"/>
      <c r="B53" s="15"/>
      <c r="C53" s="15"/>
      <c r="D53" s="15"/>
      <c r="E53" s="15"/>
      <c r="F53" s="15"/>
      <c r="G53" s="15"/>
      <c r="H53" s="20"/>
      <c r="I53" s="12" t="str">
        <f>IF($A53="","",SUMIFS('Consumable Usage'!$E:$E,'Consumable Usage'!$A:$A,$A53,'Consumable Usage'!$D:$D,1))</f>
        <v/>
      </c>
      <c r="J53" s="12" t="str">
        <f>IF($A53="","",SUMIFS('Nursing Charges'!$I:$I,'Nursing Charges'!$A:$A,$A53,'Nursing Charges'!$C:$C,1))</f>
        <v/>
      </c>
      <c r="K53" s="12" t="str">
        <f>IF($A53="","",H53+(J53-SUMIFS('Nursing Charges'!$J:$J,'Nursing Charges'!$A:$A,$A53,'Nursing Charges'!$C:$C,1))+(I53-SUMIFS('Consumable Usage'!$F:$F,'Consumable Usage'!$A:$A,$A53,'Consumable Usage'!$D:$D,1)))</f>
        <v/>
      </c>
      <c r="L53" s="12" t="str">
        <f t="shared" si="1"/>
        <v/>
      </c>
      <c r="M53" s="20"/>
      <c r="N53" s="12" t="str">
        <f t="shared" si="2"/>
        <v/>
      </c>
      <c r="O53" s="45" t="str">
        <f t="shared" si="3"/>
        <v/>
      </c>
      <c r="P53" s="15"/>
      <c r="Q53" s="15"/>
      <c r="R53" s="20"/>
      <c r="S53" s="12" t="str">
        <f>IF($A53="","",SUMIFS('Consumable Usage'!$E:$E,'Consumable Usage'!$A:$A,$A53,'Consumable Usage'!$D:$D,2))</f>
        <v/>
      </c>
      <c r="T53" s="12" t="str">
        <f>IF($A53="","",SUMIFS('Nursing Charges'!$I:$I,'Nursing Charges'!$A:$A,$A53,'Nursing Charges'!$C:$C,2))</f>
        <v/>
      </c>
      <c r="U53" s="12" t="str">
        <f>IF($A53="","",R53+(T53-SUMIFS('Nursing Charges'!$J:$J,'Nursing Charges'!$A:$A,$A53,'Nursing Charges'!$C:$C,2))+(S53-SUMIFS('Consumable Usage'!$F:$F,'Consumable Usage'!$A:$A,$A53,'Consumable Usage'!$D:$D,2)))</f>
        <v/>
      </c>
      <c r="V53" s="12" t="str">
        <f t="shared" si="4"/>
        <v/>
      </c>
      <c r="W53" s="20"/>
      <c r="X53" s="12" t="str">
        <f t="shared" si="5"/>
        <v/>
      </c>
      <c r="Y53" s="45" t="str">
        <f t="shared" si="6"/>
        <v/>
      </c>
      <c r="Z53" s="15"/>
      <c r="AA53" s="15"/>
      <c r="AB53" s="20"/>
      <c r="AC53" s="12" t="str">
        <f>IF($A53="","",SUMIFS('Consumable Usage'!$E:$E,'Consumable Usage'!$A:$A,$A53,'Consumable Usage'!$D:$D,3))</f>
        <v/>
      </c>
      <c r="AD53" s="12" t="str">
        <f>IF($A53="","",SUMIFS('Nursing Charges'!$I:$I,'Nursing Charges'!$A:$A,$A53,'Nursing Charges'!$C:$C,3))</f>
        <v/>
      </c>
      <c r="AE53" s="12" t="str">
        <f>IF($A53="","",AB53+(AD53-SUMIFS('Nursing Charges'!$J:$J,'Nursing Charges'!$A:$A,$A53,'Nursing Charges'!$C:$C,3))+(AC53-SUMIFS('Consumable Usage'!$F:$F,'Consumable Usage'!$A:$A,$A53,'Consumable Usage'!$D:$D,3)))</f>
        <v/>
      </c>
      <c r="AF53" s="12" t="str">
        <f t="shared" si="7"/>
        <v/>
      </c>
      <c r="AG53" s="20"/>
      <c r="AH53" s="12" t="str">
        <f t="shared" si="8"/>
        <v/>
      </c>
      <c r="AI53" s="45" t="str">
        <f t="shared" si="9"/>
        <v/>
      </c>
      <c r="AJ53" s="15"/>
      <c r="AK53" s="15"/>
      <c r="AL53" s="20"/>
      <c r="AM53" s="12" t="str">
        <f>IF($A53="","",SUMIFS('Consumable Usage'!$E:$E,'Consumable Usage'!$A:$A,$A53,'Consumable Usage'!$D:$D,4))</f>
        <v/>
      </c>
      <c r="AN53" s="12" t="str">
        <f>IF($A53="","",SUMIFS('Nursing Charges'!$I:$I,'Nursing Charges'!$A:$A,$A53,'Nursing Charges'!$C:$C,4))</f>
        <v/>
      </c>
      <c r="AO53" s="12" t="str">
        <f>IF($A53="","",AL53+(AN53-SUMIFS('Nursing Charges'!$J:$J,'Nursing Charges'!$A:$A,$A53,'Nursing Charges'!$C:$C,4))+(AM53-SUMIFS('Consumable Usage'!$F:$F,'Consumable Usage'!$A:$A,$A53,'Consumable Usage'!$D:$D,4)))</f>
        <v/>
      </c>
      <c r="AP53" s="12" t="str">
        <f t="shared" si="10"/>
        <v/>
      </c>
      <c r="AQ53" s="20"/>
      <c r="AR53" s="12" t="str">
        <f t="shared" si="11"/>
        <v/>
      </c>
      <c r="AS53" s="45" t="str">
        <f t="shared" si="12"/>
        <v/>
      </c>
      <c r="AT53" s="15"/>
      <c r="AU53" s="15"/>
      <c r="AV53" s="20"/>
      <c r="AW53" s="12" t="str">
        <f>IF($A53="","",SUMIFS('Consumable Usage'!$E:$E,'Consumable Usage'!$A:$A,$A53,'Consumable Usage'!$D:$D,5))</f>
        <v/>
      </c>
      <c r="AX53" s="12" t="str">
        <f>IF($A53="","",SUMIFS('Nursing Charges'!$I:$I,'Nursing Charges'!$A:$A,$A53,'Nursing Charges'!$C:$C,5))</f>
        <v/>
      </c>
      <c r="AY53" s="12" t="str">
        <f>IF($A53="","",AV53+(AX53-SUMIFS('Nursing Charges'!$J:$J,'Nursing Charges'!$A:$A,$A53,'Nursing Charges'!$C:$C,5))+(AW53-SUMIFS('Consumable Usage'!$F:$F,'Consumable Usage'!$A:$A,$A53,'Consumable Usage'!$D:$D,5)))</f>
        <v/>
      </c>
      <c r="AZ53" s="12" t="str">
        <f t="shared" si="13"/>
        <v/>
      </c>
      <c r="BA53" s="20"/>
      <c r="BB53" s="12" t="str">
        <f t="shared" si="14"/>
        <v/>
      </c>
      <c r="BC53" s="45" t="str">
        <f t="shared" si="15"/>
        <v/>
      </c>
      <c r="BD53" s="15"/>
      <c r="BE53" s="15"/>
      <c r="BF53" s="20"/>
      <c r="BG53" s="12" t="str">
        <f>IF($A53="","",SUMIFS('Consumable Usage'!$E:$E,'Consumable Usage'!$A:$A,$A53,'Consumable Usage'!$D:$D,6))</f>
        <v/>
      </c>
      <c r="BH53" s="12" t="str">
        <f>IF($A53="","",SUMIFS('Nursing Charges'!$I:$I,'Nursing Charges'!$A:$A,$A53,'Nursing Charges'!$C:$C,6))</f>
        <v/>
      </c>
      <c r="BI53" s="12" t="str">
        <f>IF($A53="","",BF53+(BH53-SUMIFS('Nursing Charges'!$J:$J,'Nursing Charges'!$A:$A,$A53,'Nursing Charges'!$C:$C,6))+(BG53-SUMIFS('Consumable Usage'!$F:$F,'Consumable Usage'!$A:$A,$A53,'Consumable Usage'!$D:$D,6)))</f>
        <v/>
      </c>
      <c r="BJ53" s="12" t="str">
        <f t="shared" si="16"/>
        <v/>
      </c>
      <c r="BK53" s="20"/>
      <c r="BL53" s="12" t="str">
        <f t="shared" si="17"/>
        <v/>
      </c>
      <c r="BM53" s="45" t="str">
        <f t="shared" si="18"/>
        <v/>
      </c>
      <c r="BN53" s="15"/>
      <c r="BO53" s="15"/>
      <c r="BP53" s="20"/>
      <c r="BQ53" s="12" t="str">
        <f>IF($A53="","",SUMIFS('Consumable Usage'!$E:$E,'Consumable Usage'!$A:$A,$A53,'Consumable Usage'!$D:$D,7))</f>
        <v/>
      </c>
      <c r="BR53" s="12" t="str">
        <f>IF($A53="","",SUMIFS('Nursing Charges'!$I:$I,'Nursing Charges'!$A:$A,$A53,'Nursing Charges'!$C:$C,7))</f>
        <v/>
      </c>
      <c r="BS53" s="12" t="str">
        <f>IF($A53="","",BP53+(BR53-SUMIFS('Nursing Charges'!$J:$J,'Nursing Charges'!$A:$A,$A53,'Nursing Charges'!$C:$C,7))+(BQ53-SUMIFS('Consumable Usage'!$F:$F,'Consumable Usage'!$A:$A,$A53,'Consumable Usage'!$D:$D,7)))</f>
        <v/>
      </c>
      <c r="BT53" s="12" t="str">
        <f t="shared" si="19"/>
        <v/>
      </c>
      <c r="BU53" s="20"/>
      <c r="BV53" s="12" t="str">
        <f t="shared" si="20"/>
        <v/>
      </c>
      <c r="BW53" s="45" t="str">
        <f t="shared" si="21"/>
        <v/>
      </c>
      <c r="BX53" s="15"/>
      <c r="BY53" s="15"/>
      <c r="BZ53" s="20"/>
      <c r="CA53" s="12" t="str">
        <f>IF($A53="","",SUMIFS('Consumable Usage'!$E:$E,'Consumable Usage'!$A:$A,$A53,'Consumable Usage'!$D:$D,8))</f>
        <v/>
      </c>
      <c r="CB53" s="12" t="str">
        <f>IF($A53="","",SUMIFS('Nursing Charges'!$I:$I,'Nursing Charges'!$A:$A,$A53,'Nursing Charges'!$C:$C,8))</f>
        <v/>
      </c>
      <c r="CC53" s="12" t="str">
        <f>IF($A53="","",BZ53+(CB53-SUMIFS('Nursing Charges'!$J:$J,'Nursing Charges'!$A:$A,$A53,'Nursing Charges'!$C:$C,8))+(CA53-SUMIFS('Consumable Usage'!$F:$F,'Consumable Usage'!$A:$A,$A53,'Consumable Usage'!$D:$D,8)))</f>
        <v/>
      </c>
      <c r="CD53" s="12" t="str">
        <f t="shared" si="22"/>
        <v/>
      </c>
      <c r="CE53" s="20"/>
      <c r="CF53" s="12" t="str">
        <f t="shared" si="23"/>
        <v/>
      </c>
      <c r="CG53" s="45" t="str">
        <f t="shared" si="24"/>
        <v/>
      </c>
      <c r="CH53" s="15"/>
      <c r="CI53" s="15"/>
      <c r="CJ53" s="20"/>
      <c r="CK53" s="12" t="str">
        <f>IF($A53="","",SUMIFS('Consumable Usage'!$E:$E,'Consumable Usage'!$A:$A,$A53,'Consumable Usage'!$D:$D,9))</f>
        <v/>
      </c>
      <c r="CL53" s="12" t="str">
        <f>IF($A53="","",SUMIFS('Nursing Charges'!$I:$I,'Nursing Charges'!$A:$A,$A53,'Nursing Charges'!$C:$C,9))</f>
        <v/>
      </c>
      <c r="CM53" s="12" t="str">
        <f>IF($A53="","",CJ53+(CL53-SUMIFS('Nursing Charges'!$J:$J,'Nursing Charges'!$A:$A,$A53,'Nursing Charges'!$C:$C,9))+(CK53-SUMIFS('Consumable Usage'!$F:$F,'Consumable Usage'!$A:$A,$A53,'Consumable Usage'!$D:$D,9)))</f>
        <v/>
      </c>
      <c r="CN53" s="12" t="str">
        <f t="shared" si="25"/>
        <v/>
      </c>
      <c r="CO53" s="20"/>
      <c r="CP53" s="12" t="str">
        <f t="shared" si="26"/>
        <v/>
      </c>
      <c r="CQ53" s="45" t="str">
        <f t="shared" si="27"/>
        <v/>
      </c>
      <c r="CR53" s="15"/>
      <c r="CS53" s="15"/>
      <c r="CT53" s="20"/>
      <c r="CU53" s="12" t="str">
        <f>IF($A53="","",SUMIFS('Consumable Usage'!$E:$E,'Consumable Usage'!$A:$A,$A53,'Consumable Usage'!$D:$D,10))</f>
        <v/>
      </c>
      <c r="CV53" s="12" t="str">
        <f>IF($A53="","",SUMIFS('Nursing Charges'!$I:$I,'Nursing Charges'!$A:$A,$A53,'Nursing Charges'!$C:$C,10))</f>
        <v/>
      </c>
      <c r="CW53" s="12" t="str">
        <f>IF($A53="","",CT53+(CV53-SUMIFS('Nursing Charges'!$J:$J,'Nursing Charges'!$A:$A,$A53,'Nursing Charges'!$C:$C,10))+(CU53-SUMIFS('Consumable Usage'!$F:$F,'Consumable Usage'!$A:$A,$A53,'Consumable Usage'!$D:$D,10)))</f>
        <v/>
      </c>
      <c r="CX53" s="12" t="str">
        <f t="shared" si="28"/>
        <v/>
      </c>
      <c r="CY53" s="20"/>
      <c r="CZ53" s="12" t="str">
        <f t="shared" si="29"/>
        <v/>
      </c>
      <c r="DA53" s="45" t="str">
        <f t="shared" si="30"/>
        <v/>
      </c>
      <c r="DB53" s="15"/>
      <c r="DC53" s="15"/>
      <c r="DD53" s="20"/>
      <c r="DE53" s="12" t="str">
        <f>IF($A53="","",SUMIFS('Consumable Usage'!$E:$E,'Consumable Usage'!$A:$A,$A53,'Consumable Usage'!$D:$D,11))</f>
        <v/>
      </c>
      <c r="DF53" s="12" t="str">
        <f>IF($A53="","",SUMIFS('Nursing Charges'!$I:$I,'Nursing Charges'!$A:$A,$A53,'Nursing Charges'!$C:$C,11))</f>
        <v/>
      </c>
      <c r="DG53" s="12" t="str">
        <f>IF($A53="","",DD53+(DF53-SUMIFS('Nursing Charges'!$J:$J,'Nursing Charges'!$A:$A,$A53,'Nursing Charges'!$C:$C,11))+(DE53-SUMIFS('Consumable Usage'!$F:$F,'Consumable Usage'!$A:$A,$A53,'Consumable Usage'!$D:$D,11)))</f>
        <v/>
      </c>
      <c r="DH53" s="12" t="str">
        <f t="shared" si="31"/>
        <v/>
      </c>
      <c r="DI53" s="20"/>
      <c r="DJ53" s="12" t="str">
        <f t="shared" si="32"/>
        <v/>
      </c>
      <c r="DK53" s="45" t="str">
        <f t="shared" si="33"/>
        <v/>
      </c>
      <c r="DL53" s="15"/>
      <c r="DM53" s="15"/>
      <c r="DN53" s="20"/>
      <c r="DO53" s="12" t="str">
        <f>IF($A53="","",SUMIFS('Consumable Usage'!$E:$E,'Consumable Usage'!$A:$A,$A53,'Consumable Usage'!$D:$D,12))</f>
        <v/>
      </c>
      <c r="DP53" s="12" t="str">
        <f>IF($A53="","",SUMIFS('Nursing Charges'!$I:$I,'Nursing Charges'!$A:$A,$A53,'Nursing Charges'!$C:$C,12))</f>
        <v/>
      </c>
      <c r="DQ53" s="12" t="str">
        <f>IF($A53="","",DN53+(DP53-SUMIFS('Nursing Charges'!$J:$J,'Nursing Charges'!$A:$A,$A53,'Nursing Charges'!$C:$C,12))+(DO53-SUMIFS('Consumable Usage'!$F:$F,'Consumable Usage'!$A:$A,$A53,'Consumable Usage'!$D:$D,12)))</f>
        <v/>
      </c>
      <c r="DR53" s="12" t="str">
        <f t="shared" si="34"/>
        <v/>
      </c>
      <c r="DS53" s="20"/>
      <c r="DT53" s="12" t="str">
        <f t="shared" si="35"/>
        <v/>
      </c>
      <c r="DU53" s="45" t="str">
        <f t="shared" si="36"/>
        <v/>
      </c>
      <c r="DV53" s="15"/>
      <c r="DW53" s="15"/>
      <c r="DX53" s="20"/>
      <c r="DY53" s="12" t="str">
        <f>IF($A53="","",SUMIFS('Consumable Usage'!$E:$E,'Consumable Usage'!$A:$A,$A53,'Consumable Usage'!$D:$D,13))</f>
        <v/>
      </c>
      <c r="DZ53" s="12" t="str">
        <f>IF($A53="","",SUMIFS('Nursing Charges'!$I:$I,'Nursing Charges'!$A:$A,$A53,'Nursing Charges'!$C:$C,13))</f>
        <v/>
      </c>
      <c r="EA53" s="12" t="str">
        <f>IF($A53="","",DX53+(DZ53-SUMIFS('Nursing Charges'!$J:$J,'Nursing Charges'!$A:$A,$A53,'Nursing Charges'!$C:$C,13))+(DY53-SUMIFS('Consumable Usage'!$F:$F,'Consumable Usage'!$A:$A,$A53,'Consumable Usage'!$D:$D,13)))</f>
        <v/>
      </c>
      <c r="EB53" s="12" t="str">
        <f t="shared" si="37"/>
        <v/>
      </c>
      <c r="EC53" s="20"/>
      <c r="ED53" s="12" t="str">
        <f t="shared" si="38"/>
        <v/>
      </c>
      <c r="EE53" s="45" t="str">
        <f t="shared" si="39"/>
        <v/>
      </c>
      <c r="EF53" s="15"/>
      <c r="EG53" s="15"/>
      <c r="EH53" s="20"/>
      <c r="EI53" s="12" t="str">
        <f>IF($A53="","",SUMIFS('Consumable Usage'!$E:$E,'Consumable Usage'!$A:$A,$A53,'Consumable Usage'!$D:$D,14))</f>
        <v/>
      </c>
      <c r="EJ53" s="12" t="str">
        <f>IF($A53="","",SUMIFS('Nursing Charges'!$I:$I,'Nursing Charges'!$A:$A,$A53,'Nursing Charges'!$C:$C,14))</f>
        <v/>
      </c>
      <c r="EK53" s="12" t="str">
        <f>IF($A53="","",EH53+(EJ53-SUMIFS('Nursing Charges'!$J:$J,'Nursing Charges'!$A:$A,$A53,'Nursing Charges'!$C:$C,14))+(EI53-SUMIFS('Consumable Usage'!$F:$F,'Consumable Usage'!$A:$A,$A53,'Consumable Usage'!$D:$D,14)))</f>
        <v/>
      </c>
      <c r="EL53" s="12" t="str">
        <f t="shared" si="40"/>
        <v/>
      </c>
      <c r="EM53" s="20"/>
      <c r="EN53" s="12" t="str">
        <f t="shared" si="41"/>
        <v/>
      </c>
      <c r="EO53" s="45" t="str">
        <f t="shared" si="42"/>
        <v/>
      </c>
      <c r="EP53" s="15"/>
      <c r="EQ53" s="15"/>
      <c r="ER53" s="20"/>
      <c r="ES53" s="12" t="str">
        <f>IF($A53="","",SUMIFS('Consumable Usage'!$E:$E,'Consumable Usage'!$A:$A,$A53,'Consumable Usage'!$D:$D,15))</f>
        <v/>
      </c>
      <c r="ET53" s="12" t="str">
        <f>IF($A53="","",SUMIFS('Nursing Charges'!$I:$I,'Nursing Charges'!$A:$A,$A53,'Nursing Charges'!$C:$C,15))</f>
        <v/>
      </c>
      <c r="EU53" s="12" t="str">
        <f>IF($A53="","",ER53+(ET53-SUMIFS('Nursing Charges'!$J:$J,'Nursing Charges'!$A:$A,$A53,'Nursing Charges'!$C:$C,15))+(ES53-SUMIFS('Consumable Usage'!$F:$F,'Consumable Usage'!$A:$A,$A53,'Consumable Usage'!$D:$D,15)))</f>
        <v/>
      </c>
      <c r="EV53" s="12" t="str">
        <f t="shared" si="43"/>
        <v/>
      </c>
      <c r="EW53" s="20"/>
      <c r="EX53" s="12" t="str">
        <f t="shared" si="44"/>
        <v/>
      </c>
      <c r="EY53" s="45" t="str">
        <f t="shared" si="45"/>
        <v/>
      </c>
      <c r="EZ53" s="15"/>
      <c r="FA53" s="15"/>
      <c r="FB53" s="20"/>
      <c r="FC53" s="12" t="str">
        <f>IF($A53="","",SUMIFS('Consumable Usage'!$E:$E,'Consumable Usage'!$A:$A,$A53,'Consumable Usage'!$D:$D,16))</f>
        <v/>
      </c>
      <c r="FD53" s="12" t="str">
        <f>IF($A53="","",SUMIFS('Nursing Charges'!$I:$I,'Nursing Charges'!$A:$A,$A53,'Nursing Charges'!$C:$C,16))</f>
        <v/>
      </c>
      <c r="FE53" s="12" t="str">
        <f>IF($A53="","",FB53+(FD53-SUMIFS('Nursing Charges'!$J:$J,'Nursing Charges'!$A:$A,$A53,'Nursing Charges'!$C:$C,16))+(FC53-SUMIFS('Consumable Usage'!$F:$F,'Consumable Usage'!$A:$A,$A53,'Consumable Usage'!$D:$D,16)))</f>
        <v/>
      </c>
      <c r="FF53" s="12" t="str">
        <f t="shared" si="46"/>
        <v/>
      </c>
      <c r="FG53" s="20"/>
      <c r="FH53" s="12" t="str">
        <f t="shared" si="47"/>
        <v/>
      </c>
      <c r="FI53" s="45" t="str">
        <f t="shared" si="48"/>
        <v/>
      </c>
      <c r="FJ53" s="53"/>
      <c r="FK53" s="53"/>
      <c r="FL53" s="63"/>
      <c r="FM53" s="63" t="str">
        <f>IF($A53="","",SUMIFS('Consumable Usage'!$E:$E,'Consumable Usage'!$A:$A,$A53,'Consumable Usage'!$D:$D,16))</f>
        <v/>
      </c>
      <c r="FN53" s="63" t="str">
        <f>IF($A53="","",SUMIFS('Nursing Charges'!$I:$I,'Nursing Charges'!$A:$A,$A53,'Nursing Charges'!$C:$C,16))</f>
        <v/>
      </c>
      <c r="FO53" s="63" t="str">
        <f>IF($A53="","",FL53+(FN53-SUMIFS('Nursing Charges'!$J:$J,'Nursing Charges'!$A:$A,$A53,'Nursing Charges'!$C:$C,16))+(FM53-SUMIFS('Consumable Usage'!$F:$F,'Consumable Usage'!$A:$A,$A53,'Consumable Usage'!$D:$D,16)))</f>
        <v/>
      </c>
      <c r="FP53" s="63" t="str">
        <f t="shared" si="49"/>
        <v/>
      </c>
      <c r="FQ53" s="63"/>
      <c r="FR53" s="63" t="str">
        <f t="shared" si="50"/>
        <v/>
      </c>
      <c r="FS53" s="53" t="str">
        <f t="shared" si="51"/>
        <v/>
      </c>
    </row>
    <row r="54" ht="15.0" customHeight="1">
      <c r="A54" s="15"/>
      <c r="B54" s="15"/>
      <c r="C54" s="15"/>
      <c r="D54" s="15"/>
      <c r="E54" s="15"/>
      <c r="F54" s="15"/>
      <c r="G54" s="15"/>
      <c r="H54" s="20"/>
      <c r="I54" s="12" t="str">
        <f>IF($A54="","",SUMIFS('Consumable Usage'!$E:$E,'Consumable Usage'!$A:$A,$A54,'Consumable Usage'!$D:$D,1))</f>
        <v/>
      </c>
      <c r="J54" s="12" t="str">
        <f>IF($A54="","",SUMIFS('Nursing Charges'!$I:$I,'Nursing Charges'!$A:$A,$A54,'Nursing Charges'!$C:$C,1))</f>
        <v/>
      </c>
      <c r="K54" s="12" t="str">
        <f>IF($A54="","",H54+(J54-SUMIFS('Nursing Charges'!$J:$J,'Nursing Charges'!$A:$A,$A54,'Nursing Charges'!$C:$C,1))+(I54-SUMIFS('Consumable Usage'!$F:$F,'Consumable Usage'!$A:$A,$A54,'Consumable Usage'!$D:$D,1)))</f>
        <v/>
      </c>
      <c r="L54" s="12" t="str">
        <f t="shared" si="1"/>
        <v/>
      </c>
      <c r="M54" s="20"/>
      <c r="N54" s="12" t="str">
        <f t="shared" si="2"/>
        <v/>
      </c>
      <c r="O54" s="45" t="str">
        <f t="shared" si="3"/>
        <v/>
      </c>
      <c r="P54" s="15"/>
      <c r="Q54" s="15"/>
      <c r="R54" s="20"/>
      <c r="S54" s="12" t="str">
        <f>IF($A54="","",SUMIFS('Consumable Usage'!$E:$E,'Consumable Usage'!$A:$A,$A54,'Consumable Usage'!$D:$D,2))</f>
        <v/>
      </c>
      <c r="T54" s="12" t="str">
        <f>IF($A54="","",SUMIFS('Nursing Charges'!$I:$I,'Nursing Charges'!$A:$A,$A54,'Nursing Charges'!$C:$C,2))</f>
        <v/>
      </c>
      <c r="U54" s="12" t="str">
        <f>IF($A54="","",R54+(T54-SUMIFS('Nursing Charges'!$J:$J,'Nursing Charges'!$A:$A,$A54,'Nursing Charges'!$C:$C,2))+(S54-SUMIFS('Consumable Usage'!$F:$F,'Consumable Usage'!$A:$A,$A54,'Consumable Usage'!$D:$D,2)))</f>
        <v/>
      </c>
      <c r="V54" s="12" t="str">
        <f t="shared" si="4"/>
        <v/>
      </c>
      <c r="W54" s="20"/>
      <c r="X54" s="12" t="str">
        <f t="shared" si="5"/>
        <v/>
      </c>
      <c r="Y54" s="45" t="str">
        <f t="shared" si="6"/>
        <v/>
      </c>
      <c r="Z54" s="15"/>
      <c r="AA54" s="15"/>
      <c r="AB54" s="20"/>
      <c r="AC54" s="12" t="str">
        <f>IF($A54="","",SUMIFS('Consumable Usage'!$E:$E,'Consumable Usage'!$A:$A,$A54,'Consumable Usage'!$D:$D,3))</f>
        <v/>
      </c>
      <c r="AD54" s="12" t="str">
        <f>IF($A54="","",SUMIFS('Nursing Charges'!$I:$I,'Nursing Charges'!$A:$A,$A54,'Nursing Charges'!$C:$C,3))</f>
        <v/>
      </c>
      <c r="AE54" s="12" t="str">
        <f>IF($A54="","",AB54+(AD54-SUMIFS('Nursing Charges'!$J:$J,'Nursing Charges'!$A:$A,$A54,'Nursing Charges'!$C:$C,3))+(AC54-SUMIFS('Consumable Usage'!$F:$F,'Consumable Usage'!$A:$A,$A54,'Consumable Usage'!$D:$D,3)))</f>
        <v/>
      </c>
      <c r="AF54" s="12" t="str">
        <f t="shared" si="7"/>
        <v/>
      </c>
      <c r="AG54" s="20"/>
      <c r="AH54" s="12" t="str">
        <f t="shared" si="8"/>
        <v/>
      </c>
      <c r="AI54" s="45" t="str">
        <f t="shared" si="9"/>
        <v/>
      </c>
      <c r="AJ54" s="15"/>
      <c r="AK54" s="15"/>
      <c r="AL54" s="20"/>
      <c r="AM54" s="12" t="str">
        <f>IF($A54="","",SUMIFS('Consumable Usage'!$E:$E,'Consumable Usage'!$A:$A,$A54,'Consumable Usage'!$D:$D,4))</f>
        <v/>
      </c>
      <c r="AN54" s="12" t="str">
        <f>IF($A54="","",SUMIFS('Nursing Charges'!$I:$I,'Nursing Charges'!$A:$A,$A54,'Nursing Charges'!$C:$C,4))</f>
        <v/>
      </c>
      <c r="AO54" s="12" t="str">
        <f>IF($A54="","",AL54+(AN54-SUMIFS('Nursing Charges'!$J:$J,'Nursing Charges'!$A:$A,$A54,'Nursing Charges'!$C:$C,4))+(AM54-SUMIFS('Consumable Usage'!$F:$F,'Consumable Usage'!$A:$A,$A54,'Consumable Usage'!$D:$D,4)))</f>
        <v/>
      </c>
      <c r="AP54" s="12" t="str">
        <f t="shared" si="10"/>
        <v/>
      </c>
      <c r="AQ54" s="20"/>
      <c r="AR54" s="12" t="str">
        <f t="shared" si="11"/>
        <v/>
      </c>
      <c r="AS54" s="45" t="str">
        <f t="shared" si="12"/>
        <v/>
      </c>
      <c r="AT54" s="15"/>
      <c r="AU54" s="15"/>
      <c r="AV54" s="20"/>
      <c r="AW54" s="12" t="str">
        <f>IF($A54="","",SUMIFS('Consumable Usage'!$E:$E,'Consumable Usage'!$A:$A,$A54,'Consumable Usage'!$D:$D,5))</f>
        <v/>
      </c>
      <c r="AX54" s="12" t="str">
        <f>IF($A54="","",SUMIFS('Nursing Charges'!$I:$I,'Nursing Charges'!$A:$A,$A54,'Nursing Charges'!$C:$C,5))</f>
        <v/>
      </c>
      <c r="AY54" s="12" t="str">
        <f>IF($A54="","",AV54+(AX54-SUMIFS('Nursing Charges'!$J:$J,'Nursing Charges'!$A:$A,$A54,'Nursing Charges'!$C:$C,5))+(AW54-SUMIFS('Consumable Usage'!$F:$F,'Consumable Usage'!$A:$A,$A54,'Consumable Usage'!$D:$D,5)))</f>
        <v/>
      </c>
      <c r="AZ54" s="12" t="str">
        <f t="shared" si="13"/>
        <v/>
      </c>
      <c r="BA54" s="20"/>
      <c r="BB54" s="12" t="str">
        <f t="shared" si="14"/>
        <v/>
      </c>
      <c r="BC54" s="45" t="str">
        <f t="shared" si="15"/>
        <v/>
      </c>
      <c r="BD54" s="15"/>
      <c r="BE54" s="15"/>
      <c r="BF54" s="20"/>
      <c r="BG54" s="12" t="str">
        <f>IF($A54="","",SUMIFS('Consumable Usage'!$E:$E,'Consumable Usage'!$A:$A,$A54,'Consumable Usage'!$D:$D,6))</f>
        <v/>
      </c>
      <c r="BH54" s="12" t="str">
        <f>IF($A54="","",SUMIFS('Nursing Charges'!$I:$I,'Nursing Charges'!$A:$A,$A54,'Nursing Charges'!$C:$C,6))</f>
        <v/>
      </c>
      <c r="BI54" s="12" t="str">
        <f>IF($A54="","",BF54+(BH54-SUMIFS('Nursing Charges'!$J:$J,'Nursing Charges'!$A:$A,$A54,'Nursing Charges'!$C:$C,6))+(BG54-SUMIFS('Consumable Usage'!$F:$F,'Consumable Usage'!$A:$A,$A54,'Consumable Usage'!$D:$D,6)))</f>
        <v/>
      </c>
      <c r="BJ54" s="12" t="str">
        <f t="shared" si="16"/>
        <v/>
      </c>
      <c r="BK54" s="20"/>
      <c r="BL54" s="12" t="str">
        <f t="shared" si="17"/>
        <v/>
      </c>
      <c r="BM54" s="45" t="str">
        <f t="shared" si="18"/>
        <v/>
      </c>
      <c r="BN54" s="15"/>
      <c r="BO54" s="15"/>
      <c r="BP54" s="20"/>
      <c r="BQ54" s="12" t="str">
        <f>IF($A54="","",SUMIFS('Consumable Usage'!$E:$E,'Consumable Usage'!$A:$A,$A54,'Consumable Usage'!$D:$D,7))</f>
        <v/>
      </c>
      <c r="BR54" s="12" t="str">
        <f>IF($A54="","",SUMIFS('Nursing Charges'!$I:$I,'Nursing Charges'!$A:$A,$A54,'Nursing Charges'!$C:$C,7))</f>
        <v/>
      </c>
      <c r="BS54" s="12" t="str">
        <f>IF($A54="","",BP54+(BR54-SUMIFS('Nursing Charges'!$J:$J,'Nursing Charges'!$A:$A,$A54,'Nursing Charges'!$C:$C,7))+(BQ54-SUMIFS('Consumable Usage'!$F:$F,'Consumable Usage'!$A:$A,$A54,'Consumable Usage'!$D:$D,7)))</f>
        <v/>
      </c>
      <c r="BT54" s="12" t="str">
        <f t="shared" si="19"/>
        <v/>
      </c>
      <c r="BU54" s="20"/>
      <c r="BV54" s="12" t="str">
        <f t="shared" si="20"/>
        <v/>
      </c>
      <c r="BW54" s="45" t="str">
        <f t="shared" si="21"/>
        <v/>
      </c>
      <c r="BX54" s="15"/>
      <c r="BY54" s="15"/>
      <c r="BZ54" s="20"/>
      <c r="CA54" s="12" t="str">
        <f>IF($A54="","",SUMIFS('Consumable Usage'!$E:$E,'Consumable Usage'!$A:$A,$A54,'Consumable Usage'!$D:$D,8))</f>
        <v/>
      </c>
      <c r="CB54" s="12" t="str">
        <f>IF($A54="","",SUMIFS('Nursing Charges'!$I:$I,'Nursing Charges'!$A:$A,$A54,'Nursing Charges'!$C:$C,8))</f>
        <v/>
      </c>
      <c r="CC54" s="12" t="str">
        <f>IF($A54="","",BZ54+(CB54-SUMIFS('Nursing Charges'!$J:$J,'Nursing Charges'!$A:$A,$A54,'Nursing Charges'!$C:$C,8))+(CA54-SUMIFS('Consumable Usage'!$F:$F,'Consumable Usage'!$A:$A,$A54,'Consumable Usage'!$D:$D,8)))</f>
        <v/>
      </c>
      <c r="CD54" s="12" t="str">
        <f t="shared" si="22"/>
        <v/>
      </c>
      <c r="CE54" s="20"/>
      <c r="CF54" s="12" t="str">
        <f t="shared" si="23"/>
        <v/>
      </c>
      <c r="CG54" s="45" t="str">
        <f t="shared" si="24"/>
        <v/>
      </c>
      <c r="CH54" s="15"/>
      <c r="CI54" s="15"/>
      <c r="CJ54" s="20"/>
      <c r="CK54" s="12" t="str">
        <f>IF($A54="","",SUMIFS('Consumable Usage'!$E:$E,'Consumable Usage'!$A:$A,$A54,'Consumable Usage'!$D:$D,9))</f>
        <v/>
      </c>
      <c r="CL54" s="12" t="str">
        <f>IF($A54="","",SUMIFS('Nursing Charges'!$I:$I,'Nursing Charges'!$A:$A,$A54,'Nursing Charges'!$C:$C,9))</f>
        <v/>
      </c>
      <c r="CM54" s="12" t="str">
        <f>IF($A54="","",CJ54+(CL54-SUMIFS('Nursing Charges'!$J:$J,'Nursing Charges'!$A:$A,$A54,'Nursing Charges'!$C:$C,9))+(CK54-SUMIFS('Consumable Usage'!$F:$F,'Consumable Usage'!$A:$A,$A54,'Consumable Usage'!$D:$D,9)))</f>
        <v/>
      </c>
      <c r="CN54" s="12" t="str">
        <f t="shared" si="25"/>
        <v/>
      </c>
      <c r="CO54" s="20"/>
      <c r="CP54" s="12" t="str">
        <f t="shared" si="26"/>
        <v/>
      </c>
      <c r="CQ54" s="45" t="str">
        <f t="shared" si="27"/>
        <v/>
      </c>
      <c r="CR54" s="15"/>
      <c r="CS54" s="15"/>
      <c r="CT54" s="20"/>
      <c r="CU54" s="12" t="str">
        <f>IF($A54="","",SUMIFS('Consumable Usage'!$E:$E,'Consumable Usage'!$A:$A,$A54,'Consumable Usage'!$D:$D,10))</f>
        <v/>
      </c>
      <c r="CV54" s="12" t="str">
        <f>IF($A54="","",SUMIFS('Nursing Charges'!$I:$I,'Nursing Charges'!$A:$A,$A54,'Nursing Charges'!$C:$C,10))</f>
        <v/>
      </c>
      <c r="CW54" s="12" t="str">
        <f>IF($A54="","",CT54+(CV54-SUMIFS('Nursing Charges'!$J:$J,'Nursing Charges'!$A:$A,$A54,'Nursing Charges'!$C:$C,10))+(CU54-SUMIFS('Consumable Usage'!$F:$F,'Consumable Usage'!$A:$A,$A54,'Consumable Usage'!$D:$D,10)))</f>
        <v/>
      </c>
      <c r="CX54" s="12" t="str">
        <f t="shared" si="28"/>
        <v/>
      </c>
      <c r="CY54" s="20"/>
      <c r="CZ54" s="12" t="str">
        <f t="shared" si="29"/>
        <v/>
      </c>
      <c r="DA54" s="45" t="str">
        <f t="shared" si="30"/>
        <v/>
      </c>
      <c r="DB54" s="15"/>
      <c r="DC54" s="15"/>
      <c r="DD54" s="20"/>
      <c r="DE54" s="12" t="str">
        <f>IF($A54="","",SUMIFS('Consumable Usage'!$E:$E,'Consumable Usage'!$A:$A,$A54,'Consumable Usage'!$D:$D,11))</f>
        <v/>
      </c>
      <c r="DF54" s="12" t="str">
        <f>IF($A54="","",SUMIFS('Nursing Charges'!$I:$I,'Nursing Charges'!$A:$A,$A54,'Nursing Charges'!$C:$C,11))</f>
        <v/>
      </c>
      <c r="DG54" s="12" t="str">
        <f>IF($A54="","",DD54+(DF54-SUMIFS('Nursing Charges'!$J:$J,'Nursing Charges'!$A:$A,$A54,'Nursing Charges'!$C:$C,11))+(DE54-SUMIFS('Consumable Usage'!$F:$F,'Consumable Usage'!$A:$A,$A54,'Consumable Usage'!$D:$D,11)))</f>
        <v/>
      </c>
      <c r="DH54" s="12" t="str">
        <f t="shared" si="31"/>
        <v/>
      </c>
      <c r="DI54" s="20"/>
      <c r="DJ54" s="12" t="str">
        <f t="shared" si="32"/>
        <v/>
      </c>
      <c r="DK54" s="45" t="str">
        <f t="shared" si="33"/>
        <v/>
      </c>
      <c r="DL54" s="15"/>
      <c r="DM54" s="15"/>
      <c r="DN54" s="20"/>
      <c r="DO54" s="12" t="str">
        <f>IF($A54="","",SUMIFS('Consumable Usage'!$E:$E,'Consumable Usage'!$A:$A,$A54,'Consumable Usage'!$D:$D,12))</f>
        <v/>
      </c>
      <c r="DP54" s="12" t="str">
        <f>IF($A54="","",SUMIFS('Nursing Charges'!$I:$I,'Nursing Charges'!$A:$A,$A54,'Nursing Charges'!$C:$C,12))</f>
        <v/>
      </c>
      <c r="DQ54" s="12" t="str">
        <f>IF($A54="","",DN54+(DP54-SUMIFS('Nursing Charges'!$J:$J,'Nursing Charges'!$A:$A,$A54,'Nursing Charges'!$C:$C,12))+(DO54-SUMIFS('Consumable Usage'!$F:$F,'Consumable Usage'!$A:$A,$A54,'Consumable Usage'!$D:$D,12)))</f>
        <v/>
      </c>
      <c r="DR54" s="12" t="str">
        <f t="shared" si="34"/>
        <v/>
      </c>
      <c r="DS54" s="20"/>
      <c r="DT54" s="12" t="str">
        <f t="shared" si="35"/>
        <v/>
      </c>
      <c r="DU54" s="45" t="str">
        <f t="shared" si="36"/>
        <v/>
      </c>
      <c r="DV54" s="15"/>
      <c r="DW54" s="15"/>
      <c r="DX54" s="20"/>
      <c r="DY54" s="12" t="str">
        <f>IF($A54="","",SUMIFS('Consumable Usage'!$E:$E,'Consumable Usage'!$A:$A,$A54,'Consumable Usage'!$D:$D,13))</f>
        <v/>
      </c>
      <c r="DZ54" s="12" t="str">
        <f>IF($A54="","",SUMIFS('Nursing Charges'!$I:$I,'Nursing Charges'!$A:$A,$A54,'Nursing Charges'!$C:$C,13))</f>
        <v/>
      </c>
      <c r="EA54" s="12" t="str">
        <f>IF($A54="","",DX54+(DZ54-SUMIFS('Nursing Charges'!$J:$J,'Nursing Charges'!$A:$A,$A54,'Nursing Charges'!$C:$C,13))+(DY54-SUMIFS('Consumable Usage'!$F:$F,'Consumable Usage'!$A:$A,$A54,'Consumable Usage'!$D:$D,13)))</f>
        <v/>
      </c>
      <c r="EB54" s="12" t="str">
        <f t="shared" si="37"/>
        <v/>
      </c>
      <c r="EC54" s="20"/>
      <c r="ED54" s="12" t="str">
        <f t="shared" si="38"/>
        <v/>
      </c>
      <c r="EE54" s="45" t="str">
        <f t="shared" si="39"/>
        <v/>
      </c>
      <c r="EF54" s="15"/>
      <c r="EG54" s="15"/>
      <c r="EH54" s="20"/>
      <c r="EI54" s="12" t="str">
        <f>IF($A54="","",SUMIFS('Consumable Usage'!$E:$E,'Consumable Usage'!$A:$A,$A54,'Consumable Usage'!$D:$D,14))</f>
        <v/>
      </c>
      <c r="EJ54" s="12" t="str">
        <f>IF($A54="","",SUMIFS('Nursing Charges'!$I:$I,'Nursing Charges'!$A:$A,$A54,'Nursing Charges'!$C:$C,14))</f>
        <v/>
      </c>
      <c r="EK54" s="12" t="str">
        <f>IF($A54="","",EH54+(EJ54-SUMIFS('Nursing Charges'!$J:$J,'Nursing Charges'!$A:$A,$A54,'Nursing Charges'!$C:$C,14))+(EI54-SUMIFS('Consumable Usage'!$F:$F,'Consumable Usage'!$A:$A,$A54,'Consumable Usage'!$D:$D,14)))</f>
        <v/>
      </c>
      <c r="EL54" s="12" t="str">
        <f t="shared" si="40"/>
        <v/>
      </c>
      <c r="EM54" s="20"/>
      <c r="EN54" s="12" t="str">
        <f t="shared" si="41"/>
        <v/>
      </c>
      <c r="EO54" s="45" t="str">
        <f t="shared" si="42"/>
        <v/>
      </c>
      <c r="EP54" s="15"/>
      <c r="EQ54" s="15"/>
      <c r="ER54" s="20"/>
      <c r="ES54" s="12" t="str">
        <f>IF($A54="","",SUMIFS('Consumable Usage'!$E:$E,'Consumable Usage'!$A:$A,$A54,'Consumable Usage'!$D:$D,15))</f>
        <v/>
      </c>
      <c r="ET54" s="12" t="str">
        <f>IF($A54="","",SUMIFS('Nursing Charges'!$I:$I,'Nursing Charges'!$A:$A,$A54,'Nursing Charges'!$C:$C,15))</f>
        <v/>
      </c>
      <c r="EU54" s="12" t="str">
        <f>IF($A54="","",ER54+(ET54-SUMIFS('Nursing Charges'!$J:$J,'Nursing Charges'!$A:$A,$A54,'Nursing Charges'!$C:$C,15))+(ES54-SUMIFS('Consumable Usage'!$F:$F,'Consumable Usage'!$A:$A,$A54,'Consumable Usage'!$D:$D,15)))</f>
        <v/>
      </c>
      <c r="EV54" s="12" t="str">
        <f t="shared" si="43"/>
        <v/>
      </c>
      <c r="EW54" s="20"/>
      <c r="EX54" s="12" t="str">
        <f t="shared" si="44"/>
        <v/>
      </c>
      <c r="EY54" s="45" t="str">
        <f t="shared" si="45"/>
        <v/>
      </c>
      <c r="EZ54" s="15"/>
      <c r="FA54" s="15"/>
      <c r="FB54" s="20"/>
      <c r="FC54" s="12" t="str">
        <f>IF($A54="","",SUMIFS('Consumable Usage'!$E:$E,'Consumable Usage'!$A:$A,$A54,'Consumable Usage'!$D:$D,16))</f>
        <v/>
      </c>
      <c r="FD54" s="12" t="str">
        <f>IF($A54="","",SUMIFS('Nursing Charges'!$I:$I,'Nursing Charges'!$A:$A,$A54,'Nursing Charges'!$C:$C,16))</f>
        <v/>
      </c>
      <c r="FE54" s="12" t="str">
        <f>IF($A54="","",FB54+(FD54-SUMIFS('Nursing Charges'!$J:$J,'Nursing Charges'!$A:$A,$A54,'Nursing Charges'!$C:$C,16))+(FC54-SUMIFS('Consumable Usage'!$F:$F,'Consumable Usage'!$A:$A,$A54,'Consumable Usage'!$D:$D,16)))</f>
        <v/>
      </c>
      <c r="FF54" s="12" t="str">
        <f t="shared" si="46"/>
        <v/>
      </c>
      <c r="FG54" s="20"/>
      <c r="FH54" s="12" t="str">
        <f t="shared" si="47"/>
        <v/>
      </c>
      <c r="FI54" s="45" t="str">
        <f t="shared" si="48"/>
        <v/>
      </c>
      <c r="FJ54" s="53"/>
      <c r="FK54" s="53"/>
      <c r="FL54" s="63"/>
      <c r="FM54" s="63" t="str">
        <f>IF($A54="","",SUMIFS('Consumable Usage'!$E:$E,'Consumable Usage'!$A:$A,$A54,'Consumable Usage'!$D:$D,16))</f>
        <v/>
      </c>
      <c r="FN54" s="63" t="str">
        <f>IF($A54="","",SUMIFS('Nursing Charges'!$I:$I,'Nursing Charges'!$A:$A,$A54,'Nursing Charges'!$C:$C,16))</f>
        <v/>
      </c>
      <c r="FO54" s="63" t="str">
        <f>IF($A54="","",FL54+(FN54-SUMIFS('Nursing Charges'!$J:$J,'Nursing Charges'!$A:$A,$A54,'Nursing Charges'!$C:$C,16))+(FM54-SUMIFS('Consumable Usage'!$F:$F,'Consumable Usage'!$A:$A,$A54,'Consumable Usage'!$D:$D,16)))</f>
        <v/>
      </c>
      <c r="FP54" s="63" t="str">
        <f t="shared" si="49"/>
        <v/>
      </c>
      <c r="FQ54" s="63"/>
      <c r="FR54" s="63" t="str">
        <f t="shared" si="50"/>
        <v/>
      </c>
      <c r="FS54" s="53" t="str">
        <f t="shared" si="51"/>
        <v/>
      </c>
    </row>
    <row r="55" ht="15.0" customHeight="1">
      <c r="A55" s="15"/>
      <c r="B55" s="15"/>
      <c r="C55" s="15"/>
      <c r="D55" s="15"/>
      <c r="E55" s="15"/>
      <c r="F55" s="15"/>
      <c r="G55" s="15"/>
      <c r="H55" s="20"/>
      <c r="I55" s="12" t="str">
        <f>IF($A55="","",SUMIFS('Consumable Usage'!$E:$E,'Consumable Usage'!$A:$A,$A55,'Consumable Usage'!$D:$D,1))</f>
        <v/>
      </c>
      <c r="J55" s="12" t="str">
        <f>IF($A55="","",SUMIFS('Nursing Charges'!$I:$I,'Nursing Charges'!$A:$A,$A55,'Nursing Charges'!$C:$C,1))</f>
        <v/>
      </c>
      <c r="K55" s="12" t="str">
        <f>IF($A55="","",H55+(J55-SUMIFS('Nursing Charges'!$J:$J,'Nursing Charges'!$A:$A,$A55,'Nursing Charges'!$C:$C,1))+(I55-SUMIFS('Consumable Usage'!$F:$F,'Consumable Usage'!$A:$A,$A55,'Consumable Usage'!$D:$D,1)))</f>
        <v/>
      </c>
      <c r="L55" s="12" t="str">
        <f t="shared" si="1"/>
        <v/>
      </c>
      <c r="M55" s="20"/>
      <c r="N55" s="12" t="str">
        <f t="shared" si="2"/>
        <v/>
      </c>
      <c r="O55" s="45" t="str">
        <f t="shared" si="3"/>
        <v/>
      </c>
      <c r="P55" s="15"/>
      <c r="Q55" s="15"/>
      <c r="R55" s="20"/>
      <c r="S55" s="12" t="str">
        <f>IF($A55="","",SUMIFS('Consumable Usage'!$E:$E,'Consumable Usage'!$A:$A,$A55,'Consumable Usage'!$D:$D,2))</f>
        <v/>
      </c>
      <c r="T55" s="12" t="str">
        <f>IF($A55="","",SUMIFS('Nursing Charges'!$I:$I,'Nursing Charges'!$A:$A,$A55,'Nursing Charges'!$C:$C,2))</f>
        <v/>
      </c>
      <c r="U55" s="12" t="str">
        <f>IF($A55="","",R55+(T55-SUMIFS('Nursing Charges'!$J:$J,'Nursing Charges'!$A:$A,$A55,'Nursing Charges'!$C:$C,2))+(S55-SUMIFS('Consumable Usage'!$F:$F,'Consumable Usage'!$A:$A,$A55,'Consumable Usage'!$D:$D,2)))</f>
        <v/>
      </c>
      <c r="V55" s="12" t="str">
        <f t="shared" si="4"/>
        <v/>
      </c>
      <c r="W55" s="20"/>
      <c r="X55" s="12" t="str">
        <f t="shared" si="5"/>
        <v/>
      </c>
      <c r="Y55" s="45" t="str">
        <f t="shared" si="6"/>
        <v/>
      </c>
      <c r="Z55" s="15"/>
      <c r="AA55" s="15"/>
      <c r="AB55" s="20"/>
      <c r="AC55" s="12" t="str">
        <f>IF($A55="","",SUMIFS('Consumable Usage'!$E:$E,'Consumable Usage'!$A:$A,$A55,'Consumable Usage'!$D:$D,3))</f>
        <v/>
      </c>
      <c r="AD55" s="12" t="str">
        <f>IF($A55="","",SUMIFS('Nursing Charges'!$I:$I,'Nursing Charges'!$A:$A,$A55,'Nursing Charges'!$C:$C,3))</f>
        <v/>
      </c>
      <c r="AE55" s="12" t="str">
        <f>IF($A55="","",AB55+(AD55-SUMIFS('Nursing Charges'!$J:$J,'Nursing Charges'!$A:$A,$A55,'Nursing Charges'!$C:$C,3))+(AC55-SUMIFS('Consumable Usage'!$F:$F,'Consumable Usage'!$A:$A,$A55,'Consumable Usage'!$D:$D,3)))</f>
        <v/>
      </c>
      <c r="AF55" s="12" t="str">
        <f t="shared" si="7"/>
        <v/>
      </c>
      <c r="AG55" s="20"/>
      <c r="AH55" s="12" t="str">
        <f t="shared" si="8"/>
        <v/>
      </c>
      <c r="AI55" s="45" t="str">
        <f t="shared" si="9"/>
        <v/>
      </c>
      <c r="AJ55" s="15"/>
      <c r="AK55" s="15"/>
      <c r="AL55" s="20"/>
      <c r="AM55" s="12" t="str">
        <f>IF($A55="","",SUMIFS('Consumable Usage'!$E:$E,'Consumable Usage'!$A:$A,$A55,'Consumable Usage'!$D:$D,4))</f>
        <v/>
      </c>
      <c r="AN55" s="12" t="str">
        <f>IF($A55="","",SUMIFS('Nursing Charges'!$I:$I,'Nursing Charges'!$A:$A,$A55,'Nursing Charges'!$C:$C,4))</f>
        <v/>
      </c>
      <c r="AO55" s="12" t="str">
        <f>IF($A55="","",AL55+(AN55-SUMIFS('Nursing Charges'!$J:$J,'Nursing Charges'!$A:$A,$A55,'Nursing Charges'!$C:$C,4))+(AM55-SUMIFS('Consumable Usage'!$F:$F,'Consumable Usage'!$A:$A,$A55,'Consumable Usage'!$D:$D,4)))</f>
        <v/>
      </c>
      <c r="AP55" s="12" t="str">
        <f t="shared" si="10"/>
        <v/>
      </c>
      <c r="AQ55" s="20"/>
      <c r="AR55" s="12" t="str">
        <f t="shared" si="11"/>
        <v/>
      </c>
      <c r="AS55" s="45" t="str">
        <f t="shared" si="12"/>
        <v/>
      </c>
      <c r="AT55" s="15"/>
      <c r="AU55" s="15"/>
      <c r="AV55" s="20"/>
      <c r="AW55" s="12" t="str">
        <f>IF($A55="","",SUMIFS('Consumable Usage'!$E:$E,'Consumable Usage'!$A:$A,$A55,'Consumable Usage'!$D:$D,5))</f>
        <v/>
      </c>
      <c r="AX55" s="12" t="str">
        <f>IF($A55="","",SUMIFS('Nursing Charges'!$I:$I,'Nursing Charges'!$A:$A,$A55,'Nursing Charges'!$C:$C,5))</f>
        <v/>
      </c>
      <c r="AY55" s="12" t="str">
        <f>IF($A55="","",AV55+(AX55-SUMIFS('Nursing Charges'!$J:$J,'Nursing Charges'!$A:$A,$A55,'Nursing Charges'!$C:$C,5))+(AW55-SUMIFS('Consumable Usage'!$F:$F,'Consumable Usage'!$A:$A,$A55,'Consumable Usage'!$D:$D,5)))</f>
        <v/>
      </c>
      <c r="AZ55" s="12" t="str">
        <f t="shared" si="13"/>
        <v/>
      </c>
      <c r="BA55" s="20"/>
      <c r="BB55" s="12" t="str">
        <f t="shared" si="14"/>
        <v/>
      </c>
      <c r="BC55" s="45" t="str">
        <f t="shared" si="15"/>
        <v/>
      </c>
      <c r="BD55" s="15"/>
      <c r="BE55" s="15"/>
      <c r="BF55" s="20"/>
      <c r="BG55" s="12" t="str">
        <f>IF($A55="","",SUMIFS('Consumable Usage'!$E:$E,'Consumable Usage'!$A:$A,$A55,'Consumable Usage'!$D:$D,6))</f>
        <v/>
      </c>
      <c r="BH55" s="12" t="str">
        <f>IF($A55="","",SUMIFS('Nursing Charges'!$I:$I,'Nursing Charges'!$A:$A,$A55,'Nursing Charges'!$C:$C,6))</f>
        <v/>
      </c>
      <c r="BI55" s="12" t="str">
        <f>IF($A55="","",BF55+(BH55-SUMIFS('Nursing Charges'!$J:$J,'Nursing Charges'!$A:$A,$A55,'Nursing Charges'!$C:$C,6))+(BG55-SUMIFS('Consumable Usage'!$F:$F,'Consumable Usage'!$A:$A,$A55,'Consumable Usage'!$D:$D,6)))</f>
        <v/>
      </c>
      <c r="BJ55" s="12" t="str">
        <f t="shared" si="16"/>
        <v/>
      </c>
      <c r="BK55" s="20"/>
      <c r="BL55" s="12" t="str">
        <f t="shared" si="17"/>
        <v/>
      </c>
      <c r="BM55" s="45" t="str">
        <f t="shared" si="18"/>
        <v/>
      </c>
      <c r="BN55" s="15"/>
      <c r="BO55" s="15"/>
      <c r="BP55" s="20"/>
      <c r="BQ55" s="12" t="str">
        <f>IF($A55="","",SUMIFS('Consumable Usage'!$E:$E,'Consumable Usage'!$A:$A,$A55,'Consumable Usage'!$D:$D,7))</f>
        <v/>
      </c>
      <c r="BR55" s="12" t="str">
        <f>IF($A55="","",SUMIFS('Nursing Charges'!$I:$I,'Nursing Charges'!$A:$A,$A55,'Nursing Charges'!$C:$C,7))</f>
        <v/>
      </c>
      <c r="BS55" s="12" t="str">
        <f>IF($A55="","",BP55+(BR55-SUMIFS('Nursing Charges'!$J:$J,'Nursing Charges'!$A:$A,$A55,'Nursing Charges'!$C:$C,7))+(BQ55-SUMIFS('Consumable Usage'!$F:$F,'Consumable Usage'!$A:$A,$A55,'Consumable Usage'!$D:$D,7)))</f>
        <v/>
      </c>
      <c r="BT55" s="12" t="str">
        <f t="shared" si="19"/>
        <v/>
      </c>
      <c r="BU55" s="20"/>
      <c r="BV55" s="12" t="str">
        <f t="shared" si="20"/>
        <v/>
      </c>
      <c r="BW55" s="45" t="str">
        <f t="shared" si="21"/>
        <v/>
      </c>
      <c r="BX55" s="15"/>
      <c r="BY55" s="15"/>
      <c r="BZ55" s="20"/>
      <c r="CA55" s="12" t="str">
        <f>IF($A55="","",SUMIFS('Consumable Usage'!$E:$E,'Consumable Usage'!$A:$A,$A55,'Consumable Usage'!$D:$D,8))</f>
        <v/>
      </c>
      <c r="CB55" s="12" t="str">
        <f>IF($A55="","",SUMIFS('Nursing Charges'!$I:$I,'Nursing Charges'!$A:$A,$A55,'Nursing Charges'!$C:$C,8))</f>
        <v/>
      </c>
      <c r="CC55" s="12" t="str">
        <f>IF($A55="","",BZ55+(CB55-SUMIFS('Nursing Charges'!$J:$J,'Nursing Charges'!$A:$A,$A55,'Nursing Charges'!$C:$C,8))+(CA55-SUMIFS('Consumable Usage'!$F:$F,'Consumable Usage'!$A:$A,$A55,'Consumable Usage'!$D:$D,8)))</f>
        <v/>
      </c>
      <c r="CD55" s="12" t="str">
        <f t="shared" si="22"/>
        <v/>
      </c>
      <c r="CE55" s="20"/>
      <c r="CF55" s="12" t="str">
        <f t="shared" si="23"/>
        <v/>
      </c>
      <c r="CG55" s="45" t="str">
        <f t="shared" si="24"/>
        <v/>
      </c>
      <c r="CH55" s="15"/>
      <c r="CI55" s="15"/>
      <c r="CJ55" s="20"/>
      <c r="CK55" s="12" t="str">
        <f>IF($A55="","",SUMIFS('Consumable Usage'!$E:$E,'Consumable Usage'!$A:$A,$A55,'Consumable Usage'!$D:$D,9))</f>
        <v/>
      </c>
      <c r="CL55" s="12" t="str">
        <f>IF($A55="","",SUMIFS('Nursing Charges'!$I:$I,'Nursing Charges'!$A:$A,$A55,'Nursing Charges'!$C:$C,9))</f>
        <v/>
      </c>
      <c r="CM55" s="12" t="str">
        <f>IF($A55="","",CJ55+(CL55-SUMIFS('Nursing Charges'!$J:$J,'Nursing Charges'!$A:$A,$A55,'Nursing Charges'!$C:$C,9))+(CK55-SUMIFS('Consumable Usage'!$F:$F,'Consumable Usage'!$A:$A,$A55,'Consumable Usage'!$D:$D,9)))</f>
        <v/>
      </c>
      <c r="CN55" s="12" t="str">
        <f t="shared" si="25"/>
        <v/>
      </c>
      <c r="CO55" s="20"/>
      <c r="CP55" s="12" t="str">
        <f t="shared" si="26"/>
        <v/>
      </c>
      <c r="CQ55" s="45" t="str">
        <f t="shared" si="27"/>
        <v/>
      </c>
      <c r="CR55" s="15"/>
      <c r="CS55" s="15"/>
      <c r="CT55" s="20"/>
      <c r="CU55" s="12" t="str">
        <f>IF($A55="","",SUMIFS('Consumable Usage'!$E:$E,'Consumable Usage'!$A:$A,$A55,'Consumable Usage'!$D:$D,10))</f>
        <v/>
      </c>
      <c r="CV55" s="12" t="str">
        <f>IF($A55="","",SUMIFS('Nursing Charges'!$I:$I,'Nursing Charges'!$A:$A,$A55,'Nursing Charges'!$C:$C,10))</f>
        <v/>
      </c>
      <c r="CW55" s="12" t="str">
        <f>IF($A55="","",CT55+(CV55-SUMIFS('Nursing Charges'!$J:$J,'Nursing Charges'!$A:$A,$A55,'Nursing Charges'!$C:$C,10))+(CU55-SUMIFS('Consumable Usage'!$F:$F,'Consumable Usage'!$A:$A,$A55,'Consumable Usage'!$D:$D,10)))</f>
        <v/>
      </c>
      <c r="CX55" s="12" t="str">
        <f t="shared" si="28"/>
        <v/>
      </c>
      <c r="CY55" s="20"/>
      <c r="CZ55" s="12" t="str">
        <f t="shared" si="29"/>
        <v/>
      </c>
      <c r="DA55" s="45" t="str">
        <f t="shared" si="30"/>
        <v/>
      </c>
      <c r="DB55" s="15"/>
      <c r="DC55" s="15"/>
      <c r="DD55" s="20"/>
      <c r="DE55" s="12" t="str">
        <f>IF($A55="","",SUMIFS('Consumable Usage'!$E:$E,'Consumable Usage'!$A:$A,$A55,'Consumable Usage'!$D:$D,11))</f>
        <v/>
      </c>
      <c r="DF55" s="12" t="str">
        <f>IF($A55="","",SUMIFS('Nursing Charges'!$I:$I,'Nursing Charges'!$A:$A,$A55,'Nursing Charges'!$C:$C,11))</f>
        <v/>
      </c>
      <c r="DG55" s="12" t="str">
        <f>IF($A55="","",DD55+(DF55-SUMIFS('Nursing Charges'!$J:$J,'Nursing Charges'!$A:$A,$A55,'Nursing Charges'!$C:$C,11))+(DE55-SUMIFS('Consumable Usage'!$F:$F,'Consumable Usage'!$A:$A,$A55,'Consumable Usage'!$D:$D,11)))</f>
        <v/>
      </c>
      <c r="DH55" s="12" t="str">
        <f t="shared" si="31"/>
        <v/>
      </c>
      <c r="DI55" s="20"/>
      <c r="DJ55" s="12" t="str">
        <f t="shared" si="32"/>
        <v/>
      </c>
      <c r="DK55" s="45" t="str">
        <f t="shared" si="33"/>
        <v/>
      </c>
      <c r="DL55" s="15"/>
      <c r="DM55" s="15"/>
      <c r="DN55" s="20"/>
      <c r="DO55" s="12" t="str">
        <f>IF($A55="","",SUMIFS('Consumable Usage'!$E:$E,'Consumable Usage'!$A:$A,$A55,'Consumable Usage'!$D:$D,12))</f>
        <v/>
      </c>
      <c r="DP55" s="12" t="str">
        <f>IF($A55="","",SUMIFS('Nursing Charges'!$I:$I,'Nursing Charges'!$A:$A,$A55,'Nursing Charges'!$C:$C,12))</f>
        <v/>
      </c>
      <c r="DQ55" s="12" t="str">
        <f>IF($A55="","",DN55+(DP55-SUMIFS('Nursing Charges'!$J:$J,'Nursing Charges'!$A:$A,$A55,'Nursing Charges'!$C:$C,12))+(DO55-SUMIFS('Consumable Usage'!$F:$F,'Consumable Usage'!$A:$A,$A55,'Consumable Usage'!$D:$D,12)))</f>
        <v/>
      </c>
      <c r="DR55" s="12" t="str">
        <f t="shared" si="34"/>
        <v/>
      </c>
      <c r="DS55" s="20"/>
      <c r="DT55" s="12" t="str">
        <f t="shared" si="35"/>
        <v/>
      </c>
      <c r="DU55" s="45" t="str">
        <f t="shared" si="36"/>
        <v/>
      </c>
      <c r="DV55" s="15"/>
      <c r="DW55" s="15"/>
      <c r="DX55" s="20"/>
      <c r="DY55" s="12" t="str">
        <f>IF($A55="","",SUMIFS('Consumable Usage'!$E:$E,'Consumable Usage'!$A:$A,$A55,'Consumable Usage'!$D:$D,13))</f>
        <v/>
      </c>
      <c r="DZ55" s="12" t="str">
        <f>IF($A55="","",SUMIFS('Nursing Charges'!$I:$I,'Nursing Charges'!$A:$A,$A55,'Nursing Charges'!$C:$C,13))</f>
        <v/>
      </c>
      <c r="EA55" s="12" t="str">
        <f>IF($A55="","",DX55+(DZ55-SUMIFS('Nursing Charges'!$J:$J,'Nursing Charges'!$A:$A,$A55,'Nursing Charges'!$C:$C,13))+(DY55-SUMIFS('Consumable Usage'!$F:$F,'Consumable Usage'!$A:$A,$A55,'Consumable Usage'!$D:$D,13)))</f>
        <v/>
      </c>
      <c r="EB55" s="12" t="str">
        <f t="shared" si="37"/>
        <v/>
      </c>
      <c r="EC55" s="20"/>
      <c r="ED55" s="12" t="str">
        <f t="shared" si="38"/>
        <v/>
      </c>
      <c r="EE55" s="45" t="str">
        <f t="shared" si="39"/>
        <v/>
      </c>
      <c r="EF55" s="15"/>
      <c r="EG55" s="15"/>
      <c r="EH55" s="20"/>
      <c r="EI55" s="12" t="str">
        <f>IF($A55="","",SUMIFS('Consumable Usage'!$E:$E,'Consumable Usage'!$A:$A,$A55,'Consumable Usage'!$D:$D,14))</f>
        <v/>
      </c>
      <c r="EJ55" s="12" t="str">
        <f>IF($A55="","",SUMIFS('Nursing Charges'!$I:$I,'Nursing Charges'!$A:$A,$A55,'Nursing Charges'!$C:$C,14))</f>
        <v/>
      </c>
      <c r="EK55" s="12" t="str">
        <f>IF($A55="","",EH55+(EJ55-SUMIFS('Nursing Charges'!$J:$J,'Nursing Charges'!$A:$A,$A55,'Nursing Charges'!$C:$C,14))+(EI55-SUMIFS('Consumable Usage'!$F:$F,'Consumable Usage'!$A:$A,$A55,'Consumable Usage'!$D:$D,14)))</f>
        <v/>
      </c>
      <c r="EL55" s="12" t="str">
        <f t="shared" si="40"/>
        <v/>
      </c>
      <c r="EM55" s="20"/>
      <c r="EN55" s="12" t="str">
        <f t="shared" si="41"/>
        <v/>
      </c>
      <c r="EO55" s="45" t="str">
        <f t="shared" si="42"/>
        <v/>
      </c>
      <c r="EP55" s="15"/>
      <c r="EQ55" s="15"/>
      <c r="ER55" s="20"/>
      <c r="ES55" s="12" t="str">
        <f>IF($A55="","",SUMIFS('Consumable Usage'!$E:$E,'Consumable Usage'!$A:$A,$A55,'Consumable Usage'!$D:$D,15))</f>
        <v/>
      </c>
      <c r="ET55" s="12" t="str">
        <f>IF($A55="","",SUMIFS('Nursing Charges'!$I:$I,'Nursing Charges'!$A:$A,$A55,'Nursing Charges'!$C:$C,15))</f>
        <v/>
      </c>
      <c r="EU55" s="12" t="str">
        <f>IF($A55="","",ER55+(ET55-SUMIFS('Nursing Charges'!$J:$J,'Nursing Charges'!$A:$A,$A55,'Nursing Charges'!$C:$C,15))+(ES55-SUMIFS('Consumable Usage'!$F:$F,'Consumable Usage'!$A:$A,$A55,'Consumable Usage'!$D:$D,15)))</f>
        <v/>
      </c>
      <c r="EV55" s="12" t="str">
        <f t="shared" si="43"/>
        <v/>
      </c>
      <c r="EW55" s="20"/>
      <c r="EX55" s="12" t="str">
        <f t="shared" si="44"/>
        <v/>
      </c>
      <c r="EY55" s="45" t="str">
        <f t="shared" si="45"/>
        <v/>
      </c>
      <c r="EZ55" s="15"/>
      <c r="FA55" s="15"/>
      <c r="FB55" s="20"/>
      <c r="FC55" s="12" t="str">
        <f>IF($A55="","",SUMIFS('Consumable Usage'!$E:$E,'Consumable Usage'!$A:$A,$A55,'Consumable Usage'!$D:$D,16))</f>
        <v/>
      </c>
      <c r="FD55" s="12" t="str">
        <f>IF($A55="","",SUMIFS('Nursing Charges'!$I:$I,'Nursing Charges'!$A:$A,$A55,'Nursing Charges'!$C:$C,16))</f>
        <v/>
      </c>
      <c r="FE55" s="12" t="str">
        <f>IF($A55="","",FB55+(FD55-SUMIFS('Nursing Charges'!$J:$J,'Nursing Charges'!$A:$A,$A55,'Nursing Charges'!$C:$C,16))+(FC55-SUMIFS('Consumable Usage'!$F:$F,'Consumable Usage'!$A:$A,$A55,'Consumable Usage'!$D:$D,16)))</f>
        <v/>
      </c>
      <c r="FF55" s="12" t="str">
        <f t="shared" si="46"/>
        <v/>
      </c>
      <c r="FG55" s="20"/>
      <c r="FH55" s="12" t="str">
        <f t="shared" si="47"/>
        <v/>
      </c>
      <c r="FI55" s="45" t="str">
        <f t="shared" si="48"/>
        <v/>
      </c>
      <c r="FJ55" s="53"/>
      <c r="FK55" s="53"/>
      <c r="FL55" s="63"/>
      <c r="FM55" s="63" t="str">
        <f>IF($A55="","",SUMIFS('Consumable Usage'!$E:$E,'Consumable Usage'!$A:$A,$A55,'Consumable Usage'!$D:$D,16))</f>
        <v/>
      </c>
      <c r="FN55" s="63" t="str">
        <f>IF($A55="","",SUMIFS('Nursing Charges'!$I:$I,'Nursing Charges'!$A:$A,$A55,'Nursing Charges'!$C:$C,16))</f>
        <v/>
      </c>
      <c r="FO55" s="63" t="str">
        <f>IF($A55="","",FL55+(FN55-SUMIFS('Nursing Charges'!$J:$J,'Nursing Charges'!$A:$A,$A55,'Nursing Charges'!$C:$C,16))+(FM55-SUMIFS('Consumable Usage'!$F:$F,'Consumable Usage'!$A:$A,$A55,'Consumable Usage'!$D:$D,16)))</f>
        <v/>
      </c>
      <c r="FP55" s="63" t="str">
        <f t="shared" si="49"/>
        <v/>
      </c>
      <c r="FQ55" s="63"/>
      <c r="FR55" s="63" t="str">
        <f t="shared" si="50"/>
        <v/>
      </c>
      <c r="FS55" s="53" t="str">
        <f t="shared" si="51"/>
        <v/>
      </c>
    </row>
    <row r="56" ht="15.0" customHeight="1">
      <c r="A56" s="15"/>
      <c r="B56" s="15"/>
      <c r="C56" s="15"/>
      <c r="D56" s="15"/>
      <c r="E56" s="15"/>
      <c r="F56" s="15"/>
      <c r="G56" s="15"/>
      <c r="H56" s="20"/>
      <c r="I56" s="12" t="str">
        <f>IF($A56="","",SUMIFS('Consumable Usage'!$E:$E,'Consumable Usage'!$A:$A,$A56,'Consumable Usage'!$D:$D,1))</f>
        <v/>
      </c>
      <c r="J56" s="12" t="str">
        <f>IF($A56="","",SUMIFS('Nursing Charges'!$I:$I,'Nursing Charges'!$A:$A,$A56,'Nursing Charges'!$C:$C,1))</f>
        <v/>
      </c>
      <c r="K56" s="12" t="str">
        <f>IF($A56="","",H56+(J56-SUMIFS('Nursing Charges'!$J:$J,'Nursing Charges'!$A:$A,$A56,'Nursing Charges'!$C:$C,1))+(I56-SUMIFS('Consumable Usage'!$F:$F,'Consumable Usage'!$A:$A,$A56,'Consumable Usage'!$D:$D,1)))</f>
        <v/>
      </c>
      <c r="L56" s="12" t="str">
        <f t="shared" si="1"/>
        <v/>
      </c>
      <c r="M56" s="20"/>
      <c r="N56" s="12" t="str">
        <f t="shared" si="2"/>
        <v/>
      </c>
      <c r="O56" s="45" t="str">
        <f t="shared" si="3"/>
        <v/>
      </c>
      <c r="P56" s="15"/>
      <c r="Q56" s="15"/>
      <c r="R56" s="20"/>
      <c r="S56" s="12" t="str">
        <f>IF($A56="","",SUMIFS('Consumable Usage'!$E:$E,'Consumable Usage'!$A:$A,$A56,'Consumable Usage'!$D:$D,2))</f>
        <v/>
      </c>
      <c r="T56" s="12" t="str">
        <f>IF($A56="","",SUMIFS('Nursing Charges'!$I:$I,'Nursing Charges'!$A:$A,$A56,'Nursing Charges'!$C:$C,2))</f>
        <v/>
      </c>
      <c r="U56" s="12" t="str">
        <f>IF($A56="","",R56+(T56-SUMIFS('Nursing Charges'!$J:$J,'Nursing Charges'!$A:$A,$A56,'Nursing Charges'!$C:$C,2))+(S56-SUMIFS('Consumable Usage'!$F:$F,'Consumable Usage'!$A:$A,$A56,'Consumable Usage'!$D:$D,2)))</f>
        <v/>
      </c>
      <c r="V56" s="12" t="str">
        <f t="shared" si="4"/>
        <v/>
      </c>
      <c r="W56" s="20"/>
      <c r="X56" s="12" t="str">
        <f t="shared" si="5"/>
        <v/>
      </c>
      <c r="Y56" s="45" t="str">
        <f t="shared" si="6"/>
        <v/>
      </c>
      <c r="Z56" s="15"/>
      <c r="AA56" s="15"/>
      <c r="AB56" s="20"/>
      <c r="AC56" s="12" t="str">
        <f>IF($A56="","",SUMIFS('Consumable Usage'!$E:$E,'Consumable Usage'!$A:$A,$A56,'Consumable Usage'!$D:$D,3))</f>
        <v/>
      </c>
      <c r="AD56" s="12" t="str">
        <f>IF($A56="","",SUMIFS('Nursing Charges'!$I:$I,'Nursing Charges'!$A:$A,$A56,'Nursing Charges'!$C:$C,3))</f>
        <v/>
      </c>
      <c r="AE56" s="12" t="str">
        <f>IF($A56="","",AB56+(AD56-SUMIFS('Nursing Charges'!$J:$J,'Nursing Charges'!$A:$A,$A56,'Nursing Charges'!$C:$C,3))+(AC56-SUMIFS('Consumable Usage'!$F:$F,'Consumable Usage'!$A:$A,$A56,'Consumable Usage'!$D:$D,3)))</f>
        <v/>
      </c>
      <c r="AF56" s="12" t="str">
        <f t="shared" si="7"/>
        <v/>
      </c>
      <c r="AG56" s="20"/>
      <c r="AH56" s="12" t="str">
        <f t="shared" si="8"/>
        <v/>
      </c>
      <c r="AI56" s="45" t="str">
        <f t="shared" si="9"/>
        <v/>
      </c>
      <c r="AJ56" s="15"/>
      <c r="AK56" s="15"/>
      <c r="AL56" s="20"/>
      <c r="AM56" s="12" t="str">
        <f>IF($A56="","",SUMIFS('Consumable Usage'!$E:$E,'Consumable Usage'!$A:$A,$A56,'Consumable Usage'!$D:$D,4))</f>
        <v/>
      </c>
      <c r="AN56" s="12" t="str">
        <f>IF($A56="","",SUMIFS('Nursing Charges'!$I:$I,'Nursing Charges'!$A:$A,$A56,'Nursing Charges'!$C:$C,4))</f>
        <v/>
      </c>
      <c r="AO56" s="12" t="str">
        <f>IF($A56="","",AL56+(AN56-SUMIFS('Nursing Charges'!$J:$J,'Nursing Charges'!$A:$A,$A56,'Nursing Charges'!$C:$C,4))+(AM56-SUMIFS('Consumable Usage'!$F:$F,'Consumable Usage'!$A:$A,$A56,'Consumable Usage'!$D:$D,4)))</f>
        <v/>
      </c>
      <c r="AP56" s="12" t="str">
        <f t="shared" si="10"/>
        <v/>
      </c>
      <c r="AQ56" s="20"/>
      <c r="AR56" s="12" t="str">
        <f t="shared" si="11"/>
        <v/>
      </c>
      <c r="AS56" s="45" t="str">
        <f t="shared" si="12"/>
        <v/>
      </c>
      <c r="AT56" s="15"/>
      <c r="AU56" s="15"/>
      <c r="AV56" s="20"/>
      <c r="AW56" s="12" t="str">
        <f>IF($A56="","",SUMIFS('Consumable Usage'!$E:$E,'Consumable Usage'!$A:$A,$A56,'Consumable Usage'!$D:$D,5))</f>
        <v/>
      </c>
      <c r="AX56" s="12" t="str">
        <f>IF($A56="","",SUMIFS('Nursing Charges'!$I:$I,'Nursing Charges'!$A:$A,$A56,'Nursing Charges'!$C:$C,5))</f>
        <v/>
      </c>
      <c r="AY56" s="12" t="str">
        <f>IF($A56="","",AV56+(AX56-SUMIFS('Nursing Charges'!$J:$J,'Nursing Charges'!$A:$A,$A56,'Nursing Charges'!$C:$C,5))+(AW56-SUMIFS('Consumable Usage'!$F:$F,'Consumable Usage'!$A:$A,$A56,'Consumable Usage'!$D:$D,5)))</f>
        <v/>
      </c>
      <c r="AZ56" s="12" t="str">
        <f t="shared" si="13"/>
        <v/>
      </c>
      <c r="BA56" s="20"/>
      <c r="BB56" s="12" t="str">
        <f t="shared" si="14"/>
        <v/>
      </c>
      <c r="BC56" s="45" t="str">
        <f t="shared" si="15"/>
        <v/>
      </c>
      <c r="BD56" s="15"/>
      <c r="BE56" s="15"/>
      <c r="BF56" s="20"/>
      <c r="BG56" s="12" t="str">
        <f>IF($A56="","",SUMIFS('Consumable Usage'!$E:$E,'Consumable Usage'!$A:$A,$A56,'Consumable Usage'!$D:$D,6))</f>
        <v/>
      </c>
      <c r="BH56" s="12" t="str">
        <f>IF($A56="","",SUMIFS('Nursing Charges'!$I:$I,'Nursing Charges'!$A:$A,$A56,'Nursing Charges'!$C:$C,6))</f>
        <v/>
      </c>
      <c r="BI56" s="12" t="str">
        <f>IF($A56="","",BF56+(BH56-SUMIFS('Nursing Charges'!$J:$J,'Nursing Charges'!$A:$A,$A56,'Nursing Charges'!$C:$C,6))+(BG56-SUMIFS('Consumable Usage'!$F:$F,'Consumable Usage'!$A:$A,$A56,'Consumable Usage'!$D:$D,6)))</f>
        <v/>
      </c>
      <c r="BJ56" s="12" t="str">
        <f t="shared" si="16"/>
        <v/>
      </c>
      <c r="BK56" s="20"/>
      <c r="BL56" s="12" t="str">
        <f t="shared" si="17"/>
        <v/>
      </c>
      <c r="BM56" s="45" t="str">
        <f t="shared" si="18"/>
        <v/>
      </c>
      <c r="BN56" s="15"/>
      <c r="BO56" s="15"/>
      <c r="BP56" s="20"/>
      <c r="BQ56" s="12" t="str">
        <f>IF($A56="","",SUMIFS('Consumable Usage'!$E:$E,'Consumable Usage'!$A:$A,$A56,'Consumable Usage'!$D:$D,7))</f>
        <v/>
      </c>
      <c r="BR56" s="12" t="str">
        <f>IF($A56="","",SUMIFS('Nursing Charges'!$I:$I,'Nursing Charges'!$A:$A,$A56,'Nursing Charges'!$C:$C,7))</f>
        <v/>
      </c>
      <c r="BS56" s="12" t="str">
        <f>IF($A56="","",BP56+(BR56-SUMIFS('Nursing Charges'!$J:$J,'Nursing Charges'!$A:$A,$A56,'Nursing Charges'!$C:$C,7))+(BQ56-SUMIFS('Consumable Usage'!$F:$F,'Consumable Usage'!$A:$A,$A56,'Consumable Usage'!$D:$D,7)))</f>
        <v/>
      </c>
      <c r="BT56" s="12" t="str">
        <f t="shared" si="19"/>
        <v/>
      </c>
      <c r="BU56" s="20"/>
      <c r="BV56" s="12" t="str">
        <f t="shared" si="20"/>
        <v/>
      </c>
      <c r="BW56" s="45" t="str">
        <f t="shared" si="21"/>
        <v/>
      </c>
      <c r="BX56" s="15"/>
      <c r="BY56" s="15"/>
      <c r="BZ56" s="20"/>
      <c r="CA56" s="12" t="str">
        <f>IF($A56="","",SUMIFS('Consumable Usage'!$E:$E,'Consumable Usage'!$A:$A,$A56,'Consumable Usage'!$D:$D,8))</f>
        <v/>
      </c>
      <c r="CB56" s="12" t="str">
        <f>IF($A56="","",SUMIFS('Nursing Charges'!$I:$I,'Nursing Charges'!$A:$A,$A56,'Nursing Charges'!$C:$C,8))</f>
        <v/>
      </c>
      <c r="CC56" s="12" t="str">
        <f>IF($A56="","",BZ56+(CB56-SUMIFS('Nursing Charges'!$J:$J,'Nursing Charges'!$A:$A,$A56,'Nursing Charges'!$C:$C,8))+(CA56-SUMIFS('Consumable Usage'!$F:$F,'Consumable Usage'!$A:$A,$A56,'Consumable Usage'!$D:$D,8)))</f>
        <v/>
      </c>
      <c r="CD56" s="12" t="str">
        <f t="shared" si="22"/>
        <v/>
      </c>
      <c r="CE56" s="20"/>
      <c r="CF56" s="12" t="str">
        <f t="shared" si="23"/>
        <v/>
      </c>
      <c r="CG56" s="45" t="str">
        <f t="shared" si="24"/>
        <v/>
      </c>
      <c r="CH56" s="15"/>
      <c r="CI56" s="15"/>
      <c r="CJ56" s="20"/>
      <c r="CK56" s="12" t="str">
        <f>IF($A56="","",SUMIFS('Consumable Usage'!$E:$E,'Consumable Usage'!$A:$A,$A56,'Consumable Usage'!$D:$D,9))</f>
        <v/>
      </c>
      <c r="CL56" s="12" t="str">
        <f>IF($A56="","",SUMIFS('Nursing Charges'!$I:$I,'Nursing Charges'!$A:$A,$A56,'Nursing Charges'!$C:$C,9))</f>
        <v/>
      </c>
      <c r="CM56" s="12" t="str">
        <f>IF($A56="","",CJ56+(CL56-SUMIFS('Nursing Charges'!$J:$J,'Nursing Charges'!$A:$A,$A56,'Nursing Charges'!$C:$C,9))+(CK56-SUMIFS('Consumable Usage'!$F:$F,'Consumable Usage'!$A:$A,$A56,'Consumable Usage'!$D:$D,9)))</f>
        <v/>
      </c>
      <c r="CN56" s="12" t="str">
        <f t="shared" si="25"/>
        <v/>
      </c>
      <c r="CO56" s="20"/>
      <c r="CP56" s="12" t="str">
        <f t="shared" si="26"/>
        <v/>
      </c>
      <c r="CQ56" s="45" t="str">
        <f t="shared" si="27"/>
        <v/>
      </c>
      <c r="CR56" s="15"/>
      <c r="CS56" s="15"/>
      <c r="CT56" s="20"/>
      <c r="CU56" s="12" t="str">
        <f>IF($A56="","",SUMIFS('Consumable Usage'!$E:$E,'Consumable Usage'!$A:$A,$A56,'Consumable Usage'!$D:$D,10))</f>
        <v/>
      </c>
      <c r="CV56" s="12" t="str">
        <f>IF($A56="","",SUMIFS('Nursing Charges'!$I:$I,'Nursing Charges'!$A:$A,$A56,'Nursing Charges'!$C:$C,10))</f>
        <v/>
      </c>
      <c r="CW56" s="12" t="str">
        <f>IF($A56="","",CT56+(CV56-SUMIFS('Nursing Charges'!$J:$J,'Nursing Charges'!$A:$A,$A56,'Nursing Charges'!$C:$C,10))+(CU56-SUMIFS('Consumable Usage'!$F:$F,'Consumable Usage'!$A:$A,$A56,'Consumable Usage'!$D:$D,10)))</f>
        <v/>
      </c>
      <c r="CX56" s="12" t="str">
        <f t="shared" si="28"/>
        <v/>
      </c>
      <c r="CY56" s="20"/>
      <c r="CZ56" s="12" t="str">
        <f t="shared" si="29"/>
        <v/>
      </c>
      <c r="DA56" s="45" t="str">
        <f t="shared" si="30"/>
        <v/>
      </c>
      <c r="DB56" s="15"/>
      <c r="DC56" s="15"/>
      <c r="DD56" s="20"/>
      <c r="DE56" s="12" t="str">
        <f>IF($A56="","",SUMIFS('Consumable Usage'!$E:$E,'Consumable Usage'!$A:$A,$A56,'Consumable Usage'!$D:$D,11))</f>
        <v/>
      </c>
      <c r="DF56" s="12" t="str">
        <f>IF($A56="","",SUMIFS('Nursing Charges'!$I:$I,'Nursing Charges'!$A:$A,$A56,'Nursing Charges'!$C:$C,11))</f>
        <v/>
      </c>
      <c r="DG56" s="12" t="str">
        <f>IF($A56="","",DD56+(DF56-SUMIFS('Nursing Charges'!$J:$J,'Nursing Charges'!$A:$A,$A56,'Nursing Charges'!$C:$C,11))+(DE56-SUMIFS('Consumable Usage'!$F:$F,'Consumable Usage'!$A:$A,$A56,'Consumable Usage'!$D:$D,11)))</f>
        <v/>
      </c>
      <c r="DH56" s="12" t="str">
        <f t="shared" si="31"/>
        <v/>
      </c>
      <c r="DI56" s="20"/>
      <c r="DJ56" s="12" t="str">
        <f t="shared" si="32"/>
        <v/>
      </c>
      <c r="DK56" s="45" t="str">
        <f t="shared" si="33"/>
        <v/>
      </c>
      <c r="DL56" s="15"/>
      <c r="DM56" s="15"/>
      <c r="DN56" s="20"/>
      <c r="DO56" s="12" t="str">
        <f>IF($A56="","",SUMIFS('Consumable Usage'!$E:$E,'Consumable Usage'!$A:$A,$A56,'Consumable Usage'!$D:$D,12))</f>
        <v/>
      </c>
      <c r="DP56" s="12" t="str">
        <f>IF($A56="","",SUMIFS('Nursing Charges'!$I:$I,'Nursing Charges'!$A:$A,$A56,'Nursing Charges'!$C:$C,12))</f>
        <v/>
      </c>
      <c r="DQ56" s="12" t="str">
        <f>IF($A56="","",DN56+(DP56-SUMIFS('Nursing Charges'!$J:$J,'Nursing Charges'!$A:$A,$A56,'Nursing Charges'!$C:$C,12))+(DO56-SUMIFS('Consumable Usage'!$F:$F,'Consumable Usage'!$A:$A,$A56,'Consumable Usage'!$D:$D,12)))</f>
        <v/>
      </c>
      <c r="DR56" s="12" t="str">
        <f t="shared" si="34"/>
        <v/>
      </c>
      <c r="DS56" s="20"/>
      <c r="DT56" s="12" t="str">
        <f t="shared" si="35"/>
        <v/>
      </c>
      <c r="DU56" s="45" t="str">
        <f t="shared" si="36"/>
        <v/>
      </c>
      <c r="DV56" s="15"/>
      <c r="DW56" s="15"/>
      <c r="DX56" s="20"/>
      <c r="DY56" s="12" t="str">
        <f>IF($A56="","",SUMIFS('Consumable Usage'!$E:$E,'Consumable Usage'!$A:$A,$A56,'Consumable Usage'!$D:$D,13))</f>
        <v/>
      </c>
      <c r="DZ56" s="12" t="str">
        <f>IF($A56="","",SUMIFS('Nursing Charges'!$I:$I,'Nursing Charges'!$A:$A,$A56,'Nursing Charges'!$C:$C,13))</f>
        <v/>
      </c>
      <c r="EA56" s="12" t="str">
        <f>IF($A56="","",DX56+(DZ56-SUMIFS('Nursing Charges'!$J:$J,'Nursing Charges'!$A:$A,$A56,'Nursing Charges'!$C:$C,13))+(DY56-SUMIFS('Consumable Usage'!$F:$F,'Consumable Usage'!$A:$A,$A56,'Consumable Usage'!$D:$D,13)))</f>
        <v/>
      </c>
      <c r="EB56" s="12" t="str">
        <f t="shared" si="37"/>
        <v/>
      </c>
      <c r="EC56" s="20"/>
      <c r="ED56" s="12" t="str">
        <f t="shared" si="38"/>
        <v/>
      </c>
      <c r="EE56" s="45" t="str">
        <f t="shared" si="39"/>
        <v/>
      </c>
      <c r="EF56" s="15"/>
      <c r="EG56" s="15"/>
      <c r="EH56" s="20"/>
      <c r="EI56" s="12" t="str">
        <f>IF($A56="","",SUMIFS('Consumable Usage'!$E:$E,'Consumable Usage'!$A:$A,$A56,'Consumable Usage'!$D:$D,14))</f>
        <v/>
      </c>
      <c r="EJ56" s="12" t="str">
        <f>IF($A56="","",SUMIFS('Nursing Charges'!$I:$I,'Nursing Charges'!$A:$A,$A56,'Nursing Charges'!$C:$C,14))</f>
        <v/>
      </c>
      <c r="EK56" s="12" t="str">
        <f>IF($A56="","",EH56+(EJ56-SUMIFS('Nursing Charges'!$J:$J,'Nursing Charges'!$A:$A,$A56,'Nursing Charges'!$C:$C,14))+(EI56-SUMIFS('Consumable Usage'!$F:$F,'Consumable Usage'!$A:$A,$A56,'Consumable Usage'!$D:$D,14)))</f>
        <v/>
      </c>
      <c r="EL56" s="12" t="str">
        <f t="shared" si="40"/>
        <v/>
      </c>
      <c r="EM56" s="20"/>
      <c r="EN56" s="12" t="str">
        <f t="shared" si="41"/>
        <v/>
      </c>
      <c r="EO56" s="45" t="str">
        <f t="shared" si="42"/>
        <v/>
      </c>
      <c r="EP56" s="15"/>
      <c r="EQ56" s="15"/>
      <c r="ER56" s="20"/>
      <c r="ES56" s="12" t="str">
        <f>IF($A56="","",SUMIFS('Consumable Usage'!$E:$E,'Consumable Usage'!$A:$A,$A56,'Consumable Usage'!$D:$D,15))</f>
        <v/>
      </c>
      <c r="ET56" s="12" t="str">
        <f>IF($A56="","",SUMIFS('Nursing Charges'!$I:$I,'Nursing Charges'!$A:$A,$A56,'Nursing Charges'!$C:$C,15))</f>
        <v/>
      </c>
      <c r="EU56" s="12" t="str">
        <f>IF($A56="","",ER56+(ET56-SUMIFS('Nursing Charges'!$J:$J,'Nursing Charges'!$A:$A,$A56,'Nursing Charges'!$C:$C,15))+(ES56-SUMIFS('Consumable Usage'!$F:$F,'Consumable Usage'!$A:$A,$A56,'Consumable Usage'!$D:$D,15)))</f>
        <v/>
      </c>
      <c r="EV56" s="12" t="str">
        <f t="shared" si="43"/>
        <v/>
      </c>
      <c r="EW56" s="20"/>
      <c r="EX56" s="12" t="str">
        <f t="shared" si="44"/>
        <v/>
      </c>
      <c r="EY56" s="45" t="str">
        <f t="shared" si="45"/>
        <v/>
      </c>
      <c r="EZ56" s="15"/>
      <c r="FA56" s="15"/>
      <c r="FB56" s="20"/>
      <c r="FC56" s="12" t="str">
        <f>IF($A56="","",SUMIFS('Consumable Usage'!$E:$E,'Consumable Usage'!$A:$A,$A56,'Consumable Usage'!$D:$D,16))</f>
        <v/>
      </c>
      <c r="FD56" s="12" t="str">
        <f>IF($A56="","",SUMIFS('Nursing Charges'!$I:$I,'Nursing Charges'!$A:$A,$A56,'Nursing Charges'!$C:$C,16))</f>
        <v/>
      </c>
      <c r="FE56" s="12" t="str">
        <f>IF($A56="","",FB56+(FD56-SUMIFS('Nursing Charges'!$J:$J,'Nursing Charges'!$A:$A,$A56,'Nursing Charges'!$C:$C,16))+(FC56-SUMIFS('Consumable Usage'!$F:$F,'Consumable Usage'!$A:$A,$A56,'Consumable Usage'!$D:$D,16)))</f>
        <v/>
      </c>
      <c r="FF56" s="12" t="str">
        <f t="shared" si="46"/>
        <v/>
      </c>
      <c r="FG56" s="20"/>
      <c r="FH56" s="12" t="str">
        <f t="shared" si="47"/>
        <v/>
      </c>
      <c r="FI56" s="45" t="str">
        <f t="shared" si="48"/>
        <v/>
      </c>
      <c r="FJ56" s="53"/>
      <c r="FK56" s="53"/>
      <c r="FL56" s="63"/>
      <c r="FM56" s="63" t="str">
        <f>IF($A56="","",SUMIFS('Consumable Usage'!$E:$E,'Consumable Usage'!$A:$A,$A56,'Consumable Usage'!$D:$D,16))</f>
        <v/>
      </c>
      <c r="FN56" s="63" t="str">
        <f>IF($A56="","",SUMIFS('Nursing Charges'!$I:$I,'Nursing Charges'!$A:$A,$A56,'Nursing Charges'!$C:$C,16))</f>
        <v/>
      </c>
      <c r="FO56" s="63" t="str">
        <f>IF($A56="","",FL56+(FN56-SUMIFS('Nursing Charges'!$J:$J,'Nursing Charges'!$A:$A,$A56,'Nursing Charges'!$C:$C,16))+(FM56-SUMIFS('Consumable Usage'!$F:$F,'Consumable Usage'!$A:$A,$A56,'Consumable Usage'!$D:$D,16)))</f>
        <v/>
      </c>
      <c r="FP56" s="63" t="str">
        <f t="shared" si="49"/>
        <v/>
      </c>
      <c r="FQ56" s="63"/>
      <c r="FR56" s="63" t="str">
        <f t="shared" si="50"/>
        <v/>
      </c>
      <c r="FS56" s="53" t="str">
        <f t="shared" si="51"/>
        <v/>
      </c>
    </row>
    <row r="57" ht="15.0" customHeight="1">
      <c r="A57" s="15"/>
      <c r="B57" s="15"/>
      <c r="C57" s="15"/>
      <c r="D57" s="15"/>
      <c r="E57" s="15"/>
      <c r="F57" s="15"/>
      <c r="G57" s="15"/>
      <c r="H57" s="20"/>
      <c r="I57" s="12" t="str">
        <f>IF($A57="","",SUMIFS('Consumable Usage'!$E:$E,'Consumable Usage'!$A:$A,$A57,'Consumable Usage'!$D:$D,1))</f>
        <v/>
      </c>
      <c r="J57" s="12" t="str">
        <f>IF($A57="","",SUMIFS('Nursing Charges'!$I:$I,'Nursing Charges'!$A:$A,$A57,'Nursing Charges'!$C:$C,1))</f>
        <v/>
      </c>
      <c r="K57" s="12" t="str">
        <f>IF($A57="","",H57+(J57-SUMIFS('Nursing Charges'!$J:$J,'Nursing Charges'!$A:$A,$A57,'Nursing Charges'!$C:$C,1))+(I57-SUMIFS('Consumable Usage'!$F:$F,'Consumable Usage'!$A:$A,$A57,'Consumable Usage'!$D:$D,1)))</f>
        <v/>
      </c>
      <c r="L57" s="12" t="str">
        <f t="shared" si="1"/>
        <v/>
      </c>
      <c r="M57" s="20"/>
      <c r="N57" s="12" t="str">
        <f t="shared" si="2"/>
        <v/>
      </c>
      <c r="O57" s="45" t="str">
        <f t="shared" si="3"/>
        <v/>
      </c>
      <c r="P57" s="15"/>
      <c r="Q57" s="15"/>
      <c r="R57" s="20"/>
      <c r="S57" s="12" t="str">
        <f>IF($A57="","",SUMIFS('Consumable Usage'!$E:$E,'Consumable Usage'!$A:$A,$A57,'Consumable Usage'!$D:$D,2))</f>
        <v/>
      </c>
      <c r="T57" s="12" t="str">
        <f>IF($A57="","",SUMIFS('Nursing Charges'!$I:$I,'Nursing Charges'!$A:$A,$A57,'Nursing Charges'!$C:$C,2))</f>
        <v/>
      </c>
      <c r="U57" s="12" t="str">
        <f>IF($A57="","",R57+(T57-SUMIFS('Nursing Charges'!$J:$J,'Nursing Charges'!$A:$A,$A57,'Nursing Charges'!$C:$C,2))+(S57-SUMIFS('Consumable Usage'!$F:$F,'Consumable Usage'!$A:$A,$A57,'Consumable Usage'!$D:$D,2)))</f>
        <v/>
      </c>
      <c r="V57" s="12" t="str">
        <f t="shared" si="4"/>
        <v/>
      </c>
      <c r="W57" s="20"/>
      <c r="X57" s="12" t="str">
        <f t="shared" si="5"/>
        <v/>
      </c>
      <c r="Y57" s="45" t="str">
        <f t="shared" si="6"/>
        <v/>
      </c>
      <c r="Z57" s="15"/>
      <c r="AA57" s="15"/>
      <c r="AB57" s="20"/>
      <c r="AC57" s="12" t="str">
        <f>IF($A57="","",SUMIFS('Consumable Usage'!$E:$E,'Consumable Usage'!$A:$A,$A57,'Consumable Usage'!$D:$D,3))</f>
        <v/>
      </c>
      <c r="AD57" s="12" t="str">
        <f>IF($A57="","",SUMIFS('Nursing Charges'!$I:$I,'Nursing Charges'!$A:$A,$A57,'Nursing Charges'!$C:$C,3))</f>
        <v/>
      </c>
      <c r="AE57" s="12" t="str">
        <f>IF($A57="","",AB57+(AD57-SUMIFS('Nursing Charges'!$J:$J,'Nursing Charges'!$A:$A,$A57,'Nursing Charges'!$C:$C,3))+(AC57-SUMIFS('Consumable Usage'!$F:$F,'Consumable Usage'!$A:$A,$A57,'Consumable Usage'!$D:$D,3)))</f>
        <v/>
      </c>
      <c r="AF57" s="12" t="str">
        <f t="shared" si="7"/>
        <v/>
      </c>
      <c r="AG57" s="20"/>
      <c r="AH57" s="12" t="str">
        <f t="shared" si="8"/>
        <v/>
      </c>
      <c r="AI57" s="45" t="str">
        <f t="shared" si="9"/>
        <v/>
      </c>
      <c r="AJ57" s="15"/>
      <c r="AK57" s="15"/>
      <c r="AL57" s="20"/>
      <c r="AM57" s="12" t="str">
        <f>IF($A57="","",SUMIFS('Consumable Usage'!$E:$E,'Consumable Usage'!$A:$A,$A57,'Consumable Usage'!$D:$D,4))</f>
        <v/>
      </c>
      <c r="AN57" s="12" t="str">
        <f>IF($A57="","",SUMIFS('Nursing Charges'!$I:$I,'Nursing Charges'!$A:$A,$A57,'Nursing Charges'!$C:$C,4))</f>
        <v/>
      </c>
      <c r="AO57" s="12" t="str">
        <f>IF($A57="","",AL57+(AN57-SUMIFS('Nursing Charges'!$J:$J,'Nursing Charges'!$A:$A,$A57,'Nursing Charges'!$C:$C,4))+(AM57-SUMIFS('Consumable Usage'!$F:$F,'Consumable Usage'!$A:$A,$A57,'Consumable Usage'!$D:$D,4)))</f>
        <v/>
      </c>
      <c r="AP57" s="12" t="str">
        <f t="shared" si="10"/>
        <v/>
      </c>
      <c r="AQ57" s="20"/>
      <c r="AR57" s="12" t="str">
        <f t="shared" si="11"/>
        <v/>
      </c>
      <c r="AS57" s="45" t="str">
        <f t="shared" si="12"/>
        <v/>
      </c>
      <c r="AT57" s="15"/>
      <c r="AU57" s="15"/>
      <c r="AV57" s="20"/>
      <c r="AW57" s="12" t="str">
        <f>IF($A57="","",SUMIFS('Consumable Usage'!$E:$E,'Consumable Usage'!$A:$A,$A57,'Consumable Usage'!$D:$D,5))</f>
        <v/>
      </c>
      <c r="AX57" s="12" t="str">
        <f>IF($A57="","",SUMIFS('Nursing Charges'!$I:$I,'Nursing Charges'!$A:$A,$A57,'Nursing Charges'!$C:$C,5))</f>
        <v/>
      </c>
      <c r="AY57" s="12" t="str">
        <f>IF($A57="","",AV57+(AX57-SUMIFS('Nursing Charges'!$J:$J,'Nursing Charges'!$A:$A,$A57,'Nursing Charges'!$C:$C,5))+(AW57-SUMIFS('Consumable Usage'!$F:$F,'Consumable Usage'!$A:$A,$A57,'Consumable Usage'!$D:$D,5)))</f>
        <v/>
      </c>
      <c r="AZ57" s="12" t="str">
        <f t="shared" si="13"/>
        <v/>
      </c>
      <c r="BA57" s="20"/>
      <c r="BB57" s="12" t="str">
        <f t="shared" si="14"/>
        <v/>
      </c>
      <c r="BC57" s="45" t="str">
        <f t="shared" si="15"/>
        <v/>
      </c>
      <c r="BD57" s="15"/>
      <c r="BE57" s="15"/>
      <c r="BF57" s="20"/>
      <c r="BG57" s="12" t="str">
        <f>IF($A57="","",SUMIFS('Consumable Usage'!$E:$E,'Consumable Usage'!$A:$A,$A57,'Consumable Usage'!$D:$D,6))</f>
        <v/>
      </c>
      <c r="BH57" s="12" t="str">
        <f>IF($A57="","",SUMIFS('Nursing Charges'!$I:$I,'Nursing Charges'!$A:$A,$A57,'Nursing Charges'!$C:$C,6))</f>
        <v/>
      </c>
      <c r="BI57" s="12" t="str">
        <f>IF($A57="","",BF57+(BH57-SUMIFS('Nursing Charges'!$J:$J,'Nursing Charges'!$A:$A,$A57,'Nursing Charges'!$C:$C,6))+(BG57-SUMIFS('Consumable Usage'!$F:$F,'Consumable Usage'!$A:$A,$A57,'Consumable Usage'!$D:$D,6)))</f>
        <v/>
      </c>
      <c r="BJ57" s="12" t="str">
        <f t="shared" si="16"/>
        <v/>
      </c>
      <c r="BK57" s="20"/>
      <c r="BL57" s="12" t="str">
        <f t="shared" si="17"/>
        <v/>
      </c>
      <c r="BM57" s="45" t="str">
        <f t="shared" si="18"/>
        <v/>
      </c>
      <c r="BN57" s="15"/>
      <c r="BO57" s="15"/>
      <c r="BP57" s="20"/>
      <c r="BQ57" s="12" t="str">
        <f>IF($A57="","",SUMIFS('Consumable Usage'!$E:$E,'Consumable Usage'!$A:$A,$A57,'Consumable Usage'!$D:$D,7))</f>
        <v/>
      </c>
      <c r="BR57" s="12" t="str">
        <f>IF($A57="","",SUMIFS('Nursing Charges'!$I:$I,'Nursing Charges'!$A:$A,$A57,'Nursing Charges'!$C:$C,7))</f>
        <v/>
      </c>
      <c r="BS57" s="12" t="str">
        <f>IF($A57="","",BP57+(BR57-SUMIFS('Nursing Charges'!$J:$J,'Nursing Charges'!$A:$A,$A57,'Nursing Charges'!$C:$C,7))+(BQ57-SUMIFS('Consumable Usage'!$F:$F,'Consumable Usage'!$A:$A,$A57,'Consumable Usage'!$D:$D,7)))</f>
        <v/>
      </c>
      <c r="BT57" s="12" t="str">
        <f t="shared" si="19"/>
        <v/>
      </c>
      <c r="BU57" s="20"/>
      <c r="BV57" s="12" t="str">
        <f t="shared" si="20"/>
        <v/>
      </c>
      <c r="BW57" s="45" t="str">
        <f t="shared" si="21"/>
        <v/>
      </c>
      <c r="BX57" s="15"/>
      <c r="BY57" s="15"/>
      <c r="BZ57" s="20"/>
      <c r="CA57" s="12" t="str">
        <f>IF($A57="","",SUMIFS('Consumable Usage'!$E:$E,'Consumable Usage'!$A:$A,$A57,'Consumable Usage'!$D:$D,8))</f>
        <v/>
      </c>
      <c r="CB57" s="12" t="str">
        <f>IF($A57="","",SUMIFS('Nursing Charges'!$I:$I,'Nursing Charges'!$A:$A,$A57,'Nursing Charges'!$C:$C,8))</f>
        <v/>
      </c>
      <c r="CC57" s="12" t="str">
        <f>IF($A57="","",BZ57+(CB57-SUMIFS('Nursing Charges'!$J:$J,'Nursing Charges'!$A:$A,$A57,'Nursing Charges'!$C:$C,8))+(CA57-SUMIFS('Consumable Usage'!$F:$F,'Consumable Usage'!$A:$A,$A57,'Consumable Usage'!$D:$D,8)))</f>
        <v/>
      </c>
      <c r="CD57" s="12" t="str">
        <f t="shared" si="22"/>
        <v/>
      </c>
      <c r="CE57" s="20"/>
      <c r="CF57" s="12" t="str">
        <f t="shared" si="23"/>
        <v/>
      </c>
      <c r="CG57" s="45" t="str">
        <f t="shared" si="24"/>
        <v/>
      </c>
      <c r="CH57" s="15"/>
      <c r="CI57" s="15"/>
      <c r="CJ57" s="20"/>
      <c r="CK57" s="12" t="str">
        <f>IF($A57="","",SUMIFS('Consumable Usage'!$E:$E,'Consumable Usage'!$A:$A,$A57,'Consumable Usage'!$D:$D,9))</f>
        <v/>
      </c>
      <c r="CL57" s="12" t="str">
        <f>IF($A57="","",SUMIFS('Nursing Charges'!$I:$I,'Nursing Charges'!$A:$A,$A57,'Nursing Charges'!$C:$C,9))</f>
        <v/>
      </c>
      <c r="CM57" s="12" t="str">
        <f>IF($A57="","",CJ57+(CL57-SUMIFS('Nursing Charges'!$J:$J,'Nursing Charges'!$A:$A,$A57,'Nursing Charges'!$C:$C,9))+(CK57-SUMIFS('Consumable Usage'!$F:$F,'Consumable Usage'!$A:$A,$A57,'Consumable Usage'!$D:$D,9)))</f>
        <v/>
      </c>
      <c r="CN57" s="12" t="str">
        <f t="shared" si="25"/>
        <v/>
      </c>
      <c r="CO57" s="20"/>
      <c r="CP57" s="12" t="str">
        <f t="shared" si="26"/>
        <v/>
      </c>
      <c r="CQ57" s="45" t="str">
        <f t="shared" si="27"/>
        <v/>
      </c>
      <c r="CR57" s="15"/>
      <c r="CS57" s="15"/>
      <c r="CT57" s="20"/>
      <c r="CU57" s="12" t="str">
        <f>IF($A57="","",SUMIFS('Consumable Usage'!$E:$E,'Consumable Usage'!$A:$A,$A57,'Consumable Usage'!$D:$D,10))</f>
        <v/>
      </c>
      <c r="CV57" s="12" t="str">
        <f>IF($A57="","",SUMIFS('Nursing Charges'!$I:$I,'Nursing Charges'!$A:$A,$A57,'Nursing Charges'!$C:$C,10))</f>
        <v/>
      </c>
      <c r="CW57" s="12" t="str">
        <f>IF($A57="","",CT57+(CV57-SUMIFS('Nursing Charges'!$J:$J,'Nursing Charges'!$A:$A,$A57,'Nursing Charges'!$C:$C,10))+(CU57-SUMIFS('Consumable Usage'!$F:$F,'Consumable Usage'!$A:$A,$A57,'Consumable Usage'!$D:$D,10)))</f>
        <v/>
      </c>
      <c r="CX57" s="12" t="str">
        <f t="shared" si="28"/>
        <v/>
      </c>
      <c r="CY57" s="20"/>
      <c r="CZ57" s="12" t="str">
        <f t="shared" si="29"/>
        <v/>
      </c>
      <c r="DA57" s="45" t="str">
        <f t="shared" si="30"/>
        <v/>
      </c>
      <c r="DB57" s="15"/>
      <c r="DC57" s="15"/>
      <c r="DD57" s="20"/>
      <c r="DE57" s="12" t="str">
        <f>IF($A57="","",SUMIFS('Consumable Usage'!$E:$E,'Consumable Usage'!$A:$A,$A57,'Consumable Usage'!$D:$D,11))</f>
        <v/>
      </c>
      <c r="DF57" s="12" t="str">
        <f>IF($A57="","",SUMIFS('Nursing Charges'!$I:$I,'Nursing Charges'!$A:$A,$A57,'Nursing Charges'!$C:$C,11))</f>
        <v/>
      </c>
      <c r="DG57" s="12" t="str">
        <f>IF($A57="","",DD57+(DF57-SUMIFS('Nursing Charges'!$J:$J,'Nursing Charges'!$A:$A,$A57,'Nursing Charges'!$C:$C,11))+(DE57-SUMIFS('Consumable Usage'!$F:$F,'Consumable Usage'!$A:$A,$A57,'Consumable Usage'!$D:$D,11)))</f>
        <v/>
      </c>
      <c r="DH57" s="12" t="str">
        <f t="shared" si="31"/>
        <v/>
      </c>
      <c r="DI57" s="20"/>
      <c r="DJ57" s="12" t="str">
        <f t="shared" si="32"/>
        <v/>
      </c>
      <c r="DK57" s="45" t="str">
        <f t="shared" si="33"/>
        <v/>
      </c>
      <c r="DL57" s="15"/>
      <c r="DM57" s="15"/>
      <c r="DN57" s="20"/>
      <c r="DO57" s="12" t="str">
        <f>IF($A57="","",SUMIFS('Consumable Usage'!$E:$E,'Consumable Usage'!$A:$A,$A57,'Consumable Usage'!$D:$D,12))</f>
        <v/>
      </c>
      <c r="DP57" s="12" t="str">
        <f>IF($A57="","",SUMIFS('Nursing Charges'!$I:$I,'Nursing Charges'!$A:$A,$A57,'Nursing Charges'!$C:$C,12))</f>
        <v/>
      </c>
      <c r="DQ57" s="12" t="str">
        <f>IF($A57="","",DN57+(DP57-SUMIFS('Nursing Charges'!$J:$J,'Nursing Charges'!$A:$A,$A57,'Nursing Charges'!$C:$C,12))+(DO57-SUMIFS('Consumable Usage'!$F:$F,'Consumable Usage'!$A:$A,$A57,'Consumable Usage'!$D:$D,12)))</f>
        <v/>
      </c>
      <c r="DR57" s="12" t="str">
        <f t="shared" si="34"/>
        <v/>
      </c>
      <c r="DS57" s="20"/>
      <c r="DT57" s="12" t="str">
        <f t="shared" si="35"/>
        <v/>
      </c>
      <c r="DU57" s="45" t="str">
        <f t="shared" si="36"/>
        <v/>
      </c>
      <c r="DV57" s="15"/>
      <c r="DW57" s="15"/>
      <c r="DX57" s="20"/>
      <c r="DY57" s="12" t="str">
        <f>IF($A57="","",SUMIFS('Consumable Usage'!$E:$E,'Consumable Usage'!$A:$A,$A57,'Consumable Usage'!$D:$D,13))</f>
        <v/>
      </c>
      <c r="DZ57" s="12" t="str">
        <f>IF($A57="","",SUMIFS('Nursing Charges'!$I:$I,'Nursing Charges'!$A:$A,$A57,'Nursing Charges'!$C:$C,13))</f>
        <v/>
      </c>
      <c r="EA57" s="12" t="str">
        <f>IF($A57="","",DX57+(DZ57-SUMIFS('Nursing Charges'!$J:$J,'Nursing Charges'!$A:$A,$A57,'Nursing Charges'!$C:$C,13))+(DY57-SUMIFS('Consumable Usage'!$F:$F,'Consumable Usage'!$A:$A,$A57,'Consumable Usage'!$D:$D,13)))</f>
        <v/>
      </c>
      <c r="EB57" s="12" t="str">
        <f t="shared" si="37"/>
        <v/>
      </c>
      <c r="EC57" s="20"/>
      <c r="ED57" s="12" t="str">
        <f t="shared" si="38"/>
        <v/>
      </c>
      <c r="EE57" s="45" t="str">
        <f t="shared" si="39"/>
        <v/>
      </c>
      <c r="EF57" s="15"/>
      <c r="EG57" s="15"/>
      <c r="EH57" s="20"/>
      <c r="EI57" s="12" t="str">
        <f>IF($A57="","",SUMIFS('Consumable Usage'!$E:$E,'Consumable Usage'!$A:$A,$A57,'Consumable Usage'!$D:$D,14))</f>
        <v/>
      </c>
      <c r="EJ57" s="12" t="str">
        <f>IF($A57="","",SUMIFS('Nursing Charges'!$I:$I,'Nursing Charges'!$A:$A,$A57,'Nursing Charges'!$C:$C,14))</f>
        <v/>
      </c>
      <c r="EK57" s="12" t="str">
        <f>IF($A57="","",EH57+(EJ57-SUMIFS('Nursing Charges'!$J:$J,'Nursing Charges'!$A:$A,$A57,'Nursing Charges'!$C:$C,14))+(EI57-SUMIFS('Consumable Usage'!$F:$F,'Consumable Usage'!$A:$A,$A57,'Consumable Usage'!$D:$D,14)))</f>
        <v/>
      </c>
      <c r="EL57" s="12" t="str">
        <f t="shared" si="40"/>
        <v/>
      </c>
      <c r="EM57" s="20"/>
      <c r="EN57" s="12" t="str">
        <f t="shared" si="41"/>
        <v/>
      </c>
      <c r="EO57" s="45" t="str">
        <f t="shared" si="42"/>
        <v/>
      </c>
      <c r="EP57" s="15"/>
      <c r="EQ57" s="15"/>
      <c r="ER57" s="20"/>
      <c r="ES57" s="12" t="str">
        <f>IF($A57="","",SUMIFS('Consumable Usage'!$E:$E,'Consumable Usage'!$A:$A,$A57,'Consumable Usage'!$D:$D,15))</f>
        <v/>
      </c>
      <c r="ET57" s="12" t="str">
        <f>IF($A57="","",SUMIFS('Nursing Charges'!$I:$I,'Nursing Charges'!$A:$A,$A57,'Nursing Charges'!$C:$C,15))</f>
        <v/>
      </c>
      <c r="EU57" s="12" t="str">
        <f>IF($A57="","",ER57+(ET57-SUMIFS('Nursing Charges'!$J:$J,'Nursing Charges'!$A:$A,$A57,'Nursing Charges'!$C:$C,15))+(ES57-SUMIFS('Consumable Usage'!$F:$F,'Consumable Usage'!$A:$A,$A57,'Consumable Usage'!$D:$D,15)))</f>
        <v/>
      </c>
      <c r="EV57" s="12" t="str">
        <f t="shared" si="43"/>
        <v/>
      </c>
      <c r="EW57" s="20"/>
      <c r="EX57" s="12" t="str">
        <f t="shared" si="44"/>
        <v/>
      </c>
      <c r="EY57" s="45" t="str">
        <f t="shared" si="45"/>
        <v/>
      </c>
      <c r="EZ57" s="15"/>
      <c r="FA57" s="15"/>
      <c r="FB57" s="20"/>
      <c r="FC57" s="12" t="str">
        <f>IF($A57="","",SUMIFS('Consumable Usage'!$E:$E,'Consumable Usage'!$A:$A,$A57,'Consumable Usage'!$D:$D,16))</f>
        <v/>
      </c>
      <c r="FD57" s="12" t="str">
        <f>IF($A57="","",SUMIFS('Nursing Charges'!$I:$I,'Nursing Charges'!$A:$A,$A57,'Nursing Charges'!$C:$C,16))</f>
        <v/>
      </c>
      <c r="FE57" s="12" t="str">
        <f>IF($A57="","",FB57+(FD57-SUMIFS('Nursing Charges'!$J:$J,'Nursing Charges'!$A:$A,$A57,'Nursing Charges'!$C:$C,16))+(FC57-SUMIFS('Consumable Usage'!$F:$F,'Consumable Usage'!$A:$A,$A57,'Consumable Usage'!$D:$D,16)))</f>
        <v/>
      </c>
      <c r="FF57" s="12" t="str">
        <f t="shared" si="46"/>
        <v/>
      </c>
      <c r="FG57" s="20"/>
      <c r="FH57" s="12" t="str">
        <f t="shared" si="47"/>
        <v/>
      </c>
      <c r="FI57" s="45" t="str">
        <f t="shared" si="48"/>
        <v/>
      </c>
      <c r="FJ57" s="53"/>
      <c r="FK57" s="53"/>
      <c r="FL57" s="63"/>
      <c r="FM57" s="63" t="str">
        <f>IF($A57="","",SUMIFS('Consumable Usage'!$E:$E,'Consumable Usage'!$A:$A,$A57,'Consumable Usage'!$D:$D,16))</f>
        <v/>
      </c>
      <c r="FN57" s="63" t="str">
        <f>IF($A57="","",SUMIFS('Nursing Charges'!$I:$I,'Nursing Charges'!$A:$A,$A57,'Nursing Charges'!$C:$C,16))</f>
        <v/>
      </c>
      <c r="FO57" s="63" t="str">
        <f>IF($A57="","",FL57+(FN57-SUMIFS('Nursing Charges'!$J:$J,'Nursing Charges'!$A:$A,$A57,'Nursing Charges'!$C:$C,16))+(FM57-SUMIFS('Consumable Usage'!$F:$F,'Consumable Usage'!$A:$A,$A57,'Consumable Usage'!$D:$D,16)))</f>
        <v/>
      </c>
      <c r="FP57" s="63" t="str">
        <f t="shared" si="49"/>
        <v/>
      </c>
      <c r="FQ57" s="63"/>
      <c r="FR57" s="63" t="str">
        <f t="shared" si="50"/>
        <v/>
      </c>
      <c r="FS57" s="53" t="str">
        <f t="shared" si="51"/>
        <v/>
      </c>
    </row>
    <row r="58" ht="15.0" customHeight="1">
      <c r="A58" s="15"/>
      <c r="B58" s="15"/>
      <c r="C58" s="15"/>
      <c r="D58" s="15"/>
      <c r="E58" s="15"/>
      <c r="F58" s="15"/>
      <c r="G58" s="15"/>
      <c r="H58" s="20"/>
      <c r="I58" s="12" t="str">
        <f>IF($A58="","",SUMIFS('Consumable Usage'!$E:$E,'Consumable Usage'!$A:$A,$A58,'Consumable Usage'!$D:$D,1))</f>
        <v/>
      </c>
      <c r="J58" s="12" t="str">
        <f>IF($A58="","",SUMIFS('Nursing Charges'!$I:$I,'Nursing Charges'!$A:$A,$A58,'Nursing Charges'!$C:$C,1))</f>
        <v/>
      </c>
      <c r="K58" s="12" t="str">
        <f>IF($A58="","",H58+(J58-SUMIFS('Nursing Charges'!$J:$J,'Nursing Charges'!$A:$A,$A58,'Nursing Charges'!$C:$C,1))+(I58-SUMIFS('Consumable Usage'!$F:$F,'Consumable Usage'!$A:$A,$A58,'Consumable Usage'!$D:$D,1)))</f>
        <v/>
      </c>
      <c r="L58" s="12" t="str">
        <f t="shared" si="1"/>
        <v/>
      </c>
      <c r="M58" s="20"/>
      <c r="N58" s="12" t="str">
        <f t="shared" si="2"/>
        <v/>
      </c>
      <c r="O58" s="45" t="str">
        <f t="shared" si="3"/>
        <v/>
      </c>
      <c r="P58" s="15"/>
      <c r="Q58" s="15"/>
      <c r="R58" s="20"/>
      <c r="S58" s="12" t="str">
        <f>IF($A58="","",SUMIFS('Consumable Usage'!$E:$E,'Consumable Usage'!$A:$A,$A58,'Consumable Usage'!$D:$D,2))</f>
        <v/>
      </c>
      <c r="T58" s="12" t="str">
        <f>IF($A58="","",SUMIFS('Nursing Charges'!$I:$I,'Nursing Charges'!$A:$A,$A58,'Nursing Charges'!$C:$C,2))</f>
        <v/>
      </c>
      <c r="U58" s="12" t="str">
        <f>IF($A58="","",R58+(T58-SUMIFS('Nursing Charges'!$J:$J,'Nursing Charges'!$A:$A,$A58,'Nursing Charges'!$C:$C,2))+(S58-SUMIFS('Consumable Usage'!$F:$F,'Consumable Usage'!$A:$A,$A58,'Consumable Usage'!$D:$D,2)))</f>
        <v/>
      </c>
      <c r="V58" s="12" t="str">
        <f t="shared" si="4"/>
        <v/>
      </c>
      <c r="W58" s="20"/>
      <c r="X58" s="12" t="str">
        <f t="shared" si="5"/>
        <v/>
      </c>
      <c r="Y58" s="45" t="str">
        <f t="shared" si="6"/>
        <v/>
      </c>
      <c r="Z58" s="15"/>
      <c r="AA58" s="15"/>
      <c r="AB58" s="20"/>
      <c r="AC58" s="12" t="str">
        <f>IF($A58="","",SUMIFS('Consumable Usage'!$E:$E,'Consumable Usage'!$A:$A,$A58,'Consumable Usage'!$D:$D,3))</f>
        <v/>
      </c>
      <c r="AD58" s="12" t="str">
        <f>IF($A58="","",SUMIFS('Nursing Charges'!$I:$I,'Nursing Charges'!$A:$A,$A58,'Nursing Charges'!$C:$C,3))</f>
        <v/>
      </c>
      <c r="AE58" s="12" t="str">
        <f>IF($A58="","",AB58+(AD58-SUMIFS('Nursing Charges'!$J:$J,'Nursing Charges'!$A:$A,$A58,'Nursing Charges'!$C:$C,3))+(AC58-SUMIFS('Consumable Usage'!$F:$F,'Consumable Usage'!$A:$A,$A58,'Consumable Usage'!$D:$D,3)))</f>
        <v/>
      </c>
      <c r="AF58" s="12" t="str">
        <f t="shared" si="7"/>
        <v/>
      </c>
      <c r="AG58" s="20"/>
      <c r="AH58" s="12" t="str">
        <f t="shared" si="8"/>
        <v/>
      </c>
      <c r="AI58" s="45" t="str">
        <f t="shared" si="9"/>
        <v/>
      </c>
      <c r="AJ58" s="15"/>
      <c r="AK58" s="15"/>
      <c r="AL58" s="20"/>
      <c r="AM58" s="12" t="str">
        <f>IF($A58="","",SUMIFS('Consumable Usage'!$E:$E,'Consumable Usage'!$A:$A,$A58,'Consumable Usage'!$D:$D,4))</f>
        <v/>
      </c>
      <c r="AN58" s="12" t="str">
        <f>IF($A58="","",SUMIFS('Nursing Charges'!$I:$I,'Nursing Charges'!$A:$A,$A58,'Nursing Charges'!$C:$C,4))</f>
        <v/>
      </c>
      <c r="AO58" s="12" t="str">
        <f>IF($A58="","",AL58+(AN58-SUMIFS('Nursing Charges'!$J:$J,'Nursing Charges'!$A:$A,$A58,'Nursing Charges'!$C:$C,4))+(AM58-SUMIFS('Consumable Usage'!$F:$F,'Consumable Usage'!$A:$A,$A58,'Consumable Usage'!$D:$D,4)))</f>
        <v/>
      </c>
      <c r="AP58" s="12" t="str">
        <f t="shared" si="10"/>
        <v/>
      </c>
      <c r="AQ58" s="20"/>
      <c r="AR58" s="12" t="str">
        <f t="shared" si="11"/>
        <v/>
      </c>
      <c r="AS58" s="45" t="str">
        <f t="shared" si="12"/>
        <v/>
      </c>
      <c r="AT58" s="15"/>
      <c r="AU58" s="15"/>
      <c r="AV58" s="20"/>
      <c r="AW58" s="12" t="str">
        <f>IF($A58="","",SUMIFS('Consumable Usage'!$E:$E,'Consumable Usage'!$A:$A,$A58,'Consumable Usage'!$D:$D,5))</f>
        <v/>
      </c>
      <c r="AX58" s="12" t="str">
        <f>IF($A58="","",SUMIFS('Nursing Charges'!$I:$I,'Nursing Charges'!$A:$A,$A58,'Nursing Charges'!$C:$C,5))</f>
        <v/>
      </c>
      <c r="AY58" s="12" t="str">
        <f>IF($A58="","",AV58+(AX58-SUMIFS('Nursing Charges'!$J:$J,'Nursing Charges'!$A:$A,$A58,'Nursing Charges'!$C:$C,5))+(AW58-SUMIFS('Consumable Usage'!$F:$F,'Consumable Usage'!$A:$A,$A58,'Consumable Usage'!$D:$D,5)))</f>
        <v/>
      </c>
      <c r="AZ58" s="12" t="str">
        <f t="shared" si="13"/>
        <v/>
      </c>
      <c r="BA58" s="20"/>
      <c r="BB58" s="12" t="str">
        <f t="shared" si="14"/>
        <v/>
      </c>
      <c r="BC58" s="45" t="str">
        <f t="shared" si="15"/>
        <v/>
      </c>
      <c r="BD58" s="15"/>
      <c r="BE58" s="15"/>
      <c r="BF58" s="20"/>
      <c r="BG58" s="12" t="str">
        <f>IF($A58="","",SUMIFS('Consumable Usage'!$E:$E,'Consumable Usage'!$A:$A,$A58,'Consumable Usage'!$D:$D,6))</f>
        <v/>
      </c>
      <c r="BH58" s="12" t="str">
        <f>IF($A58="","",SUMIFS('Nursing Charges'!$I:$I,'Nursing Charges'!$A:$A,$A58,'Nursing Charges'!$C:$C,6))</f>
        <v/>
      </c>
      <c r="BI58" s="12" t="str">
        <f>IF($A58="","",BF58+(BH58-SUMIFS('Nursing Charges'!$J:$J,'Nursing Charges'!$A:$A,$A58,'Nursing Charges'!$C:$C,6))+(BG58-SUMIFS('Consumable Usage'!$F:$F,'Consumable Usage'!$A:$A,$A58,'Consumable Usage'!$D:$D,6)))</f>
        <v/>
      </c>
      <c r="BJ58" s="12" t="str">
        <f t="shared" si="16"/>
        <v/>
      </c>
      <c r="BK58" s="20"/>
      <c r="BL58" s="12" t="str">
        <f t="shared" si="17"/>
        <v/>
      </c>
      <c r="BM58" s="45" t="str">
        <f t="shared" si="18"/>
        <v/>
      </c>
      <c r="BN58" s="15"/>
      <c r="BO58" s="15"/>
      <c r="BP58" s="20"/>
      <c r="BQ58" s="12" t="str">
        <f>IF($A58="","",SUMIFS('Consumable Usage'!$E:$E,'Consumable Usage'!$A:$A,$A58,'Consumable Usage'!$D:$D,7))</f>
        <v/>
      </c>
      <c r="BR58" s="12" t="str">
        <f>IF($A58="","",SUMIFS('Nursing Charges'!$I:$I,'Nursing Charges'!$A:$A,$A58,'Nursing Charges'!$C:$C,7))</f>
        <v/>
      </c>
      <c r="BS58" s="12" t="str">
        <f>IF($A58="","",BP58+(BR58-SUMIFS('Nursing Charges'!$J:$J,'Nursing Charges'!$A:$A,$A58,'Nursing Charges'!$C:$C,7))+(BQ58-SUMIFS('Consumable Usage'!$F:$F,'Consumable Usage'!$A:$A,$A58,'Consumable Usage'!$D:$D,7)))</f>
        <v/>
      </c>
      <c r="BT58" s="12" t="str">
        <f t="shared" si="19"/>
        <v/>
      </c>
      <c r="BU58" s="20"/>
      <c r="BV58" s="12" t="str">
        <f t="shared" si="20"/>
        <v/>
      </c>
      <c r="BW58" s="45" t="str">
        <f t="shared" si="21"/>
        <v/>
      </c>
      <c r="BX58" s="15"/>
      <c r="BY58" s="15"/>
      <c r="BZ58" s="20"/>
      <c r="CA58" s="12" t="str">
        <f>IF($A58="","",SUMIFS('Consumable Usage'!$E:$E,'Consumable Usage'!$A:$A,$A58,'Consumable Usage'!$D:$D,8))</f>
        <v/>
      </c>
      <c r="CB58" s="12" t="str">
        <f>IF($A58="","",SUMIFS('Nursing Charges'!$I:$I,'Nursing Charges'!$A:$A,$A58,'Nursing Charges'!$C:$C,8))</f>
        <v/>
      </c>
      <c r="CC58" s="12" t="str">
        <f>IF($A58="","",BZ58+(CB58-SUMIFS('Nursing Charges'!$J:$J,'Nursing Charges'!$A:$A,$A58,'Nursing Charges'!$C:$C,8))+(CA58-SUMIFS('Consumable Usage'!$F:$F,'Consumable Usage'!$A:$A,$A58,'Consumable Usage'!$D:$D,8)))</f>
        <v/>
      </c>
      <c r="CD58" s="12" t="str">
        <f t="shared" si="22"/>
        <v/>
      </c>
      <c r="CE58" s="20"/>
      <c r="CF58" s="12" t="str">
        <f t="shared" si="23"/>
        <v/>
      </c>
      <c r="CG58" s="45" t="str">
        <f t="shared" si="24"/>
        <v/>
      </c>
      <c r="CH58" s="15"/>
      <c r="CI58" s="15"/>
      <c r="CJ58" s="20"/>
      <c r="CK58" s="12" t="str">
        <f>IF($A58="","",SUMIFS('Consumable Usage'!$E:$E,'Consumable Usage'!$A:$A,$A58,'Consumable Usage'!$D:$D,9))</f>
        <v/>
      </c>
      <c r="CL58" s="12" t="str">
        <f>IF($A58="","",SUMIFS('Nursing Charges'!$I:$I,'Nursing Charges'!$A:$A,$A58,'Nursing Charges'!$C:$C,9))</f>
        <v/>
      </c>
      <c r="CM58" s="12" t="str">
        <f>IF($A58="","",CJ58+(CL58-SUMIFS('Nursing Charges'!$J:$J,'Nursing Charges'!$A:$A,$A58,'Nursing Charges'!$C:$C,9))+(CK58-SUMIFS('Consumable Usage'!$F:$F,'Consumable Usage'!$A:$A,$A58,'Consumable Usage'!$D:$D,9)))</f>
        <v/>
      </c>
      <c r="CN58" s="12" t="str">
        <f t="shared" si="25"/>
        <v/>
      </c>
      <c r="CO58" s="20"/>
      <c r="CP58" s="12" t="str">
        <f t="shared" si="26"/>
        <v/>
      </c>
      <c r="CQ58" s="45" t="str">
        <f t="shared" si="27"/>
        <v/>
      </c>
      <c r="CR58" s="15"/>
      <c r="CS58" s="15"/>
      <c r="CT58" s="20"/>
      <c r="CU58" s="12" t="str">
        <f>IF($A58="","",SUMIFS('Consumable Usage'!$E:$E,'Consumable Usage'!$A:$A,$A58,'Consumable Usage'!$D:$D,10))</f>
        <v/>
      </c>
      <c r="CV58" s="12" t="str">
        <f>IF($A58="","",SUMIFS('Nursing Charges'!$I:$I,'Nursing Charges'!$A:$A,$A58,'Nursing Charges'!$C:$C,10))</f>
        <v/>
      </c>
      <c r="CW58" s="12" t="str">
        <f>IF($A58="","",CT58+(CV58-SUMIFS('Nursing Charges'!$J:$J,'Nursing Charges'!$A:$A,$A58,'Nursing Charges'!$C:$C,10))+(CU58-SUMIFS('Consumable Usage'!$F:$F,'Consumable Usage'!$A:$A,$A58,'Consumable Usage'!$D:$D,10)))</f>
        <v/>
      </c>
      <c r="CX58" s="12" t="str">
        <f t="shared" si="28"/>
        <v/>
      </c>
      <c r="CY58" s="20"/>
      <c r="CZ58" s="12" t="str">
        <f t="shared" si="29"/>
        <v/>
      </c>
      <c r="DA58" s="45" t="str">
        <f t="shared" si="30"/>
        <v/>
      </c>
      <c r="DB58" s="15"/>
      <c r="DC58" s="15"/>
      <c r="DD58" s="20"/>
      <c r="DE58" s="12" t="str">
        <f>IF($A58="","",SUMIFS('Consumable Usage'!$E:$E,'Consumable Usage'!$A:$A,$A58,'Consumable Usage'!$D:$D,11))</f>
        <v/>
      </c>
      <c r="DF58" s="12" t="str">
        <f>IF($A58="","",SUMIFS('Nursing Charges'!$I:$I,'Nursing Charges'!$A:$A,$A58,'Nursing Charges'!$C:$C,11))</f>
        <v/>
      </c>
      <c r="DG58" s="12" t="str">
        <f>IF($A58="","",DD58+(DF58-SUMIFS('Nursing Charges'!$J:$J,'Nursing Charges'!$A:$A,$A58,'Nursing Charges'!$C:$C,11))+(DE58-SUMIFS('Consumable Usage'!$F:$F,'Consumable Usage'!$A:$A,$A58,'Consumable Usage'!$D:$D,11)))</f>
        <v/>
      </c>
      <c r="DH58" s="12" t="str">
        <f t="shared" si="31"/>
        <v/>
      </c>
      <c r="DI58" s="20"/>
      <c r="DJ58" s="12" t="str">
        <f t="shared" si="32"/>
        <v/>
      </c>
      <c r="DK58" s="45" t="str">
        <f t="shared" si="33"/>
        <v/>
      </c>
      <c r="DL58" s="15"/>
      <c r="DM58" s="15"/>
      <c r="DN58" s="20"/>
      <c r="DO58" s="12" t="str">
        <f>IF($A58="","",SUMIFS('Consumable Usage'!$E:$E,'Consumable Usage'!$A:$A,$A58,'Consumable Usage'!$D:$D,12))</f>
        <v/>
      </c>
      <c r="DP58" s="12" t="str">
        <f>IF($A58="","",SUMIFS('Nursing Charges'!$I:$I,'Nursing Charges'!$A:$A,$A58,'Nursing Charges'!$C:$C,12))</f>
        <v/>
      </c>
      <c r="DQ58" s="12" t="str">
        <f>IF($A58="","",DN58+(DP58-SUMIFS('Nursing Charges'!$J:$J,'Nursing Charges'!$A:$A,$A58,'Nursing Charges'!$C:$C,12))+(DO58-SUMIFS('Consumable Usage'!$F:$F,'Consumable Usage'!$A:$A,$A58,'Consumable Usage'!$D:$D,12)))</f>
        <v/>
      </c>
      <c r="DR58" s="12" t="str">
        <f t="shared" si="34"/>
        <v/>
      </c>
      <c r="DS58" s="20"/>
      <c r="DT58" s="12" t="str">
        <f t="shared" si="35"/>
        <v/>
      </c>
      <c r="DU58" s="45" t="str">
        <f t="shared" si="36"/>
        <v/>
      </c>
      <c r="DV58" s="15"/>
      <c r="DW58" s="15"/>
      <c r="DX58" s="20"/>
      <c r="DY58" s="12" t="str">
        <f>IF($A58="","",SUMIFS('Consumable Usage'!$E:$E,'Consumable Usage'!$A:$A,$A58,'Consumable Usage'!$D:$D,13))</f>
        <v/>
      </c>
      <c r="DZ58" s="12" t="str">
        <f>IF($A58="","",SUMIFS('Nursing Charges'!$I:$I,'Nursing Charges'!$A:$A,$A58,'Nursing Charges'!$C:$C,13))</f>
        <v/>
      </c>
      <c r="EA58" s="12" t="str">
        <f>IF($A58="","",DX58+(DZ58-SUMIFS('Nursing Charges'!$J:$J,'Nursing Charges'!$A:$A,$A58,'Nursing Charges'!$C:$C,13))+(DY58-SUMIFS('Consumable Usage'!$F:$F,'Consumable Usage'!$A:$A,$A58,'Consumable Usage'!$D:$D,13)))</f>
        <v/>
      </c>
      <c r="EB58" s="12" t="str">
        <f t="shared" si="37"/>
        <v/>
      </c>
      <c r="EC58" s="20"/>
      <c r="ED58" s="12" t="str">
        <f t="shared" si="38"/>
        <v/>
      </c>
      <c r="EE58" s="45" t="str">
        <f t="shared" si="39"/>
        <v/>
      </c>
      <c r="EF58" s="15"/>
      <c r="EG58" s="15"/>
      <c r="EH58" s="20"/>
      <c r="EI58" s="12" t="str">
        <f>IF($A58="","",SUMIFS('Consumable Usage'!$E:$E,'Consumable Usage'!$A:$A,$A58,'Consumable Usage'!$D:$D,14))</f>
        <v/>
      </c>
      <c r="EJ58" s="12" t="str">
        <f>IF($A58="","",SUMIFS('Nursing Charges'!$I:$I,'Nursing Charges'!$A:$A,$A58,'Nursing Charges'!$C:$C,14))</f>
        <v/>
      </c>
      <c r="EK58" s="12" t="str">
        <f>IF($A58="","",EH58+(EJ58-SUMIFS('Nursing Charges'!$J:$J,'Nursing Charges'!$A:$A,$A58,'Nursing Charges'!$C:$C,14))+(EI58-SUMIFS('Consumable Usage'!$F:$F,'Consumable Usage'!$A:$A,$A58,'Consumable Usage'!$D:$D,14)))</f>
        <v/>
      </c>
      <c r="EL58" s="12" t="str">
        <f t="shared" si="40"/>
        <v/>
      </c>
      <c r="EM58" s="20"/>
      <c r="EN58" s="12" t="str">
        <f t="shared" si="41"/>
        <v/>
      </c>
      <c r="EO58" s="45" t="str">
        <f t="shared" si="42"/>
        <v/>
      </c>
      <c r="EP58" s="15"/>
      <c r="EQ58" s="15"/>
      <c r="ER58" s="20"/>
      <c r="ES58" s="12" t="str">
        <f>IF($A58="","",SUMIFS('Consumable Usage'!$E:$E,'Consumable Usage'!$A:$A,$A58,'Consumable Usage'!$D:$D,15))</f>
        <v/>
      </c>
      <c r="ET58" s="12" t="str">
        <f>IF($A58="","",SUMIFS('Nursing Charges'!$I:$I,'Nursing Charges'!$A:$A,$A58,'Nursing Charges'!$C:$C,15))</f>
        <v/>
      </c>
      <c r="EU58" s="12" t="str">
        <f>IF($A58="","",ER58+(ET58-SUMIFS('Nursing Charges'!$J:$J,'Nursing Charges'!$A:$A,$A58,'Nursing Charges'!$C:$C,15))+(ES58-SUMIFS('Consumable Usage'!$F:$F,'Consumable Usage'!$A:$A,$A58,'Consumable Usage'!$D:$D,15)))</f>
        <v/>
      </c>
      <c r="EV58" s="12" t="str">
        <f t="shared" si="43"/>
        <v/>
      </c>
      <c r="EW58" s="20"/>
      <c r="EX58" s="12" t="str">
        <f t="shared" si="44"/>
        <v/>
      </c>
      <c r="EY58" s="45" t="str">
        <f t="shared" si="45"/>
        <v/>
      </c>
      <c r="EZ58" s="15"/>
      <c r="FA58" s="15"/>
      <c r="FB58" s="20"/>
      <c r="FC58" s="12" t="str">
        <f>IF($A58="","",SUMIFS('Consumable Usage'!$E:$E,'Consumable Usage'!$A:$A,$A58,'Consumable Usage'!$D:$D,16))</f>
        <v/>
      </c>
      <c r="FD58" s="12" t="str">
        <f>IF($A58="","",SUMIFS('Nursing Charges'!$I:$I,'Nursing Charges'!$A:$A,$A58,'Nursing Charges'!$C:$C,16))</f>
        <v/>
      </c>
      <c r="FE58" s="12" t="str">
        <f>IF($A58="","",FB58+(FD58-SUMIFS('Nursing Charges'!$J:$J,'Nursing Charges'!$A:$A,$A58,'Nursing Charges'!$C:$C,16))+(FC58-SUMIFS('Consumable Usage'!$F:$F,'Consumable Usage'!$A:$A,$A58,'Consumable Usage'!$D:$D,16)))</f>
        <v/>
      </c>
      <c r="FF58" s="12" t="str">
        <f t="shared" si="46"/>
        <v/>
      </c>
      <c r="FG58" s="20"/>
      <c r="FH58" s="12" t="str">
        <f t="shared" si="47"/>
        <v/>
      </c>
      <c r="FI58" s="45" t="str">
        <f t="shared" si="48"/>
        <v/>
      </c>
      <c r="FJ58" s="53"/>
      <c r="FK58" s="53"/>
      <c r="FL58" s="63"/>
      <c r="FM58" s="63" t="str">
        <f>IF($A58="","",SUMIFS('Consumable Usage'!$E:$E,'Consumable Usage'!$A:$A,$A58,'Consumable Usage'!$D:$D,16))</f>
        <v/>
      </c>
      <c r="FN58" s="63" t="str">
        <f>IF($A58="","",SUMIFS('Nursing Charges'!$I:$I,'Nursing Charges'!$A:$A,$A58,'Nursing Charges'!$C:$C,16))</f>
        <v/>
      </c>
      <c r="FO58" s="63" t="str">
        <f>IF($A58="","",FL58+(FN58-SUMIFS('Nursing Charges'!$J:$J,'Nursing Charges'!$A:$A,$A58,'Nursing Charges'!$C:$C,16))+(FM58-SUMIFS('Consumable Usage'!$F:$F,'Consumable Usage'!$A:$A,$A58,'Consumable Usage'!$D:$D,16)))</f>
        <v/>
      </c>
      <c r="FP58" s="63" t="str">
        <f t="shared" si="49"/>
        <v/>
      </c>
      <c r="FQ58" s="63"/>
      <c r="FR58" s="63" t="str">
        <f t="shared" si="50"/>
        <v/>
      </c>
      <c r="FS58" s="53" t="str">
        <f t="shared" si="51"/>
        <v/>
      </c>
    </row>
    <row r="59" ht="15.0" customHeight="1">
      <c r="A59" s="15"/>
      <c r="B59" s="15"/>
      <c r="C59" s="15"/>
      <c r="D59" s="15"/>
      <c r="E59" s="15"/>
      <c r="F59" s="15"/>
      <c r="G59" s="15"/>
      <c r="H59" s="20"/>
      <c r="I59" s="12" t="str">
        <f>IF($A59="","",SUMIFS('Consumable Usage'!$E:$E,'Consumable Usage'!$A:$A,$A59,'Consumable Usage'!$D:$D,1))</f>
        <v/>
      </c>
      <c r="J59" s="12" t="str">
        <f>IF($A59="","",SUMIFS('Nursing Charges'!$I:$I,'Nursing Charges'!$A:$A,$A59,'Nursing Charges'!$C:$C,1))</f>
        <v/>
      </c>
      <c r="K59" s="12" t="str">
        <f>IF($A59="","",H59+(J59-SUMIFS('Nursing Charges'!$J:$J,'Nursing Charges'!$A:$A,$A59,'Nursing Charges'!$C:$C,1))+(I59-SUMIFS('Consumable Usage'!$F:$F,'Consumable Usage'!$A:$A,$A59,'Consumable Usage'!$D:$D,1)))</f>
        <v/>
      </c>
      <c r="L59" s="12" t="str">
        <f t="shared" si="1"/>
        <v/>
      </c>
      <c r="M59" s="20"/>
      <c r="N59" s="12" t="str">
        <f t="shared" si="2"/>
        <v/>
      </c>
      <c r="O59" s="45" t="str">
        <f t="shared" si="3"/>
        <v/>
      </c>
      <c r="P59" s="15"/>
      <c r="Q59" s="15"/>
      <c r="R59" s="20"/>
      <c r="S59" s="12" t="str">
        <f>IF($A59="","",SUMIFS('Consumable Usage'!$E:$E,'Consumable Usage'!$A:$A,$A59,'Consumable Usage'!$D:$D,2))</f>
        <v/>
      </c>
      <c r="T59" s="12" t="str">
        <f>IF($A59="","",SUMIFS('Nursing Charges'!$I:$I,'Nursing Charges'!$A:$A,$A59,'Nursing Charges'!$C:$C,2))</f>
        <v/>
      </c>
      <c r="U59" s="12" t="str">
        <f>IF($A59="","",R59+(T59-SUMIFS('Nursing Charges'!$J:$J,'Nursing Charges'!$A:$A,$A59,'Nursing Charges'!$C:$C,2))+(S59-SUMIFS('Consumable Usage'!$F:$F,'Consumable Usage'!$A:$A,$A59,'Consumable Usage'!$D:$D,2)))</f>
        <v/>
      </c>
      <c r="V59" s="12" t="str">
        <f t="shared" si="4"/>
        <v/>
      </c>
      <c r="W59" s="20"/>
      <c r="X59" s="12" t="str">
        <f t="shared" si="5"/>
        <v/>
      </c>
      <c r="Y59" s="45" t="str">
        <f t="shared" si="6"/>
        <v/>
      </c>
      <c r="Z59" s="15"/>
      <c r="AA59" s="15"/>
      <c r="AB59" s="20"/>
      <c r="AC59" s="12" t="str">
        <f>IF($A59="","",SUMIFS('Consumable Usage'!$E:$E,'Consumable Usage'!$A:$A,$A59,'Consumable Usage'!$D:$D,3))</f>
        <v/>
      </c>
      <c r="AD59" s="12" t="str">
        <f>IF($A59="","",SUMIFS('Nursing Charges'!$I:$I,'Nursing Charges'!$A:$A,$A59,'Nursing Charges'!$C:$C,3))</f>
        <v/>
      </c>
      <c r="AE59" s="12" t="str">
        <f>IF($A59="","",AB59+(AD59-SUMIFS('Nursing Charges'!$J:$J,'Nursing Charges'!$A:$A,$A59,'Nursing Charges'!$C:$C,3))+(AC59-SUMIFS('Consumable Usage'!$F:$F,'Consumable Usage'!$A:$A,$A59,'Consumable Usage'!$D:$D,3)))</f>
        <v/>
      </c>
      <c r="AF59" s="12" t="str">
        <f t="shared" si="7"/>
        <v/>
      </c>
      <c r="AG59" s="20"/>
      <c r="AH59" s="12" t="str">
        <f t="shared" si="8"/>
        <v/>
      </c>
      <c r="AI59" s="45" t="str">
        <f t="shared" si="9"/>
        <v/>
      </c>
      <c r="AJ59" s="15"/>
      <c r="AK59" s="15"/>
      <c r="AL59" s="20"/>
      <c r="AM59" s="12" t="str">
        <f>IF($A59="","",SUMIFS('Consumable Usage'!$E:$E,'Consumable Usage'!$A:$A,$A59,'Consumable Usage'!$D:$D,4))</f>
        <v/>
      </c>
      <c r="AN59" s="12" t="str">
        <f>IF($A59="","",SUMIFS('Nursing Charges'!$I:$I,'Nursing Charges'!$A:$A,$A59,'Nursing Charges'!$C:$C,4))</f>
        <v/>
      </c>
      <c r="AO59" s="12" t="str">
        <f>IF($A59="","",AL59+(AN59-SUMIFS('Nursing Charges'!$J:$J,'Nursing Charges'!$A:$A,$A59,'Nursing Charges'!$C:$C,4))+(AM59-SUMIFS('Consumable Usage'!$F:$F,'Consumable Usage'!$A:$A,$A59,'Consumable Usage'!$D:$D,4)))</f>
        <v/>
      </c>
      <c r="AP59" s="12" t="str">
        <f t="shared" si="10"/>
        <v/>
      </c>
      <c r="AQ59" s="20"/>
      <c r="AR59" s="12" t="str">
        <f t="shared" si="11"/>
        <v/>
      </c>
      <c r="AS59" s="45" t="str">
        <f t="shared" si="12"/>
        <v/>
      </c>
      <c r="AT59" s="15"/>
      <c r="AU59" s="15"/>
      <c r="AV59" s="20"/>
      <c r="AW59" s="12" t="str">
        <f>IF($A59="","",SUMIFS('Consumable Usage'!$E:$E,'Consumable Usage'!$A:$A,$A59,'Consumable Usage'!$D:$D,5))</f>
        <v/>
      </c>
      <c r="AX59" s="12" t="str">
        <f>IF($A59="","",SUMIFS('Nursing Charges'!$I:$I,'Nursing Charges'!$A:$A,$A59,'Nursing Charges'!$C:$C,5))</f>
        <v/>
      </c>
      <c r="AY59" s="12" t="str">
        <f>IF($A59="","",AV59+(AX59-SUMIFS('Nursing Charges'!$J:$J,'Nursing Charges'!$A:$A,$A59,'Nursing Charges'!$C:$C,5))+(AW59-SUMIFS('Consumable Usage'!$F:$F,'Consumable Usage'!$A:$A,$A59,'Consumable Usage'!$D:$D,5)))</f>
        <v/>
      </c>
      <c r="AZ59" s="12" t="str">
        <f t="shared" si="13"/>
        <v/>
      </c>
      <c r="BA59" s="20"/>
      <c r="BB59" s="12" t="str">
        <f t="shared" si="14"/>
        <v/>
      </c>
      <c r="BC59" s="45" t="str">
        <f t="shared" si="15"/>
        <v/>
      </c>
      <c r="BD59" s="15"/>
      <c r="BE59" s="15"/>
      <c r="BF59" s="20"/>
      <c r="BG59" s="12" t="str">
        <f>IF($A59="","",SUMIFS('Consumable Usage'!$E:$E,'Consumable Usage'!$A:$A,$A59,'Consumable Usage'!$D:$D,6))</f>
        <v/>
      </c>
      <c r="BH59" s="12" t="str">
        <f>IF($A59="","",SUMIFS('Nursing Charges'!$I:$I,'Nursing Charges'!$A:$A,$A59,'Nursing Charges'!$C:$C,6))</f>
        <v/>
      </c>
      <c r="BI59" s="12" t="str">
        <f>IF($A59="","",BF59+(BH59-SUMIFS('Nursing Charges'!$J:$J,'Nursing Charges'!$A:$A,$A59,'Nursing Charges'!$C:$C,6))+(BG59-SUMIFS('Consumable Usage'!$F:$F,'Consumable Usage'!$A:$A,$A59,'Consumable Usage'!$D:$D,6)))</f>
        <v/>
      </c>
      <c r="BJ59" s="12" t="str">
        <f t="shared" si="16"/>
        <v/>
      </c>
      <c r="BK59" s="20"/>
      <c r="BL59" s="12" t="str">
        <f t="shared" si="17"/>
        <v/>
      </c>
      <c r="BM59" s="45" t="str">
        <f t="shared" si="18"/>
        <v/>
      </c>
      <c r="BN59" s="15"/>
      <c r="BO59" s="15"/>
      <c r="BP59" s="20"/>
      <c r="BQ59" s="12" t="str">
        <f>IF($A59="","",SUMIFS('Consumable Usage'!$E:$E,'Consumable Usage'!$A:$A,$A59,'Consumable Usage'!$D:$D,7))</f>
        <v/>
      </c>
      <c r="BR59" s="12" t="str">
        <f>IF($A59="","",SUMIFS('Nursing Charges'!$I:$I,'Nursing Charges'!$A:$A,$A59,'Nursing Charges'!$C:$C,7))</f>
        <v/>
      </c>
      <c r="BS59" s="12" t="str">
        <f>IF($A59="","",BP59+(BR59-SUMIFS('Nursing Charges'!$J:$J,'Nursing Charges'!$A:$A,$A59,'Nursing Charges'!$C:$C,7))+(BQ59-SUMIFS('Consumable Usage'!$F:$F,'Consumable Usage'!$A:$A,$A59,'Consumable Usage'!$D:$D,7)))</f>
        <v/>
      </c>
      <c r="BT59" s="12" t="str">
        <f t="shared" si="19"/>
        <v/>
      </c>
      <c r="BU59" s="20"/>
      <c r="BV59" s="12" t="str">
        <f t="shared" si="20"/>
        <v/>
      </c>
      <c r="BW59" s="45" t="str">
        <f t="shared" si="21"/>
        <v/>
      </c>
      <c r="BX59" s="15"/>
      <c r="BY59" s="15"/>
      <c r="BZ59" s="20"/>
      <c r="CA59" s="12" t="str">
        <f>IF($A59="","",SUMIFS('Consumable Usage'!$E:$E,'Consumable Usage'!$A:$A,$A59,'Consumable Usage'!$D:$D,8))</f>
        <v/>
      </c>
      <c r="CB59" s="12" t="str">
        <f>IF($A59="","",SUMIFS('Nursing Charges'!$I:$I,'Nursing Charges'!$A:$A,$A59,'Nursing Charges'!$C:$C,8))</f>
        <v/>
      </c>
      <c r="CC59" s="12" t="str">
        <f>IF($A59="","",BZ59+(CB59-SUMIFS('Nursing Charges'!$J:$J,'Nursing Charges'!$A:$A,$A59,'Nursing Charges'!$C:$C,8))+(CA59-SUMIFS('Consumable Usage'!$F:$F,'Consumable Usage'!$A:$A,$A59,'Consumable Usage'!$D:$D,8)))</f>
        <v/>
      </c>
      <c r="CD59" s="12" t="str">
        <f t="shared" si="22"/>
        <v/>
      </c>
      <c r="CE59" s="20"/>
      <c r="CF59" s="12" t="str">
        <f t="shared" si="23"/>
        <v/>
      </c>
      <c r="CG59" s="45" t="str">
        <f t="shared" si="24"/>
        <v/>
      </c>
      <c r="CH59" s="15"/>
      <c r="CI59" s="15"/>
      <c r="CJ59" s="20"/>
      <c r="CK59" s="12" t="str">
        <f>IF($A59="","",SUMIFS('Consumable Usage'!$E:$E,'Consumable Usage'!$A:$A,$A59,'Consumable Usage'!$D:$D,9))</f>
        <v/>
      </c>
      <c r="CL59" s="12" t="str">
        <f>IF($A59="","",SUMIFS('Nursing Charges'!$I:$I,'Nursing Charges'!$A:$A,$A59,'Nursing Charges'!$C:$C,9))</f>
        <v/>
      </c>
      <c r="CM59" s="12" t="str">
        <f>IF($A59="","",CJ59+(CL59-SUMIFS('Nursing Charges'!$J:$J,'Nursing Charges'!$A:$A,$A59,'Nursing Charges'!$C:$C,9))+(CK59-SUMIFS('Consumable Usage'!$F:$F,'Consumable Usage'!$A:$A,$A59,'Consumable Usage'!$D:$D,9)))</f>
        <v/>
      </c>
      <c r="CN59" s="12" t="str">
        <f t="shared" si="25"/>
        <v/>
      </c>
      <c r="CO59" s="20"/>
      <c r="CP59" s="12" t="str">
        <f t="shared" si="26"/>
        <v/>
      </c>
      <c r="CQ59" s="45" t="str">
        <f t="shared" si="27"/>
        <v/>
      </c>
      <c r="CR59" s="15"/>
      <c r="CS59" s="15"/>
      <c r="CT59" s="20"/>
      <c r="CU59" s="12" t="str">
        <f>IF($A59="","",SUMIFS('Consumable Usage'!$E:$E,'Consumable Usage'!$A:$A,$A59,'Consumable Usage'!$D:$D,10))</f>
        <v/>
      </c>
      <c r="CV59" s="12" t="str">
        <f>IF($A59="","",SUMIFS('Nursing Charges'!$I:$I,'Nursing Charges'!$A:$A,$A59,'Nursing Charges'!$C:$C,10))</f>
        <v/>
      </c>
      <c r="CW59" s="12" t="str">
        <f>IF($A59="","",CT59+(CV59-SUMIFS('Nursing Charges'!$J:$J,'Nursing Charges'!$A:$A,$A59,'Nursing Charges'!$C:$C,10))+(CU59-SUMIFS('Consumable Usage'!$F:$F,'Consumable Usage'!$A:$A,$A59,'Consumable Usage'!$D:$D,10)))</f>
        <v/>
      </c>
      <c r="CX59" s="12" t="str">
        <f t="shared" si="28"/>
        <v/>
      </c>
      <c r="CY59" s="20"/>
      <c r="CZ59" s="12" t="str">
        <f t="shared" si="29"/>
        <v/>
      </c>
      <c r="DA59" s="45" t="str">
        <f t="shared" si="30"/>
        <v/>
      </c>
      <c r="DB59" s="15"/>
      <c r="DC59" s="15"/>
      <c r="DD59" s="20"/>
      <c r="DE59" s="12" t="str">
        <f>IF($A59="","",SUMIFS('Consumable Usage'!$E:$E,'Consumable Usage'!$A:$A,$A59,'Consumable Usage'!$D:$D,11))</f>
        <v/>
      </c>
      <c r="DF59" s="12" t="str">
        <f>IF($A59="","",SUMIFS('Nursing Charges'!$I:$I,'Nursing Charges'!$A:$A,$A59,'Nursing Charges'!$C:$C,11))</f>
        <v/>
      </c>
      <c r="DG59" s="12" t="str">
        <f>IF($A59="","",DD59+(DF59-SUMIFS('Nursing Charges'!$J:$J,'Nursing Charges'!$A:$A,$A59,'Nursing Charges'!$C:$C,11))+(DE59-SUMIFS('Consumable Usage'!$F:$F,'Consumable Usage'!$A:$A,$A59,'Consumable Usage'!$D:$D,11)))</f>
        <v/>
      </c>
      <c r="DH59" s="12" t="str">
        <f t="shared" si="31"/>
        <v/>
      </c>
      <c r="DI59" s="20"/>
      <c r="DJ59" s="12" t="str">
        <f t="shared" si="32"/>
        <v/>
      </c>
      <c r="DK59" s="45" t="str">
        <f t="shared" si="33"/>
        <v/>
      </c>
      <c r="DL59" s="15"/>
      <c r="DM59" s="15"/>
      <c r="DN59" s="20"/>
      <c r="DO59" s="12" t="str">
        <f>IF($A59="","",SUMIFS('Consumable Usage'!$E:$E,'Consumable Usage'!$A:$A,$A59,'Consumable Usage'!$D:$D,12))</f>
        <v/>
      </c>
      <c r="DP59" s="12" t="str">
        <f>IF($A59="","",SUMIFS('Nursing Charges'!$I:$I,'Nursing Charges'!$A:$A,$A59,'Nursing Charges'!$C:$C,12))</f>
        <v/>
      </c>
      <c r="DQ59" s="12" t="str">
        <f>IF($A59="","",DN59+(DP59-SUMIFS('Nursing Charges'!$J:$J,'Nursing Charges'!$A:$A,$A59,'Nursing Charges'!$C:$C,12))+(DO59-SUMIFS('Consumable Usage'!$F:$F,'Consumable Usage'!$A:$A,$A59,'Consumable Usage'!$D:$D,12)))</f>
        <v/>
      </c>
      <c r="DR59" s="12" t="str">
        <f t="shared" si="34"/>
        <v/>
      </c>
      <c r="DS59" s="20"/>
      <c r="DT59" s="12" t="str">
        <f t="shared" si="35"/>
        <v/>
      </c>
      <c r="DU59" s="45" t="str">
        <f t="shared" si="36"/>
        <v/>
      </c>
      <c r="DV59" s="15"/>
      <c r="DW59" s="15"/>
      <c r="DX59" s="20"/>
      <c r="DY59" s="12" t="str">
        <f>IF($A59="","",SUMIFS('Consumable Usage'!$E:$E,'Consumable Usage'!$A:$A,$A59,'Consumable Usage'!$D:$D,13))</f>
        <v/>
      </c>
      <c r="DZ59" s="12" t="str">
        <f>IF($A59="","",SUMIFS('Nursing Charges'!$I:$I,'Nursing Charges'!$A:$A,$A59,'Nursing Charges'!$C:$C,13))</f>
        <v/>
      </c>
      <c r="EA59" s="12" t="str">
        <f>IF($A59="","",DX59+(DZ59-SUMIFS('Nursing Charges'!$J:$J,'Nursing Charges'!$A:$A,$A59,'Nursing Charges'!$C:$C,13))+(DY59-SUMIFS('Consumable Usage'!$F:$F,'Consumable Usage'!$A:$A,$A59,'Consumable Usage'!$D:$D,13)))</f>
        <v/>
      </c>
      <c r="EB59" s="12" t="str">
        <f t="shared" si="37"/>
        <v/>
      </c>
      <c r="EC59" s="20"/>
      <c r="ED59" s="12" t="str">
        <f t="shared" si="38"/>
        <v/>
      </c>
      <c r="EE59" s="45" t="str">
        <f t="shared" si="39"/>
        <v/>
      </c>
      <c r="EF59" s="15"/>
      <c r="EG59" s="15"/>
      <c r="EH59" s="20"/>
      <c r="EI59" s="12" t="str">
        <f>IF($A59="","",SUMIFS('Consumable Usage'!$E:$E,'Consumable Usage'!$A:$A,$A59,'Consumable Usage'!$D:$D,14))</f>
        <v/>
      </c>
      <c r="EJ59" s="12" t="str">
        <f>IF($A59="","",SUMIFS('Nursing Charges'!$I:$I,'Nursing Charges'!$A:$A,$A59,'Nursing Charges'!$C:$C,14))</f>
        <v/>
      </c>
      <c r="EK59" s="12" t="str">
        <f>IF($A59="","",EH59+(EJ59-SUMIFS('Nursing Charges'!$J:$J,'Nursing Charges'!$A:$A,$A59,'Nursing Charges'!$C:$C,14))+(EI59-SUMIFS('Consumable Usage'!$F:$F,'Consumable Usage'!$A:$A,$A59,'Consumable Usage'!$D:$D,14)))</f>
        <v/>
      </c>
      <c r="EL59" s="12" t="str">
        <f t="shared" si="40"/>
        <v/>
      </c>
      <c r="EM59" s="20"/>
      <c r="EN59" s="12" t="str">
        <f t="shared" si="41"/>
        <v/>
      </c>
      <c r="EO59" s="45" t="str">
        <f t="shared" si="42"/>
        <v/>
      </c>
      <c r="EP59" s="15"/>
      <c r="EQ59" s="15"/>
      <c r="ER59" s="20"/>
      <c r="ES59" s="12" t="str">
        <f>IF($A59="","",SUMIFS('Consumable Usage'!$E:$E,'Consumable Usage'!$A:$A,$A59,'Consumable Usage'!$D:$D,15))</f>
        <v/>
      </c>
      <c r="ET59" s="12" t="str">
        <f>IF($A59="","",SUMIFS('Nursing Charges'!$I:$I,'Nursing Charges'!$A:$A,$A59,'Nursing Charges'!$C:$C,15))</f>
        <v/>
      </c>
      <c r="EU59" s="12" t="str">
        <f>IF($A59="","",ER59+(ET59-SUMIFS('Nursing Charges'!$J:$J,'Nursing Charges'!$A:$A,$A59,'Nursing Charges'!$C:$C,15))+(ES59-SUMIFS('Consumable Usage'!$F:$F,'Consumable Usage'!$A:$A,$A59,'Consumable Usage'!$D:$D,15)))</f>
        <v/>
      </c>
      <c r="EV59" s="12" t="str">
        <f t="shared" si="43"/>
        <v/>
      </c>
      <c r="EW59" s="20"/>
      <c r="EX59" s="12" t="str">
        <f t="shared" si="44"/>
        <v/>
      </c>
      <c r="EY59" s="45" t="str">
        <f t="shared" si="45"/>
        <v/>
      </c>
      <c r="EZ59" s="15"/>
      <c r="FA59" s="15"/>
      <c r="FB59" s="20"/>
      <c r="FC59" s="12" t="str">
        <f>IF($A59="","",SUMIFS('Consumable Usage'!$E:$E,'Consumable Usage'!$A:$A,$A59,'Consumable Usage'!$D:$D,16))</f>
        <v/>
      </c>
      <c r="FD59" s="12" t="str">
        <f>IF($A59="","",SUMIFS('Nursing Charges'!$I:$I,'Nursing Charges'!$A:$A,$A59,'Nursing Charges'!$C:$C,16))</f>
        <v/>
      </c>
      <c r="FE59" s="12" t="str">
        <f>IF($A59="","",FB59+(FD59-SUMIFS('Nursing Charges'!$J:$J,'Nursing Charges'!$A:$A,$A59,'Nursing Charges'!$C:$C,16))+(FC59-SUMIFS('Consumable Usage'!$F:$F,'Consumable Usage'!$A:$A,$A59,'Consumable Usage'!$D:$D,16)))</f>
        <v/>
      </c>
      <c r="FF59" s="12" t="str">
        <f t="shared" si="46"/>
        <v/>
      </c>
      <c r="FG59" s="20"/>
      <c r="FH59" s="12" t="str">
        <f t="shared" si="47"/>
        <v/>
      </c>
      <c r="FI59" s="45" t="str">
        <f t="shared" si="48"/>
        <v/>
      </c>
      <c r="FJ59" s="53"/>
      <c r="FK59" s="53"/>
      <c r="FL59" s="63"/>
      <c r="FM59" s="63" t="str">
        <f>IF($A59="","",SUMIFS('Consumable Usage'!$E:$E,'Consumable Usage'!$A:$A,$A59,'Consumable Usage'!$D:$D,16))</f>
        <v/>
      </c>
      <c r="FN59" s="63" t="str">
        <f>IF($A59="","",SUMIFS('Nursing Charges'!$I:$I,'Nursing Charges'!$A:$A,$A59,'Nursing Charges'!$C:$C,16))</f>
        <v/>
      </c>
      <c r="FO59" s="63" t="str">
        <f>IF($A59="","",FL59+(FN59-SUMIFS('Nursing Charges'!$J:$J,'Nursing Charges'!$A:$A,$A59,'Nursing Charges'!$C:$C,16))+(FM59-SUMIFS('Consumable Usage'!$F:$F,'Consumable Usage'!$A:$A,$A59,'Consumable Usage'!$D:$D,16)))</f>
        <v/>
      </c>
      <c r="FP59" s="63" t="str">
        <f t="shared" si="49"/>
        <v/>
      </c>
      <c r="FQ59" s="63"/>
      <c r="FR59" s="63" t="str">
        <f t="shared" si="50"/>
        <v/>
      </c>
      <c r="FS59" s="53" t="str">
        <f t="shared" si="51"/>
        <v/>
      </c>
    </row>
    <row r="60" ht="15.0" customHeight="1">
      <c r="A60" s="15"/>
      <c r="B60" s="15"/>
      <c r="C60" s="15"/>
      <c r="D60" s="15"/>
      <c r="E60" s="15"/>
      <c r="F60" s="15"/>
      <c r="G60" s="15"/>
      <c r="H60" s="20"/>
      <c r="I60" s="12" t="str">
        <f>IF($A60="","",SUMIFS('Consumable Usage'!$E:$E,'Consumable Usage'!$A:$A,$A60,'Consumable Usage'!$D:$D,1))</f>
        <v/>
      </c>
      <c r="J60" s="12" t="str">
        <f>IF($A60="","",SUMIFS('Nursing Charges'!$I:$I,'Nursing Charges'!$A:$A,$A60,'Nursing Charges'!$C:$C,1))</f>
        <v/>
      </c>
      <c r="K60" s="12" t="str">
        <f>IF($A60="","",H60+(J60-SUMIFS('Nursing Charges'!$J:$J,'Nursing Charges'!$A:$A,$A60,'Nursing Charges'!$C:$C,1))+(I60-SUMIFS('Consumable Usage'!$F:$F,'Consumable Usage'!$A:$A,$A60,'Consumable Usage'!$D:$D,1)))</f>
        <v/>
      </c>
      <c r="L60" s="12" t="str">
        <f t="shared" si="1"/>
        <v/>
      </c>
      <c r="M60" s="20"/>
      <c r="N60" s="12" t="str">
        <f t="shared" si="2"/>
        <v/>
      </c>
      <c r="O60" s="45" t="str">
        <f t="shared" si="3"/>
        <v/>
      </c>
      <c r="P60" s="15"/>
      <c r="Q60" s="15"/>
      <c r="R60" s="20"/>
      <c r="S60" s="12" t="str">
        <f>IF($A60="","",SUMIFS('Consumable Usage'!$E:$E,'Consumable Usage'!$A:$A,$A60,'Consumable Usage'!$D:$D,2))</f>
        <v/>
      </c>
      <c r="T60" s="12" t="str">
        <f>IF($A60="","",SUMIFS('Nursing Charges'!$I:$I,'Nursing Charges'!$A:$A,$A60,'Nursing Charges'!$C:$C,2))</f>
        <v/>
      </c>
      <c r="U60" s="12" t="str">
        <f>IF($A60="","",R60+(T60-SUMIFS('Nursing Charges'!$J:$J,'Nursing Charges'!$A:$A,$A60,'Nursing Charges'!$C:$C,2))+(S60-SUMIFS('Consumable Usage'!$F:$F,'Consumable Usage'!$A:$A,$A60,'Consumable Usage'!$D:$D,2)))</f>
        <v/>
      </c>
      <c r="V60" s="12" t="str">
        <f t="shared" si="4"/>
        <v/>
      </c>
      <c r="W60" s="20"/>
      <c r="X60" s="12" t="str">
        <f t="shared" si="5"/>
        <v/>
      </c>
      <c r="Y60" s="45" t="str">
        <f t="shared" si="6"/>
        <v/>
      </c>
      <c r="Z60" s="15"/>
      <c r="AA60" s="15"/>
      <c r="AB60" s="20"/>
      <c r="AC60" s="12" t="str">
        <f>IF($A60="","",SUMIFS('Consumable Usage'!$E:$E,'Consumable Usage'!$A:$A,$A60,'Consumable Usage'!$D:$D,3))</f>
        <v/>
      </c>
      <c r="AD60" s="12" t="str">
        <f>IF($A60="","",SUMIFS('Nursing Charges'!$I:$I,'Nursing Charges'!$A:$A,$A60,'Nursing Charges'!$C:$C,3))</f>
        <v/>
      </c>
      <c r="AE60" s="12" t="str">
        <f>IF($A60="","",AB60+(AD60-SUMIFS('Nursing Charges'!$J:$J,'Nursing Charges'!$A:$A,$A60,'Nursing Charges'!$C:$C,3))+(AC60-SUMIFS('Consumable Usage'!$F:$F,'Consumable Usage'!$A:$A,$A60,'Consumable Usage'!$D:$D,3)))</f>
        <v/>
      </c>
      <c r="AF60" s="12" t="str">
        <f t="shared" si="7"/>
        <v/>
      </c>
      <c r="AG60" s="20"/>
      <c r="AH60" s="12" t="str">
        <f t="shared" si="8"/>
        <v/>
      </c>
      <c r="AI60" s="45" t="str">
        <f t="shared" si="9"/>
        <v/>
      </c>
      <c r="AJ60" s="15"/>
      <c r="AK60" s="15"/>
      <c r="AL60" s="20"/>
      <c r="AM60" s="12" t="str">
        <f>IF($A60="","",SUMIFS('Consumable Usage'!$E:$E,'Consumable Usage'!$A:$A,$A60,'Consumable Usage'!$D:$D,4))</f>
        <v/>
      </c>
      <c r="AN60" s="12" t="str">
        <f>IF($A60="","",SUMIFS('Nursing Charges'!$I:$I,'Nursing Charges'!$A:$A,$A60,'Nursing Charges'!$C:$C,4))</f>
        <v/>
      </c>
      <c r="AO60" s="12" t="str">
        <f>IF($A60="","",AL60+(AN60-SUMIFS('Nursing Charges'!$J:$J,'Nursing Charges'!$A:$A,$A60,'Nursing Charges'!$C:$C,4))+(AM60-SUMIFS('Consumable Usage'!$F:$F,'Consumable Usage'!$A:$A,$A60,'Consumable Usage'!$D:$D,4)))</f>
        <v/>
      </c>
      <c r="AP60" s="12" t="str">
        <f t="shared" si="10"/>
        <v/>
      </c>
      <c r="AQ60" s="20"/>
      <c r="AR60" s="12" t="str">
        <f t="shared" si="11"/>
        <v/>
      </c>
      <c r="AS60" s="45" t="str">
        <f t="shared" si="12"/>
        <v/>
      </c>
      <c r="AT60" s="15"/>
      <c r="AU60" s="15"/>
      <c r="AV60" s="20"/>
      <c r="AW60" s="12" t="str">
        <f>IF($A60="","",SUMIFS('Consumable Usage'!$E:$E,'Consumable Usage'!$A:$A,$A60,'Consumable Usage'!$D:$D,5))</f>
        <v/>
      </c>
      <c r="AX60" s="12" t="str">
        <f>IF($A60="","",SUMIFS('Nursing Charges'!$I:$I,'Nursing Charges'!$A:$A,$A60,'Nursing Charges'!$C:$C,5))</f>
        <v/>
      </c>
      <c r="AY60" s="12" t="str">
        <f>IF($A60="","",AV60+(AX60-SUMIFS('Nursing Charges'!$J:$J,'Nursing Charges'!$A:$A,$A60,'Nursing Charges'!$C:$C,5))+(AW60-SUMIFS('Consumable Usage'!$F:$F,'Consumable Usage'!$A:$A,$A60,'Consumable Usage'!$D:$D,5)))</f>
        <v/>
      </c>
      <c r="AZ60" s="12" t="str">
        <f t="shared" si="13"/>
        <v/>
      </c>
      <c r="BA60" s="20"/>
      <c r="BB60" s="12" t="str">
        <f t="shared" si="14"/>
        <v/>
      </c>
      <c r="BC60" s="45" t="str">
        <f t="shared" si="15"/>
        <v/>
      </c>
      <c r="BD60" s="15"/>
      <c r="BE60" s="15"/>
      <c r="BF60" s="20"/>
      <c r="BG60" s="12" t="str">
        <f>IF($A60="","",SUMIFS('Consumable Usage'!$E:$E,'Consumable Usage'!$A:$A,$A60,'Consumable Usage'!$D:$D,6))</f>
        <v/>
      </c>
      <c r="BH60" s="12" t="str">
        <f>IF($A60="","",SUMIFS('Nursing Charges'!$I:$I,'Nursing Charges'!$A:$A,$A60,'Nursing Charges'!$C:$C,6))</f>
        <v/>
      </c>
      <c r="BI60" s="12" t="str">
        <f>IF($A60="","",BF60+(BH60-SUMIFS('Nursing Charges'!$J:$J,'Nursing Charges'!$A:$A,$A60,'Nursing Charges'!$C:$C,6))+(BG60-SUMIFS('Consumable Usage'!$F:$F,'Consumable Usage'!$A:$A,$A60,'Consumable Usage'!$D:$D,6)))</f>
        <v/>
      </c>
      <c r="BJ60" s="12" t="str">
        <f t="shared" si="16"/>
        <v/>
      </c>
      <c r="BK60" s="20"/>
      <c r="BL60" s="12" t="str">
        <f t="shared" si="17"/>
        <v/>
      </c>
      <c r="BM60" s="45" t="str">
        <f t="shared" si="18"/>
        <v/>
      </c>
      <c r="BN60" s="15"/>
      <c r="BO60" s="15"/>
      <c r="BP60" s="20"/>
      <c r="BQ60" s="12" t="str">
        <f>IF($A60="","",SUMIFS('Consumable Usage'!$E:$E,'Consumable Usage'!$A:$A,$A60,'Consumable Usage'!$D:$D,7))</f>
        <v/>
      </c>
      <c r="BR60" s="12" t="str">
        <f>IF($A60="","",SUMIFS('Nursing Charges'!$I:$I,'Nursing Charges'!$A:$A,$A60,'Nursing Charges'!$C:$C,7))</f>
        <v/>
      </c>
      <c r="BS60" s="12" t="str">
        <f>IF($A60="","",BP60+(BR60-SUMIFS('Nursing Charges'!$J:$J,'Nursing Charges'!$A:$A,$A60,'Nursing Charges'!$C:$C,7))+(BQ60-SUMIFS('Consumable Usage'!$F:$F,'Consumable Usage'!$A:$A,$A60,'Consumable Usage'!$D:$D,7)))</f>
        <v/>
      </c>
      <c r="BT60" s="12" t="str">
        <f t="shared" si="19"/>
        <v/>
      </c>
      <c r="BU60" s="20"/>
      <c r="BV60" s="12" t="str">
        <f t="shared" si="20"/>
        <v/>
      </c>
      <c r="BW60" s="45" t="str">
        <f t="shared" si="21"/>
        <v/>
      </c>
      <c r="BX60" s="15"/>
      <c r="BY60" s="15"/>
      <c r="BZ60" s="20"/>
      <c r="CA60" s="12" t="str">
        <f>IF($A60="","",SUMIFS('Consumable Usage'!$E:$E,'Consumable Usage'!$A:$A,$A60,'Consumable Usage'!$D:$D,8))</f>
        <v/>
      </c>
      <c r="CB60" s="12" t="str">
        <f>IF($A60="","",SUMIFS('Nursing Charges'!$I:$I,'Nursing Charges'!$A:$A,$A60,'Nursing Charges'!$C:$C,8))</f>
        <v/>
      </c>
      <c r="CC60" s="12" t="str">
        <f>IF($A60="","",BZ60+(CB60-SUMIFS('Nursing Charges'!$J:$J,'Nursing Charges'!$A:$A,$A60,'Nursing Charges'!$C:$C,8))+(CA60-SUMIFS('Consumable Usage'!$F:$F,'Consumable Usage'!$A:$A,$A60,'Consumable Usage'!$D:$D,8)))</f>
        <v/>
      </c>
      <c r="CD60" s="12" t="str">
        <f t="shared" si="22"/>
        <v/>
      </c>
      <c r="CE60" s="20"/>
      <c r="CF60" s="12" t="str">
        <f t="shared" si="23"/>
        <v/>
      </c>
      <c r="CG60" s="45" t="str">
        <f t="shared" si="24"/>
        <v/>
      </c>
      <c r="CH60" s="15"/>
      <c r="CI60" s="15"/>
      <c r="CJ60" s="20"/>
      <c r="CK60" s="12" t="str">
        <f>IF($A60="","",SUMIFS('Consumable Usage'!$E:$E,'Consumable Usage'!$A:$A,$A60,'Consumable Usage'!$D:$D,9))</f>
        <v/>
      </c>
      <c r="CL60" s="12" t="str">
        <f>IF($A60="","",SUMIFS('Nursing Charges'!$I:$I,'Nursing Charges'!$A:$A,$A60,'Nursing Charges'!$C:$C,9))</f>
        <v/>
      </c>
      <c r="CM60" s="12" t="str">
        <f>IF($A60="","",CJ60+(CL60-SUMIFS('Nursing Charges'!$J:$J,'Nursing Charges'!$A:$A,$A60,'Nursing Charges'!$C:$C,9))+(CK60-SUMIFS('Consumable Usage'!$F:$F,'Consumable Usage'!$A:$A,$A60,'Consumable Usage'!$D:$D,9)))</f>
        <v/>
      </c>
      <c r="CN60" s="12" t="str">
        <f t="shared" si="25"/>
        <v/>
      </c>
      <c r="CO60" s="20"/>
      <c r="CP60" s="12" t="str">
        <f t="shared" si="26"/>
        <v/>
      </c>
      <c r="CQ60" s="45" t="str">
        <f t="shared" si="27"/>
        <v/>
      </c>
      <c r="CR60" s="15"/>
      <c r="CS60" s="15"/>
      <c r="CT60" s="20"/>
      <c r="CU60" s="12" t="str">
        <f>IF($A60="","",SUMIFS('Consumable Usage'!$E:$E,'Consumable Usage'!$A:$A,$A60,'Consumable Usage'!$D:$D,10))</f>
        <v/>
      </c>
      <c r="CV60" s="12" t="str">
        <f>IF($A60="","",SUMIFS('Nursing Charges'!$I:$I,'Nursing Charges'!$A:$A,$A60,'Nursing Charges'!$C:$C,10))</f>
        <v/>
      </c>
      <c r="CW60" s="12" t="str">
        <f>IF($A60="","",CT60+(CV60-SUMIFS('Nursing Charges'!$J:$J,'Nursing Charges'!$A:$A,$A60,'Nursing Charges'!$C:$C,10))+(CU60-SUMIFS('Consumable Usage'!$F:$F,'Consumable Usage'!$A:$A,$A60,'Consumable Usage'!$D:$D,10)))</f>
        <v/>
      </c>
      <c r="CX60" s="12" t="str">
        <f t="shared" si="28"/>
        <v/>
      </c>
      <c r="CY60" s="20"/>
      <c r="CZ60" s="12" t="str">
        <f t="shared" si="29"/>
        <v/>
      </c>
      <c r="DA60" s="45" t="str">
        <f t="shared" si="30"/>
        <v/>
      </c>
      <c r="DB60" s="15"/>
      <c r="DC60" s="15"/>
      <c r="DD60" s="20"/>
      <c r="DE60" s="12" t="str">
        <f>IF($A60="","",SUMIFS('Consumable Usage'!$E:$E,'Consumable Usage'!$A:$A,$A60,'Consumable Usage'!$D:$D,11))</f>
        <v/>
      </c>
      <c r="DF60" s="12" t="str">
        <f>IF($A60="","",SUMIFS('Nursing Charges'!$I:$I,'Nursing Charges'!$A:$A,$A60,'Nursing Charges'!$C:$C,11))</f>
        <v/>
      </c>
      <c r="DG60" s="12" t="str">
        <f>IF($A60="","",DD60+(DF60-SUMIFS('Nursing Charges'!$J:$J,'Nursing Charges'!$A:$A,$A60,'Nursing Charges'!$C:$C,11))+(DE60-SUMIFS('Consumable Usage'!$F:$F,'Consumable Usage'!$A:$A,$A60,'Consumable Usage'!$D:$D,11)))</f>
        <v/>
      </c>
      <c r="DH60" s="12" t="str">
        <f t="shared" si="31"/>
        <v/>
      </c>
      <c r="DI60" s="20"/>
      <c r="DJ60" s="12" t="str">
        <f t="shared" si="32"/>
        <v/>
      </c>
      <c r="DK60" s="45" t="str">
        <f t="shared" si="33"/>
        <v/>
      </c>
      <c r="DL60" s="15"/>
      <c r="DM60" s="15"/>
      <c r="DN60" s="20"/>
      <c r="DO60" s="12" t="str">
        <f>IF($A60="","",SUMIFS('Consumable Usage'!$E:$E,'Consumable Usage'!$A:$A,$A60,'Consumable Usage'!$D:$D,12))</f>
        <v/>
      </c>
      <c r="DP60" s="12" t="str">
        <f>IF($A60="","",SUMIFS('Nursing Charges'!$I:$I,'Nursing Charges'!$A:$A,$A60,'Nursing Charges'!$C:$C,12))</f>
        <v/>
      </c>
      <c r="DQ60" s="12" t="str">
        <f>IF($A60="","",DN60+(DP60-SUMIFS('Nursing Charges'!$J:$J,'Nursing Charges'!$A:$A,$A60,'Nursing Charges'!$C:$C,12))+(DO60-SUMIFS('Consumable Usage'!$F:$F,'Consumable Usage'!$A:$A,$A60,'Consumable Usage'!$D:$D,12)))</f>
        <v/>
      </c>
      <c r="DR60" s="12" t="str">
        <f t="shared" si="34"/>
        <v/>
      </c>
      <c r="DS60" s="20"/>
      <c r="DT60" s="12" t="str">
        <f t="shared" si="35"/>
        <v/>
      </c>
      <c r="DU60" s="45" t="str">
        <f t="shared" si="36"/>
        <v/>
      </c>
      <c r="DV60" s="15"/>
      <c r="DW60" s="15"/>
      <c r="DX60" s="20"/>
      <c r="DY60" s="12" t="str">
        <f>IF($A60="","",SUMIFS('Consumable Usage'!$E:$E,'Consumable Usage'!$A:$A,$A60,'Consumable Usage'!$D:$D,13))</f>
        <v/>
      </c>
      <c r="DZ60" s="12" t="str">
        <f>IF($A60="","",SUMIFS('Nursing Charges'!$I:$I,'Nursing Charges'!$A:$A,$A60,'Nursing Charges'!$C:$C,13))</f>
        <v/>
      </c>
      <c r="EA60" s="12" t="str">
        <f>IF($A60="","",DX60+(DZ60-SUMIFS('Nursing Charges'!$J:$J,'Nursing Charges'!$A:$A,$A60,'Nursing Charges'!$C:$C,13))+(DY60-SUMIFS('Consumable Usage'!$F:$F,'Consumable Usage'!$A:$A,$A60,'Consumable Usage'!$D:$D,13)))</f>
        <v/>
      </c>
      <c r="EB60" s="12" t="str">
        <f t="shared" si="37"/>
        <v/>
      </c>
      <c r="EC60" s="20"/>
      <c r="ED60" s="12" t="str">
        <f t="shared" si="38"/>
        <v/>
      </c>
      <c r="EE60" s="45" t="str">
        <f t="shared" si="39"/>
        <v/>
      </c>
      <c r="EF60" s="15"/>
      <c r="EG60" s="15"/>
      <c r="EH60" s="20"/>
      <c r="EI60" s="12" t="str">
        <f>IF($A60="","",SUMIFS('Consumable Usage'!$E:$E,'Consumable Usage'!$A:$A,$A60,'Consumable Usage'!$D:$D,14))</f>
        <v/>
      </c>
      <c r="EJ60" s="12" t="str">
        <f>IF($A60="","",SUMIFS('Nursing Charges'!$I:$I,'Nursing Charges'!$A:$A,$A60,'Nursing Charges'!$C:$C,14))</f>
        <v/>
      </c>
      <c r="EK60" s="12" t="str">
        <f>IF($A60="","",EH60+(EJ60-SUMIFS('Nursing Charges'!$J:$J,'Nursing Charges'!$A:$A,$A60,'Nursing Charges'!$C:$C,14))+(EI60-SUMIFS('Consumable Usage'!$F:$F,'Consumable Usage'!$A:$A,$A60,'Consumable Usage'!$D:$D,14)))</f>
        <v/>
      </c>
      <c r="EL60" s="12" t="str">
        <f t="shared" si="40"/>
        <v/>
      </c>
      <c r="EM60" s="20"/>
      <c r="EN60" s="12" t="str">
        <f t="shared" si="41"/>
        <v/>
      </c>
      <c r="EO60" s="45" t="str">
        <f t="shared" si="42"/>
        <v/>
      </c>
      <c r="EP60" s="15"/>
      <c r="EQ60" s="15"/>
      <c r="ER60" s="20"/>
      <c r="ES60" s="12" t="str">
        <f>IF($A60="","",SUMIFS('Consumable Usage'!$E:$E,'Consumable Usage'!$A:$A,$A60,'Consumable Usage'!$D:$D,15))</f>
        <v/>
      </c>
      <c r="ET60" s="12" t="str">
        <f>IF($A60="","",SUMIFS('Nursing Charges'!$I:$I,'Nursing Charges'!$A:$A,$A60,'Nursing Charges'!$C:$C,15))</f>
        <v/>
      </c>
      <c r="EU60" s="12" t="str">
        <f>IF($A60="","",ER60+(ET60-SUMIFS('Nursing Charges'!$J:$J,'Nursing Charges'!$A:$A,$A60,'Nursing Charges'!$C:$C,15))+(ES60-SUMIFS('Consumable Usage'!$F:$F,'Consumable Usage'!$A:$A,$A60,'Consumable Usage'!$D:$D,15)))</f>
        <v/>
      </c>
      <c r="EV60" s="12" t="str">
        <f t="shared" si="43"/>
        <v/>
      </c>
      <c r="EW60" s="20"/>
      <c r="EX60" s="12" t="str">
        <f t="shared" si="44"/>
        <v/>
      </c>
      <c r="EY60" s="45" t="str">
        <f t="shared" si="45"/>
        <v/>
      </c>
      <c r="EZ60" s="15"/>
      <c r="FA60" s="15"/>
      <c r="FB60" s="20"/>
      <c r="FC60" s="12" t="str">
        <f>IF($A60="","",SUMIFS('Consumable Usage'!$E:$E,'Consumable Usage'!$A:$A,$A60,'Consumable Usage'!$D:$D,16))</f>
        <v/>
      </c>
      <c r="FD60" s="12" t="str">
        <f>IF($A60="","",SUMIFS('Nursing Charges'!$I:$I,'Nursing Charges'!$A:$A,$A60,'Nursing Charges'!$C:$C,16))</f>
        <v/>
      </c>
      <c r="FE60" s="12" t="str">
        <f>IF($A60="","",FB60+(FD60-SUMIFS('Nursing Charges'!$J:$J,'Nursing Charges'!$A:$A,$A60,'Nursing Charges'!$C:$C,16))+(FC60-SUMIFS('Consumable Usage'!$F:$F,'Consumable Usage'!$A:$A,$A60,'Consumable Usage'!$D:$D,16)))</f>
        <v/>
      </c>
      <c r="FF60" s="12" t="str">
        <f t="shared" si="46"/>
        <v/>
      </c>
      <c r="FG60" s="20"/>
      <c r="FH60" s="12" t="str">
        <f t="shared" si="47"/>
        <v/>
      </c>
      <c r="FI60" s="45" t="str">
        <f t="shared" si="48"/>
        <v/>
      </c>
      <c r="FJ60" s="53"/>
      <c r="FK60" s="53"/>
      <c r="FL60" s="63"/>
      <c r="FM60" s="63" t="str">
        <f>IF($A60="","",SUMIFS('Consumable Usage'!$E:$E,'Consumable Usage'!$A:$A,$A60,'Consumable Usage'!$D:$D,16))</f>
        <v/>
      </c>
      <c r="FN60" s="63" t="str">
        <f>IF($A60="","",SUMIFS('Nursing Charges'!$I:$I,'Nursing Charges'!$A:$A,$A60,'Nursing Charges'!$C:$C,16))</f>
        <v/>
      </c>
      <c r="FO60" s="63" t="str">
        <f>IF($A60="","",FL60+(FN60-SUMIFS('Nursing Charges'!$J:$J,'Nursing Charges'!$A:$A,$A60,'Nursing Charges'!$C:$C,16))+(FM60-SUMIFS('Consumable Usage'!$F:$F,'Consumable Usage'!$A:$A,$A60,'Consumable Usage'!$D:$D,16)))</f>
        <v/>
      </c>
      <c r="FP60" s="63" t="str">
        <f t="shared" si="49"/>
        <v/>
      </c>
      <c r="FQ60" s="63"/>
      <c r="FR60" s="63" t="str">
        <f t="shared" si="50"/>
        <v/>
      </c>
      <c r="FS60" s="53" t="str">
        <f t="shared" si="51"/>
        <v/>
      </c>
    </row>
    <row r="61" ht="15.0" customHeight="1">
      <c r="A61" s="15"/>
      <c r="B61" s="15"/>
      <c r="C61" s="15"/>
      <c r="D61" s="15"/>
      <c r="E61" s="15"/>
      <c r="F61" s="15"/>
      <c r="G61" s="15"/>
      <c r="H61" s="20"/>
      <c r="I61" s="12" t="str">
        <f>IF($A61="","",SUMIFS('Consumable Usage'!$E:$E,'Consumable Usage'!$A:$A,$A61,'Consumable Usage'!$D:$D,1))</f>
        <v/>
      </c>
      <c r="J61" s="12" t="str">
        <f>IF($A61="","",SUMIFS('Nursing Charges'!$I:$I,'Nursing Charges'!$A:$A,$A61,'Nursing Charges'!$C:$C,1))</f>
        <v/>
      </c>
      <c r="K61" s="12" t="str">
        <f>IF($A61="","",H61+(J61-SUMIFS('Nursing Charges'!$J:$J,'Nursing Charges'!$A:$A,$A61,'Nursing Charges'!$C:$C,1))+(I61-SUMIFS('Consumable Usage'!$F:$F,'Consumable Usage'!$A:$A,$A61,'Consumable Usage'!$D:$D,1)))</f>
        <v/>
      </c>
      <c r="L61" s="12" t="str">
        <f t="shared" si="1"/>
        <v/>
      </c>
      <c r="M61" s="20"/>
      <c r="N61" s="12" t="str">
        <f t="shared" si="2"/>
        <v/>
      </c>
      <c r="O61" s="45" t="str">
        <f t="shared" si="3"/>
        <v/>
      </c>
      <c r="P61" s="15"/>
      <c r="Q61" s="15"/>
      <c r="R61" s="20"/>
      <c r="S61" s="12" t="str">
        <f>IF($A61="","",SUMIFS('Consumable Usage'!$E:$E,'Consumable Usage'!$A:$A,$A61,'Consumable Usage'!$D:$D,2))</f>
        <v/>
      </c>
      <c r="T61" s="12" t="str">
        <f>IF($A61="","",SUMIFS('Nursing Charges'!$I:$I,'Nursing Charges'!$A:$A,$A61,'Nursing Charges'!$C:$C,2))</f>
        <v/>
      </c>
      <c r="U61" s="12" t="str">
        <f>IF($A61="","",R61+(T61-SUMIFS('Nursing Charges'!$J:$J,'Nursing Charges'!$A:$A,$A61,'Nursing Charges'!$C:$C,2))+(S61-SUMIFS('Consumable Usage'!$F:$F,'Consumable Usage'!$A:$A,$A61,'Consumable Usage'!$D:$D,2)))</f>
        <v/>
      </c>
      <c r="V61" s="12" t="str">
        <f t="shared" si="4"/>
        <v/>
      </c>
      <c r="W61" s="20"/>
      <c r="X61" s="12" t="str">
        <f t="shared" si="5"/>
        <v/>
      </c>
      <c r="Y61" s="45" t="str">
        <f t="shared" si="6"/>
        <v/>
      </c>
      <c r="Z61" s="15"/>
      <c r="AA61" s="15"/>
      <c r="AB61" s="20"/>
      <c r="AC61" s="12" t="str">
        <f>IF($A61="","",SUMIFS('Consumable Usage'!$E:$E,'Consumable Usage'!$A:$A,$A61,'Consumable Usage'!$D:$D,3))</f>
        <v/>
      </c>
      <c r="AD61" s="12" t="str">
        <f>IF($A61="","",SUMIFS('Nursing Charges'!$I:$I,'Nursing Charges'!$A:$A,$A61,'Nursing Charges'!$C:$C,3))</f>
        <v/>
      </c>
      <c r="AE61" s="12" t="str">
        <f>IF($A61="","",AB61+(AD61-SUMIFS('Nursing Charges'!$J:$J,'Nursing Charges'!$A:$A,$A61,'Nursing Charges'!$C:$C,3))+(AC61-SUMIFS('Consumable Usage'!$F:$F,'Consumable Usage'!$A:$A,$A61,'Consumable Usage'!$D:$D,3)))</f>
        <v/>
      </c>
      <c r="AF61" s="12" t="str">
        <f t="shared" si="7"/>
        <v/>
      </c>
      <c r="AG61" s="20"/>
      <c r="AH61" s="12" t="str">
        <f t="shared" si="8"/>
        <v/>
      </c>
      <c r="AI61" s="45" t="str">
        <f t="shared" si="9"/>
        <v/>
      </c>
      <c r="AJ61" s="15"/>
      <c r="AK61" s="15"/>
      <c r="AL61" s="20"/>
      <c r="AM61" s="12" t="str">
        <f>IF($A61="","",SUMIFS('Consumable Usage'!$E:$E,'Consumable Usage'!$A:$A,$A61,'Consumable Usage'!$D:$D,4))</f>
        <v/>
      </c>
      <c r="AN61" s="12" t="str">
        <f>IF($A61="","",SUMIFS('Nursing Charges'!$I:$I,'Nursing Charges'!$A:$A,$A61,'Nursing Charges'!$C:$C,4))</f>
        <v/>
      </c>
      <c r="AO61" s="12" t="str">
        <f>IF($A61="","",AL61+(AN61-SUMIFS('Nursing Charges'!$J:$J,'Nursing Charges'!$A:$A,$A61,'Nursing Charges'!$C:$C,4))+(AM61-SUMIFS('Consumable Usage'!$F:$F,'Consumable Usage'!$A:$A,$A61,'Consumable Usage'!$D:$D,4)))</f>
        <v/>
      </c>
      <c r="AP61" s="12" t="str">
        <f t="shared" si="10"/>
        <v/>
      </c>
      <c r="AQ61" s="20"/>
      <c r="AR61" s="12" t="str">
        <f t="shared" si="11"/>
        <v/>
      </c>
      <c r="AS61" s="45" t="str">
        <f t="shared" si="12"/>
        <v/>
      </c>
      <c r="AT61" s="15"/>
      <c r="AU61" s="15"/>
      <c r="AV61" s="20"/>
      <c r="AW61" s="12" t="str">
        <f>IF($A61="","",SUMIFS('Consumable Usage'!$E:$E,'Consumable Usage'!$A:$A,$A61,'Consumable Usage'!$D:$D,5))</f>
        <v/>
      </c>
      <c r="AX61" s="12" t="str">
        <f>IF($A61="","",SUMIFS('Nursing Charges'!$I:$I,'Nursing Charges'!$A:$A,$A61,'Nursing Charges'!$C:$C,5))</f>
        <v/>
      </c>
      <c r="AY61" s="12" t="str">
        <f>IF($A61="","",AV61+(AX61-SUMIFS('Nursing Charges'!$J:$J,'Nursing Charges'!$A:$A,$A61,'Nursing Charges'!$C:$C,5))+(AW61-SUMIFS('Consumable Usage'!$F:$F,'Consumable Usage'!$A:$A,$A61,'Consumable Usage'!$D:$D,5)))</f>
        <v/>
      </c>
      <c r="AZ61" s="12" t="str">
        <f t="shared" si="13"/>
        <v/>
      </c>
      <c r="BA61" s="20"/>
      <c r="BB61" s="12" t="str">
        <f t="shared" si="14"/>
        <v/>
      </c>
      <c r="BC61" s="45" t="str">
        <f t="shared" si="15"/>
        <v/>
      </c>
      <c r="BD61" s="15"/>
      <c r="BE61" s="15"/>
      <c r="BF61" s="20"/>
      <c r="BG61" s="12" t="str">
        <f>IF($A61="","",SUMIFS('Consumable Usage'!$E:$E,'Consumable Usage'!$A:$A,$A61,'Consumable Usage'!$D:$D,6))</f>
        <v/>
      </c>
      <c r="BH61" s="12" t="str">
        <f>IF($A61="","",SUMIFS('Nursing Charges'!$I:$I,'Nursing Charges'!$A:$A,$A61,'Nursing Charges'!$C:$C,6))</f>
        <v/>
      </c>
      <c r="BI61" s="12" t="str">
        <f>IF($A61="","",BF61+(BH61-SUMIFS('Nursing Charges'!$J:$J,'Nursing Charges'!$A:$A,$A61,'Nursing Charges'!$C:$C,6))+(BG61-SUMIFS('Consumable Usage'!$F:$F,'Consumable Usage'!$A:$A,$A61,'Consumable Usage'!$D:$D,6)))</f>
        <v/>
      </c>
      <c r="BJ61" s="12" t="str">
        <f t="shared" si="16"/>
        <v/>
      </c>
      <c r="BK61" s="20"/>
      <c r="BL61" s="12" t="str">
        <f t="shared" si="17"/>
        <v/>
      </c>
      <c r="BM61" s="45" t="str">
        <f t="shared" si="18"/>
        <v/>
      </c>
      <c r="BN61" s="15"/>
      <c r="BO61" s="15"/>
      <c r="BP61" s="20"/>
      <c r="BQ61" s="12" t="str">
        <f>IF($A61="","",SUMIFS('Consumable Usage'!$E:$E,'Consumable Usage'!$A:$A,$A61,'Consumable Usage'!$D:$D,7))</f>
        <v/>
      </c>
      <c r="BR61" s="12" t="str">
        <f>IF($A61="","",SUMIFS('Nursing Charges'!$I:$I,'Nursing Charges'!$A:$A,$A61,'Nursing Charges'!$C:$C,7))</f>
        <v/>
      </c>
      <c r="BS61" s="12" t="str">
        <f>IF($A61="","",BP61+(BR61-SUMIFS('Nursing Charges'!$J:$J,'Nursing Charges'!$A:$A,$A61,'Nursing Charges'!$C:$C,7))+(BQ61-SUMIFS('Consumable Usage'!$F:$F,'Consumable Usage'!$A:$A,$A61,'Consumable Usage'!$D:$D,7)))</f>
        <v/>
      </c>
      <c r="BT61" s="12" t="str">
        <f t="shared" si="19"/>
        <v/>
      </c>
      <c r="BU61" s="20"/>
      <c r="BV61" s="12" t="str">
        <f t="shared" si="20"/>
        <v/>
      </c>
      <c r="BW61" s="45" t="str">
        <f t="shared" si="21"/>
        <v/>
      </c>
      <c r="BX61" s="15"/>
      <c r="BY61" s="15"/>
      <c r="BZ61" s="20"/>
      <c r="CA61" s="12" t="str">
        <f>IF($A61="","",SUMIFS('Consumable Usage'!$E:$E,'Consumable Usage'!$A:$A,$A61,'Consumable Usage'!$D:$D,8))</f>
        <v/>
      </c>
      <c r="CB61" s="12" t="str">
        <f>IF($A61="","",SUMIFS('Nursing Charges'!$I:$I,'Nursing Charges'!$A:$A,$A61,'Nursing Charges'!$C:$C,8))</f>
        <v/>
      </c>
      <c r="CC61" s="12" t="str">
        <f>IF($A61="","",BZ61+(CB61-SUMIFS('Nursing Charges'!$J:$J,'Nursing Charges'!$A:$A,$A61,'Nursing Charges'!$C:$C,8))+(CA61-SUMIFS('Consumable Usage'!$F:$F,'Consumable Usage'!$A:$A,$A61,'Consumable Usage'!$D:$D,8)))</f>
        <v/>
      </c>
      <c r="CD61" s="12" t="str">
        <f t="shared" si="22"/>
        <v/>
      </c>
      <c r="CE61" s="20"/>
      <c r="CF61" s="12" t="str">
        <f t="shared" si="23"/>
        <v/>
      </c>
      <c r="CG61" s="45" t="str">
        <f t="shared" si="24"/>
        <v/>
      </c>
      <c r="CH61" s="15"/>
      <c r="CI61" s="15"/>
      <c r="CJ61" s="20"/>
      <c r="CK61" s="12" t="str">
        <f>IF($A61="","",SUMIFS('Consumable Usage'!$E:$E,'Consumable Usage'!$A:$A,$A61,'Consumable Usage'!$D:$D,9))</f>
        <v/>
      </c>
      <c r="CL61" s="12" t="str">
        <f>IF($A61="","",SUMIFS('Nursing Charges'!$I:$I,'Nursing Charges'!$A:$A,$A61,'Nursing Charges'!$C:$C,9))</f>
        <v/>
      </c>
      <c r="CM61" s="12" t="str">
        <f>IF($A61="","",CJ61+(CL61-SUMIFS('Nursing Charges'!$J:$J,'Nursing Charges'!$A:$A,$A61,'Nursing Charges'!$C:$C,9))+(CK61-SUMIFS('Consumable Usage'!$F:$F,'Consumable Usage'!$A:$A,$A61,'Consumable Usage'!$D:$D,9)))</f>
        <v/>
      </c>
      <c r="CN61" s="12" t="str">
        <f t="shared" si="25"/>
        <v/>
      </c>
      <c r="CO61" s="20"/>
      <c r="CP61" s="12" t="str">
        <f t="shared" si="26"/>
        <v/>
      </c>
      <c r="CQ61" s="45" t="str">
        <f t="shared" si="27"/>
        <v/>
      </c>
      <c r="CR61" s="15"/>
      <c r="CS61" s="15"/>
      <c r="CT61" s="20"/>
      <c r="CU61" s="12" t="str">
        <f>IF($A61="","",SUMIFS('Consumable Usage'!$E:$E,'Consumable Usage'!$A:$A,$A61,'Consumable Usage'!$D:$D,10))</f>
        <v/>
      </c>
      <c r="CV61" s="12" t="str">
        <f>IF($A61="","",SUMIFS('Nursing Charges'!$I:$I,'Nursing Charges'!$A:$A,$A61,'Nursing Charges'!$C:$C,10))</f>
        <v/>
      </c>
      <c r="CW61" s="12" t="str">
        <f>IF($A61="","",CT61+(CV61-SUMIFS('Nursing Charges'!$J:$J,'Nursing Charges'!$A:$A,$A61,'Nursing Charges'!$C:$C,10))+(CU61-SUMIFS('Consumable Usage'!$F:$F,'Consumable Usage'!$A:$A,$A61,'Consumable Usage'!$D:$D,10)))</f>
        <v/>
      </c>
      <c r="CX61" s="12" t="str">
        <f t="shared" si="28"/>
        <v/>
      </c>
      <c r="CY61" s="20"/>
      <c r="CZ61" s="12" t="str">
        <f t="shared" si="29"/>
        <v/>
      </c>
      <c r="DA61" s="45" t="str">
        <f t="shared" si="30"/>
        <v/>
      </c>
      <c r="DB61" s="15"/>
      <c r="DC61" s="15"/>
      <c r="DD61" s="20"/>
      <c r="DE61" s="12" t="str">
        <f>IF($A61="","",SUMIFS('Consumable Usage'!$E:$E,'Consumable Usage'!$A:$A,$A61,'Consumable Usage'!$D:$D,11))</f>
        <v/>
      </c>
      <c r="DF61" s="12" t="str">
        <f>IF($A61="","",SUMIFS('Nursing Charges'!$I:$I,'Nursing Charges'!$A:$A,$A61,'Nursing Charges'!$C:$C,11))</f>
        <v/>
      </c>
      <c r="DG61" s="12" t="str">
        <f>IF($A61="","",DD61+(DF61-SUMIFS('Nursing Charges'!$J:$J,'Nursing Charges'!$A:$A,$A61,'Nursing Charges'!$C:$C,11))+(DE61-SUMIFS('Consumable Usage'!$F:$F,'Consumable Usage'!$A:$A,$A61,'Consumable Usage'!$D:$D,11)))</f>
        <v/>
      </c>
      <c r="DH61" s="12" t="str">
        <f t="shared" si="31"/>
        <v/>
      </c>
      <c r="DI61" s="20"/>
      <c r="DJ61" s="12" t="str">
        <f t="shared" si="32"/>
        <v/>
      </c>
      <c r="DK61" s="45" t="str">
        <f t="shared" si="33"/>
        <v/>
      </c>
      <c r="DL61" s="15"/>
      <c r="DM61" s="15"/>
      <c r="DN61" s="20"/>
      <c r="DO61" s="12" t="str">
        <f>IF($A61="","",SUMIFS('Consumable Usage'!$E:$E,'Consumable Usage'!$A:$A,$A61,'Consumable Usage'!$D:$D,12))</f>
        <v/>
      </c>
      <c r="DP61" s="12" t="str">
        <f>IF($A61="","",SUMIFS('Nursing Charges'!$I:$I,'Nursing Charges'!$A:$A,$A61,'Nursing Charges'!$C:$C,12))</f>
        <v/>
      </c>
      <c r="DQ61" s="12" t="str">
        <f>IF($A61="","",DN61+(DP61-SUMIFS('Nursing Charges'!$J:$J,'Nursing Charges'!$A:$A,$A61,'Nursing Charges'!$C:$C,12))+(DO61-SUMIFS('Consumable Usage'!$F:$F,'Consumable Usage'!$A:$A,$A61,'Consumable Usage'!$D:$D,12)))</f>
        <v/>
      </c>
      <c r="DR61" s="12" t="str">
        <f t="shared" si="34"/>
        <v/>
      </c>
      <c r="DS61" s="20"/>
      <c r="DT61" s="12" t="str">
        <f t="shared" si="35"/>
        <v/>
      </c>
      <c r="DU61" s="45" t="str">
        <f t="shared" si="36"/>
        <v/>
      </c>
      <c r="DV61" s="15"/>
      <c r="DW61" s="15"/>
      <c r="DX61" s="20"/>
      <c r="DY61" s="12" t="str">
        <f>IF($A61="","",SUMIFS('Consumable Usage'!$E:$E,'Consumable Usage'!$A:$A,$A61,'Consumable Usage'!$D:$D,13))</f>
        <v/>
      </c>
      <c r="DZ61" s="12" t="str">
        <f>IF($A61="","",SUMIFS('Nursing Charges'!$I:$I,'Nursing Charges'!$A:$A,$A61,'Nursing Charges'!$C:$C,13))</f>
        <v/>
      </c>
      <c r="EA61" s="12" t="str">
        <f>IF($A61="","",DX61+(DZ61-SUMIFS('Nursing Charges'!$J:$J,'Nursing Charges'!$A:$A,$A61,'Nursing Charges'!$C:$C,13))+(DY61-SUMIFS('Consumable Usage'!$F:$F,'Consumable Usage'!$A:$A,$A61,'Consumable Usage'!$D:$D,13)))</f>
        <v/>
      </c>
      <c r="EB61" s="12" t="str">
        <f t="shared" si="37"/>
        <v/>
      </c>
      <c r="EC61" s="20"/>
      <c r="ED61" s="12" t="str">
        <f t="shared" si="38"/>
        <v/>
      </c>
      <c r="EE61" s="45" t="str">
        <f t="shared" si="39"/>
        <v/>
      </c>
      <c r="EF61" s="15"/>
      <c r="EG61" s="15"/>
      <c r="EH61" s="20"/>
      <c r="EI61" s="12" t="str">
        <f>IF($A61="","",SUMIFS('Consumable Usage'!$E:$E,'Consumable Usage'!$A:$A,$A61,'Consumable Usage'!$D:$D,14))</f>
        <v/>
      </c>
      <c r="EJ61" s="12" t="str">
        <f>IF($A61="","",SUMIFS('Nursing Charges'!$I:$I,'Nursing Charges'!$A:$A,$A61,'Nursing Charges'!$C:$C,14))</f>
        <v/>
      </c>
      <c r="EK61" s="12" t="str">
        <f>IF($A61="","",EH61+(EJ61-SUMIFS('Nursing Charges'!$J:$J,'Nursing Charges'!$A:$A,$A61,'Nursing Charges'!$C:$C,14))+(EI61-SUMIFS('Consumable Usage'!$F:$F,'Consumable Usage'!$A:$A,$A61,'Consumable Usage'!$D:$D,14)))</f>
        <v/>
      </c>
      <c r="EL61" s="12" t="str">
        <f t="shared" si="40"/>
        <v/>
      </c>
      <c r="EM61" s="20"/>
      <c r="EN61" s="12" t="str">
        <f t="shared" si="41"/>
        <v/>
      </c>
      <c r="EO61" s="45" t="str">
        <f t="shared" si="42"/>
        <v/>
      </c>
      <c r="EP61" s="15"/>
      <c r="EQ61" s="15"/>
      <c r="ER61" s="20"/>
      <c r="ES61" s="12" t="str">
        <f>IF($A61="","",SUMIFS('Consumable Usage'!$E:$E,'Consumable Usage'!$A:$A,$A61,'Consumable Usage'!$D:$D,15))</f>
        <v/>
      </c>
      <c r="ET61" s="12" t="str">
        <f>IF($A61="","",SUMIFS('Nursing Charges'!$I:$I,'Nursing Charges'!$A:$A,$A61,'Nursing Charges'!$C:$C,15))</f>
        <v/>
      </c>
      <c r="EU61" s="12" t="str">
        <f>IF($A61="","",ER61+(ET61-SUMIFS('Nursing Charges'!$J:$J,'Nursing Charges'!$A:$A,$A61,'Nursing Charges'!$C:$C,15))+(ES61-SUMIFS('Consumable Usage'!$F:$F,'Consumable Usage'!$A:$A,$A61,'Consumable Usage'!$D:$D,15)))</f>
        <v/>
      </c>
      <c r="EV61" s="12" t="str">
        <f t="shared" si="43"/>
        <v/>
      </c>
      <c r="EW61" s="20"/>
      <c r="EX61" s="12" t="str">
        <f t="shared" si="44"/>
        <v/>
      </c>
      <c r="EY61" s="45" t="str">
        <f t="shared" si="45"/>
        <v/>
      </c>
      <c r="EZ61" s="15"/>
      <c r="FA61" s="15"/>
      <c r="FB61" s="20"/>
      <c r="FC61" s="12" t="str">
        <f>IF($A61="","",SUMIFS('Consumable Usage'!$E:$E,'Consumable Usage'!$A:$A,$A61,'Consumable Usage'!$D:$D,16))</f>
        <v/>
      </c>
      <c r="FD61" s="12" t="str">
        <f>IF($A61="","",SUMIFS('Nursing Charges'!$I:$I,'Nursing Charges'!$A:$A,$A61,'Nursing Charges'!$C:$C,16))</f>
        <v/>
      </c>
      <c r="FE61" s="12" t="str">
        <f>IF($A61="","",FB61+(FD61-SUMIFS('Nursing Charges'!$J:$J,'Nursing Charges'!$A:$A,$A61,'Nursing Charges'!$C:$C,16))+(FC61-SUMIFS('Consumable Usage'!$F:$F,'Consumable Usage'!$A:$A,$A61,'Consumable Usage'!$D:$D,16)))</f>
        <v/>
      </c>
      <c r="FF61" s="12" t="str">
        <f t="shared" si="46"/>
        <v/>
      </c>
      <c r="FG61" s="20"/>
      <c r="FH61" s="12" t="str">
        <f t="shared" si="47"/>
        <v/>
      </c>
      <c r="FI61" s="45" t="str">
        <f t="shared" si="48"/>
        <v/>
      </c>
      <c r="FJ61" s="53"/>
      <c r="FK61" s="53"/>
      <c r="FL61" s="63"/>
      <c r="FM61" s="63" t="str">
        <f>IF($A61="","",SUMIFS('Consumable Usage'!$E:$E,'Consumable Usage'!$A:$A,$A61,'Consumable Usage'!$D:$D,16))</f>
        <v/>
      </c>
      <c r="FN61" s="63" t="str">
        <f>IF($A61="","",SUMIFS('Nursing Charges'!$I:$I,'Nursing Charges'!$A:$A,$A61,'Nursing Charges'!$C:$C,16))</f>
        <v/>
      </c>
      <c r="FO61" s="63" t="str">
        <f>IF($A61="","",FL61+(FN61-SUMIFS('Nursing Charges'!$J:$J,'Nursing Charges'!$A:$A,$A61,'Nursing Charges'!$C:$C,16))+(FM61-SUMIFS('Consumable Usage'!$F:$F,'Consumable Usage'!$A:$A,$A61,'Consumable Usage'!$D:$D,16)))</f>
        <v/>
      </c>
      <c r="FP61" s="63" t="str">
        <f t="shared" si="49"/>
        <v/>
      </c>
      <c r="FQ61" s="63"/>
      <c r="FR61" s="63" t="str">
        <f t="shared" si="50"/>
        <v/>
      </c>
      <c r="FS61" s="53" t="str">
        <f t="shared" si="51"/>
        <v/>
      </c>
    </row>
    <row r="62" ht="15.0" customHeight="1">
      <c r="A62" s="15"/>
      <c r="B62" s="15"/>
      <c r="C62" s="15"/>
      <c r="D62" s="15"/>
      <c r="E62" s="15"/>
      <c r="F62" s="15"/>
      <c r="G62" s="15"/>
      <c r="H62" s="20"/>
      <c r="I62" s="12" t="str">
        <f>IF($A62="","",SUMIFS('Consumable Usage'!$E:$E,'Consumable Usage'!$A:$A,$A62,'Consumable Usage'!$D:$D,1))</f>
        <v/>
      </c>
      <c r="J62" s="12" t="str">
        <f>IF($A62="","",SUMIFS('Nursing Charges'!$I:$I,'Nursing Charges'!$A:$A,$A62,'Nursing Charges'!$C:$C,1))</f>
        <v/>
      </c>
      <c r="K62" s="12" t="str">
        <f>IF($A62="","",H62+(J62-SUMIFS('Nursing Charges'!$J:$J,'Nursing Charges'!$A:$A,$A62,'Nursing Charges'!$C:$C,1))+(I62-SUMIFS('Consumable Usage'!$F:$F,'Consumable Usage'!$A:$A,$A62,'Consumable Usage'!$D:$D,1)))</f>
        <v/>
      </c>
      <c r="L62" s="12" t="str">
        <f t="shared" si="1"/>
        <v/>
      </c>
      <c r="M62" s="20"/>
      <c r="N62" s="12" t="str">
        <f t="shared" si="2"/>
        <v/>
      </c>
      <c r="O62" s="45" t="str">
        <f t="shared" si="3"/>
        <v/>
      </c>
      <c r="P62" s="15"/>
      <c r="Q62" s="15"/>
      <c r="R62" s="20"/>
      <c r="S62" s="12" t="str">
        <f>IF($A62="","",SUMIFS('Consumable Usage'!$E:$E,'Consumable Usage'!$A:$A,$A62,'Consumable Usage'!$D:$D,2))</f>
        <v/>
      </c>
      <c r="T62" s="12" t="str">
        <f>IF($A62="","",SUMIFS('Nursing Charges'!$I:$I,'Nursing Charges'!$A:$A,$A62,'Nursing Charges'!$C:$C,2))</f>
        <v/>
      </c>
      <c r="U62" s="12" t="str">
        <f>IF($A62="","",R62+(T62-SUMIFS('Nursing Charges'!$J:$J,'Nursing Charges'!$A:$A,$A62,'Nursing Charges'!$C:$C,2))+(S62-SUMIFS('Consumable Usage'!$F:$F,'Consumable Usage'!$A:$A,$A62,'Consumable Usage'!$D:$D,2)))</f>
        <v/>
      </c>
      <c r="V62" s="12" t="str">
        <f t="shared" si="4"/>
        <v/>
      </c>
      <c r="W62" s="20"/>
      <c r="X62" s="12" t="str">
        <f t="shared" si="5"/>
        <v/>
      </c>
      <c r="Y62" s="45" t="str">
        <f t="shared" si="6"/>
        <v/>
      </c>
      <c r="Z62" s="15"/>
      <c r="AA62" s="15"/>
      <c r="AB62" s="20"/>
      <c r="AC62" s="12" t="str">
        <f>IF($A62="","",SUMIFS('Consumable Usage'!$E:$E,'Consumable Usage'!$A:$A,$A62,'Consumable Usage'!$D:$D,3))</f>
        <v/>
      </c>
      <c r="AD62" s="12" t="str">
        <f>IF($A62="","",SUMIFS('Nursing Charges'!$I:$I,'Nursing Charges'!$A:$A,$A62,'Nursing Charges'!$C:$C,3))</f>
        <v/>
      </c>
      <c r="AE62" s="12" t="str">
        <f>IF($A62="","",AB62+(AD62-SUMIFS('Nursing Charges'!$J:$J,'Nursing Charges'!$A:$A,$A62,'Nursing Charges'!$C:$C,3))+(AC62-SUMIFS('Consumable Usage'!$F:$F,'Consumable Usage'!$A:$A,$A62,'Consumable Usage'!$D:$D,3)))</f>
        <v/>
      </c>
      <c r="AF62" s="12" t="str">
        <f t="shared" si="7"/>
        <v/>
      </c>
      <c r="AG62" s="20"/>
      <c r="AH62" s="12" t="str">
        <f t="shared" si="8"/>
        <v/>
      </c>
      <c r="AI62" s="45" t="str">
        <f t="shared" si="9"/>
        <v/>
      </c>
      <c r="AJ62" s="15"/>
      <c r="AK62" s="15"/>
      <c r="AL62" s="20"/>
      <c r="AM62" s="12" t="str">
        <f>IF($A62="","",SUMIFS('Consumable Usage'!$E:$E,'Consumable Usage'!$A:$A,$A62,'Consumable Usage'!$D:$D,4))</f>
        <v/>
      </c>
      <c r="AN62" s="12" t="str">
        <f>IF($A62="","",SUMIFS('Nursing Charges'!$I:$I,'Nursing Charges'!$A:$A,$A62,'Nursing Charges'!$C:$C,4))</f>
        <v/>
      </c>
      <c r="AO62" s="12" t="str">
        <f>IF($A62="","",AL62+(AN62-SUMIFS('Nursing Charges'!$J:$J,'Nursing Charges'!$A:$A,$A62,'Nursing Charges'!$C:$C,4))+(AM62-SUMIFS('Consumable Usage'!$F:$F,'Consumable Usage'!$A:$A,$A62,'Consumable Usage'!$D:$D,4)))</f>
        <v/>
      </c>
      <c r="AP62" s="12" t="str">
        <f t="shared" si="10"/>
        <v/>
      </c>
      <c r="AQ62" s="20"/>
      <c r="AR62" s="12" t="str">
        <f t="shared" si="11"/>
        <v/>
      </c>
      <c r="AS62" s="45" t="str">
        <f t="shared" si="12"/>
        <v/>
      </c>
      <c r="AT62" s="15"/>
      <c r="AU62" s="15"/>
      <c r="AV62" s="20"/>
      <c r="AW62" s="12" t="str">
        <f>IF($A62="","",SUMIFS('Consumable Usage'!$E:$E,'Consumable Usage'!$A:$A,$A62,'Consumable Usage'!$D:$D,5))</f>
        <v/>
      </c>
      <c r="AX62" s="12" t="str">
        <f>IF($A62="","",SUMIFS('Nursing Charges'!$I:$I,'Nursing Charges'!$A:$A,$A62,'Nursing Charges'!$C:$C,5))</f>
        <v/>
      </c>
      <c r="AY62" s="12" t="str">
        <f>IF($A62="","",AV62+(AX62-SUMIFS('Nursing Charges'!$J:$J,'Nursing Charges'!$A:$A,$A62,'Nursing Charges'!$C:$C,5))+(AW62-SUMIFS('Consumable Usage'!$F:$F,'Consumable Usage'!$A:$A,$A62,'Consumable Usage'!$D:$D,5)))</f>
        <v/>
      </c>
      <c r="AZ62" s="12" t="str">
        <f t="shared" si="13"/>
        <v/>
      </c>
      <c r="BA62" s="20"/>
      <c r="BB62" s="12" t="str">
        <f t="shared" si="14"/>
        <v/>
      </c>
      <c r="BC62" s="45" t="str">
        <f t="shared" si="15"/>
        <v/>
      </c>
      <c r="BD62" s="15"/>
      <c r="BE62" s="15"/>
      <c r="BF62" s="20"/>
      <c r="BG62" s="12" t="str">
        <f>IF($A62="","",SUMIFS('Consumable Usage'!$E:$E,'Consumable Usage'!$A:$A,$A62,'Consumable Usage'!$D:$D,6))</f>
        <v/>
      </c>
      <c r="BH62" s="12" t="str">
        <f>IF($A62="","",SUMIFS('Nursing Charges'!$I:$I,'Nursing Charges'!$A:$A,$A62,'Nursing Charges'!$C:$C,6))</f>
        <v/>
      </c>
      <c r="BI62" s="12" t="str">
        <f>IF($A62="","",BF62+(BH62-SUMIFS('Nursing Charges'!$J:$J,'Nursing Charges'!$A:$A,$A62,'Nursing Charges'!$C:$C,6))+(BG62-SUMIFS('Consumable Usage'!$F:$F,'Consumable Usage'!$A:$A,$A62,'Consumable Usage'!$D:$D,6)))</f>
        <v/>
      </c>
      <c r="BJ62" s="12" t="str">
        <f t="shared" si="16"/>
        <v/>
      </c>
      <c r="BK62" s="20"/>
      <c r="BL62" s="12" t="str">
        <f t="shared" si="17"/>
        <v/>
      </c>
      <c r="BM62" s="45" t="str">
        <f t="shared" si="18"/>
        <v/>
      </c>
      <c r="BN62" s="15"/>
      <c r="BO62" s="15"/>
      <c r="BP62" s="20"/>
      <c r="BQ62" s="12" t="str">
        <f>IF($A62="","",SUMIFS('Consumable Usage'!$E:$E,'Consumable Usage'!$A:$A,$A62,'Consumable Usage'!$D:$D,7))</f>
        <v/>
      </c>
      <c r="BR62" s="12" t="str">
        <f>IF($A62="","",SUMIFS('Nursing Charges'!$I:$I,'Nursing Charges'!$A:$A,$A62,'Nursing Charges'!$C:$C,7))</f>
        <v/>
      </c>
      <c r="BS62" s="12" t="str">
        <f>IF($A62="","",BP62+(BR62-SUMIFS('Nursing Charges'!$J:$J,'Nursing Charges'!$A:$A,$A62,'Nursing Charges'!$C:$C,7))+(BQ62-SUMIFS('Consumable Usage'!$F:$F,'Consumable Usage'!$A:$A,$A62,'Consumable Usage'!$D:$D,7)))</f>
        <v/>
      </c>
      <c r="BT62" s="12" t="str">
        <f t="shared" si="19"/>
        <v/>
      </c>
      <c r="BU62" s="20"/>
      <c r="BV62" s="12" t="str">
        <f t="shared" si="20"/>
        <v/>
      </c>
      <c r="BW62" s="45" t="str">
        <f t="shared" si="21"/>
        <v/>
      </c>
      <c r="BX62" s="15"/>
      <c r="BY62" s="15"/>
      <c r="BZ62" s="20"/>
      <c r="CA62" s="12" t="str">
        <f>IF($A62="","",SUMIFS('Consumable Usage'!$E:$E,'Consumable Usage'!$A:$A,$A62,'Consumable Usage'!$D:$D,8))</f>
        <v/>
      </c>
      <c r="CB62" s="12" t="str">
        <f>IF($A62="","",SUMIFS('Nursing Charges'!$I:$I,'Nursing Charges'!$A:$A,$A62,'Nursing Charges'!$C:$C,8))</f>
        <v/>
      </c>
      <c r="CC62" s="12" t="str">
        <f>IF($A62="","",BZ62+(CB62-SUMIFS('Nursing Charges'!$J:$J,'Nursing Charges'!$A:$A,$A62,'Nursing Charges'!$C:$C,8))+(CA62-SUMIFS('Consumable Usage'!$F:$F,'Consumable Usage'!$A:$A,$A62,'Consumable Usage'!$D:$D,8)))</f>
        <v/>
      </c>
      <c r="CD62" s="12" t="str">
        <f t="shared" si="22"/>
        <v/>
      </c>
      <c r="CE62" s="20"/>
      <c r="CF62" s="12" t="str">
        <f t="shared" si="23"/>
        <v/>
      </c>
      <c r="CG62" s="45" t="str">
        <f t="shared" si="24"/>
        <v/>
      </c>
      <c r="CH62" s="15"/>
      <c r="CI62" s="15"/>
      <c r="CJ62" s="20"/>
      <c r="CK62" s="12" t="str">
        <f>IF($A62="","",SUMIFS('Consumable Usage'!$E:$E,'Consumable Usage'!$A:$A,$A62,'Consumable Usage'!$D:$D,9))</f>
        <v/>
      </c>
      <c r="CL62" s="12" t="str">
        <f>IF($A62="","",SUMIFS('Nursing Charges'!$I:$I,'Nursing Charges'!$A:$A,$A62,'Nursing Charges'!$C:$C,9))</f>
        <v/>
      </c>
      <c r="CM62" s="12" t="str">
        <f>IF($A62="","",CJ62+(CL62-SUMIFS('Nursing Charges'!$J:$J,'Nursing Charges'!$A:$A,$A62,'Nursing Charges'!$C:$C,9))+(CK62-SUMIFS('Consumable Usage'!$F:$F,'Consumable Usage'!$A:$A,$A62,'Consumable Usage'!$D:$D,9)))</f>
        <v/>
      </c>
      <c r="CN62" s="12" t="str">
        <f t="shared" si="25"/>
        <v/>
      </c>
      <c r="CO62" s="20"/>
      <c r="CP62" s="12" t="str">
        <f t="shared" si="26"/>
        <v/>
      </c>
      <c r="CQ62" s="45" t="str">
        <f t="shared" si="27"/>
        <v/>
      </c>
      <c r="CR62" s="15"/>
      <c r="CS62" s="15"/>
      <c r="CT62" s="20"/>
      <c r="CU62" s="12" t="str">
        <f>IF($A62="","",SUMIFS('Consumable Usage'!$E:$E,'Consumable Usage'!$A:$A,$A62,'Consumable Usage'!$D:$D,10))</f>
        <v/>
      </c>
      <c r="CV62" s="12" t="str">
        <f>IF($A62="","",SUMIFS('Nursing Charges'!$I:$I,'Nursing Charges'!$A:$A,$A62,'Nursing Charges'!$C:$C,10))</f>
        <v/>
      </c>
      <c r="CW62" s="12" t="str">
        <f>IF($A62="","",CT62+(CV62-SUMIFS('Nursing Charges'!$J:$J,'Nursing Charges'!$A:$A,$A62,'Nursing Charges'!$C:$C,10))+(CU62-SUMIFS('Consumable Usage'!$F:$F,'Consumable Usage'!$A:$A,$A62,'Consumable Usage'!$D:$D,10)))</f>
        <v/>
      </c>
      <c r="CX62" s="12" t="str">
        <f t="shared" si="28"/>
        <v/>
      </c>
      <c r="CY62" s="20"/>
      <c r="CZ62" s="12" t="str">
        <f t="shared" si="29"/>
        <v/>
      </c>
      <c r="DA62" s="45" t="str">
        <f t="shared" si="30"/>
        <v/>
      </c>
      <c r="DB62" s="15"/>
      <c r="DC62" s="15"/>
      <c r="DD62" s="20"/>
      <c r="DE62" s="12" t="str">
        <f>IF($A62="","",SUMIFS('Consumable Usage'!$E:$E,'Consumable Usage'!$A:$A,$A62,'Consumable Usage'!$D:$D,11))</f>
        <v/>
      </c>
      <c r="DF62" s="12" t="str">
        <f>IF($A62="","",SUMIFS('Nursing Charges'!$I:$I,'Nursing Charges'!$A:$A,$A62,'Nursing Charges'!$C:$C,11))</f>
        <v/>
      </c>
      <c r="DG62" s="12" t="str">
        <f>IF($A62="","",DD62+(DF62-SUMIFS('Nursing Charges'!$J:$J,'Nursing Charges'!$A:$A,$A62,'Nursing Charges'!$C:$C,11))+(DE62-SUMIFS('Consumable Usage'!$F:$F,'Consumable Usage'!$A:$A,$A62,'Consumable Usage'!$D:$D,11)))</f>
        <v/>
      </c>
      <c r="DH62" s="12" t="str">
        <f t="shared" si="31"/>
        <v/>
      </c>
      <c r="DI62" s="20"/>
      <c r="DJ62" s="12" t="str">
        <f t="shared" si="32"/>
        <v/>
      </c>
      <c r="DK62" s="45" t="str">
        <f t="shared" si="33"/>
        <v/>
      </c>
      <c r="DL62" s="15"/>
      <c r="DM62" s="15"/>
      <c r="DN62" s="20"/>
      <c r="DO62" s="12" t="str">
        <f>IF($A62="","",SUMIFS('Consumable Usage'!$E:$E,'Consumable Usage'!$A:$A,$A62,'Consumable Usage'!$D:$D,12))</f>
        <v/>
      </c>
      <c r="DP62" s="12" t="str">
        <f>IF($A62="","",SUMIFS('Nursing Charges'!$I:$I,'Nursing Charges'!$A:$A,$A62,'Nursing Charges'!$C:$C,12))</f>
        <v/>
      </c>
      <c r="DQ62" s="12" t="str">
        <f>IF($A62="","",DN62+(DP62-SUMIFS('Nursing Charges'!$J:$J,'Nursing Charges'!$A:$A,$A62,'Nursing Charges'!$C:$C,12))+(DO62-SUMIFS('Consumable Usage'!$F:$F,'Consumable Usage'!$A:$A,$A62,'Consumable Usage'!$D:$D,12)))</f>
        <v/>
      </c>
      <c r="DR62" s="12" t="str">
        <f t="shared" si="34"/>
        <v/>
      </c>
      <c r="DS62" s="20"/>
      <c r="DT62" s="12" t="str">
        <f t="shared" si="35"/>
        <v/>
      </c>
      <c r="DU62" s="45" t="str">
        <f t="shared" si="36"/>
        <v/>
      </c>
      <c r="DV62" s="15"/>
      <c r="DW62" s="15"/>
      <c r="DX62" s="20"/>
      <c r="DY62" s="12" t="str">
        <f>IF($A62="","",SUMIFS('Consumable Usage'!$E:$E,'Consumable Usage'!$A:$A,$A62,'Consumable Usage'!$D:$D,13))</f>
        <v/>
      </c>
      <c r="DZ62" s="12" t="str">
        <f>IF($A62="","",SUMIFS('Nursing Charges'!$I:$I,'Nursing Charges'!$A:$A,$A62,'Nursing Charges'!$C:$C,13))</f>
        <v/>
      </c>
      <c r="EA62" s="12" t="str">
        <f>IF($A62="","",DX62+(DZ62-SUMIFS('Nursing Charges'!$J:$J,'Nursing Charges'!$A:$A,$A62,'Nursing Charges'!$C:$C,13))+(DY62-SUMIFS('Consumable Usage'!$F:$F,'Consumable Usage'!$A:$A,$A62,'Consumable Usage'!$D:$D,13)))</f>
        <v/>
      </c>
      <c r="EB62" s="12" t="str">
        <f t="shared" si="37"/>
        <v/>
      </c>
      <c r="EC62" s="20"/>
      <c r="ED62" s="12" t="str">
        <f t="shared" si="38"/>
        <v/>
      </c>
      <c r="EE62" s="45" t="str">
        <f t="shared" si="39"/>
        <v/>
      </c>
      <c r="EF62" s="15"/>
      <c r="EG62" s="15"/>
      <c r="EH62" s="20"/>
      <c r="EI62" s="12" t="str">
        <f>IF($A62="","",SUMIFS('Consumable Usage'!$E:$E,'Consumable Usage'!$A:$A,$A62,'Consumable Usage'!$D:$D,14))</f>
        <v/>
      </c>
      <c r="EJ62" s="12" t="str">
        <f>IF($A62="","",SUMIFS('Nursing Charges'!$I:$I,'Nursing Charges'!$A:$A,$A62,'Nursing Charges'!$C:$C,14))</f>
        <v/>
      </c>
      <c r="EK62" s="12" t="str">
        <f>IF($A62="","",EH62+(EJ62-SUMIFS('Nursing Charges'!$J:$J,'Nursing Charges'!$A:$A,$A62,'Nursing Charges'!$C:$C,14))+(EI62-SUMIFS('Consumable Usage'!$F:$F,'Consumable Usage'!$A:$A,$A62,'Consumable Usage'!$D:$D,14)))</f>
        <v/>
      </c>
      <c r="EL62" s="12" t="str">
        <f t="shared" si="40"/>
        <v/>
      </c>
      <c r="EM62" s="20"/>
      <c r="EN62" s="12" t="str">
        <f t="shared" si="41"/>
        <v/>
      </c>
      <c r="EO62" s="45" t="str">
        <f t="shared" si="42"/>
        <v/>
      </c>
      <c r="EP62" s="15"/>
      <c r="EQ62" s="15"/>
      <c r="ER62" s="20"/>
      <c r="ES62" s="12" t="str">
        <f>IF($A62="","",SUMIFS('Consumable Usage'!$E:$E,'Consumable Usage'!$A:$A,$A62,'Consumable Usage'!$D:$D,15))</f>
        <v/>
      </c>
      <c r="ET62" s="12" t="str">
        <f>IF($A62="","",SUMIFS('Nursing Charges'!$I:$I,'Nursing Charges'!$A:$A,$A62,'Nursing Charges'!$C:$C,15))</f>
        <v/>
      </c>
      <c r="EU62" s="12" t="str">
        <f>IF($A62="","",ER62+(ET62-SUMIFS('Nursing Charges'!$J:$J,'Nursing Charges'!$A:$A,$A62,'Nursing Charges'!$C:$C,15))+(ES62-SUMIFS('Consumable Usage'!$F:$F,'Consumable Usage'!$A:$A,$A62,'Consumable Usage'!$D:$D,15)))</f>
        <v/>
      </c>
      <c r="EV62" s="12" t="str">
        <f t="shared" si="43"/>
        <v/>
      </c>
      <c r="EW62" s="20"/>
      <c r="EX62" s="12" t="str">
        <f t="shared" si="44"/>
        <v/>
      </c>
      <c r="EY62" s="45" t="str">
        <f t="shared" si="45"/>
        <v/>
      </c>
      <c r="EZ62" s="15"/>
      <c r="FA62" s="15"/>
      <c r="FB62" s="20"/>
      <c r="FC62" s="12" t="str">
        <f>IF($A62="","",SUMIFS('Consumable Usage'!$E:$E,'Consumable Usage'!$A:$A,$A62,'Consumable Usage'!$D:$D,16))</f>
        <v/>
      </c>
      <c r="FD62" s="12" t="str">
        <f>IF($A62="","",SUMIFS('Nursing Charges'!$I:$I,'Nursing Charges'!$A:$A,$A62,'Nursing Charges'!$C:$C,16))</f>
        <v/>
      </c>
      <c r="FE62" s="12" t="str">
        <f>IF($A62="","",FB62+(FD62-SUMIFS('Nursing Charges'!$J:$J,'Nursing Charges'!$A:$A,$A62,'Nursing Charges'!$C:$C,16))+(FC62-SUMIFS('Consumable Usage'!$F:$F,'Consumable Usage'!$A:$A,$A62,'Consumable Usage'!$D:$D,16)))</f>
        <v/>
      </c>
      <c r="FF62" s="12" t="str">
        <f t="shared" si="46"/>
        <v/>
      </c>
      <c r="FG62" s="20"/>
      <c r="FH62" s="12" t="str">
        <f t="shared" si="47"/>
        <v/>
      </c>
      <c r="FI62" s="45" t="str">
        <f t="shared" si="48"/>
        <v/>
      </c>
      <c r="FJ62" s="53"/>
      <c r="FK62" s="53"/>
      <c r="FL62" s="63"/>
      <c r="FM62" s="63" t="str">
        <f>IF($A62="","",SUMIFS('Consumable Usage'!$E:$E,'Consumable Usage'!$A:$A,$A62,'Consumable Usage'!$D:$D,16))</f>
        <v/>
      </c>
      <c r="FN62" s="63" t="str">
        <f>IF($A62="","",SUMIFS('Nursing Charges'!$I:$I,'Nursing Charges'!$A:$A,$A62,'Nursing Charges'!$C:$C,16))</f>
        <v/>
      </c>
      <c r="FO62" s="63" t="str">
        <f>IF($A62="","",FL62+(FN62-SUMIFS('Nursing Charges'!$J:$J,'Nursing Charges'!$A:$A,$A62,'Nursing Charges'!$C:$C,16))+(FM62-SUMIFS('Consumable Usage'!$F:$F,'Consumable Usage'!$A:$A,$A62,'Consumable Usage'!$D:$D,16)))</f>
        <v/>
      </c>
      <c r="FP62" s="63" t="str">
        <f t="shared" si="49"/>
        <v/>
      </c>
      <c r="FQ62" s="63"/>
      <c r="FR62" s="63" t="str">
        <f t="shared" si="50"/>
        <v/>
      </c>
      <c r="FS62" s="53" t="str">
        <f t="shared" si="51"/>
        <v/>
      </c>
    </row>
    <row r="63" ht="15.0" customHeight="1">
      <c r="A63" s="15"/>
      <c r="B63" s="15"/>
      <c r="C63" s="15"/>
      <c r="D63" s="15"/>
      <c r="E63" s="15"/>
      <c r="F63" s="15"/>
      <c r="G63" s="15"/>
      <c r="H63" s="20"/>
      <c r="I63" s="12" t="str">
        <f>IF($A63="","",SUMIFS('Consumable Usage'!$E:$E,'Consumable Usage'!$A:$A,$A63,'Consumable Usage'!$D:$D,1))</f>
        <v/>
      </c>
      <c r="J63" s="12" t="str">
        <f>IF($A63="","",SUMIFS('Nursing Charges'!$I:$I,'Nursing Charges'!$A:$A,$A63,'Nursing Charges'!$C:$C,1))</f>
        <v/>
      </c>
      <c r="K63" s="12" t="str">
        <f>IF($A63="","",H63+(J63-SUMIFS('Nursing Charges'!$J:$J,'Nursing Charges'!$A:$A,$A63,'Nursing Charges'!$C:$C,1))+(I63-SUMIFS('Consumable Usage'!$F:$F,'Consumable Usage'!$A:$A,$A63,'Consumable Usage'!$D:$D,1)))</f>
        <v/>
      </c>
      <c r="L63" s="12" t="str">
        <f t="shared" si="1"/>
        <v/>
      </c>
      <c r="M63" s="20"/>
      <c r="N63" s="12" t="str">
        <f t="shared" si="2"/>
        <v/>
      </c>
      <c r="O63" s="45" t="str">
        <f t="shared" si="3"/>
        <v/>
      </c>
      <c r="P63" s="15"/>
      <c r="Q63" s="15"/>
      <c r="R63" s="20"/>
      <c r="S63" s="12" t="str">
        <f>IF($A63="","",SUMIFS('Consumable Usage'!$E:$E,'Consumable Usage'!$A:$A,$A63,'Consumable Usage'!$D:$D,2))</f>
        <v/>
      </c>
      <c r="T63" s="12" t="str">
        <f>IF($A63="","",SUMIFS('Nursing Charges'!$I:$I,'Nursing Charges'!$A:$A,$A63,'Nursing Charges'!$C:$C,2))</f>
        <v/>
      </c>
      <c r="U63" s="12" t="str">
        <f>IF($A63="","",R63+(T63-SUMIFS('Nursing Charges'!$J:$J,'Nursing Charges'!$A:$A,$A63,'Nursing Charges'!$C:$C,2))+(S63-SUMIFS('Consumable Usage'!$F:$F,'Consumable Usage'!$A:$A,$A63,'Consumable Usage'!$D:$D,2)))</f>
        <v/>
      </c>
      <c r="V63" s="12" t="str">
        <f t="shared" si="4"/>
        <v/>
      </c>
      <c r="W63" s="20"/>
      <c r="X63" s="12" t="str">
        <f t="shared" si="5"/>
        <v/>
      </c>
      <c r="Y63" s="45" t="str">
        <f t="shared" si="6"/>
        <v/>
      </c>
      <c r="Z63" s="15"/>
      <c r="AA63" s="15"/>
      <c r="AB63" s="20"/>
      <c r="AC63" s="12" t="str">
        <f>IF($A63="","",SUMIFS('Consumable Usage'!$E:$E,'Consumable Usage'!$A:$A,$A63,'Consumable Usage'!$D:$D,3))</f>
        <v/>
      </c>
      <c r="AD63" s="12" t="str">
        <f>IF($A63="","",SUMIFS('Nursing Charges'!$I:$I,'Nursing Charges'!$A:$A,$A63,'Nursing Charges'!$C:$C,3))</f>
        <v/>
      </c>
      <c r="AE63" s="12" t="str">
        <f>IF($A63="","",AB63+(AD63-SUMIFS('Nursing Charges'!$J:$J,'Nursing Charges'!$A:$A,$A63,'Nursing Charges'!$C:$C,3))+(AC63-SUMIFS('Consumable Usage'!$F:$F,'Consumable Usage'!$A:$A,$A63,'Consumable Usage'!$D:$D,3)))</f>
        <v/>
      </c>
      <c r="AF63" s="12" t="str">
        <f t="shared" si="7"/>
        <v/>
      </c>
      <c r="AG63" s="20"/>
      <c r="AH63" s="12" t="str">
        <f t="shared" si="8"/>
        <v/>
      </c>
      <c r="AI63" s="45" t="str">
        <f t="shared" si="9"/>
        <v/>
      </c>
      <c r="AJ63" s="15"/>
      <c r="AK63" s="15"/>
      <c r="AL63" s="20"/>
      <c r="AM63" s="12" t="str">
        <f>IF($A63="","",SUMIFS('Consumable Usage'!$E:$E,'Consumable Usage'!$A:$A,$A63,'Consumable Usage'!$D:$D,4))</f>
        <v/>
      </c>
      <c r="AN63" s="12" t="str">
        <f>IF($A63="","",SUMIFS('Nursing Charges'!$I:$I,'Nursing Charges'!$A:$A,$A63,'Nursing Charges'!$C:$C,4))</f>
        <v/>
      </c>
      <c r="AO63" s="12" t="str">
        <f>IF($A63="","",AL63+(AN63-SUMIFS('Nursing Charges'!$J:$J,'Nursing Charges'!$A:$A,$A63,'Nursing Charges'!$C:$C,4))+(AM63-SUMIFS('Consumable Usage'!$F:$F,'Consumable Usage'!$A:$A,$A63,'Consumable Usage'!$D:$D,4)))</f>
        <v/>
      </c>
      <c r="AP63" s="12" t="str">
        <f t="shared" si="10"/>
        <v/>
      </c>
      <c r="AQ63" s="20"/>
      <c r="AR63" s="12" t="str">
        <f t="shared" si="11"/>
        <v/>
      </c>
      <c r="AS63" s="45" t="str">
        <f t="shared" si="12"/>
        <v/>
      </c>
      <c r="AT63" s="15"/>
      <c r="AU63" s="15"/>
      <c r="AV63" s="20"/>
      <c r="AW63" s="12" t="str">
        <f>IF($A63="","",SUMIFS('Consumable Usage'!$E:$E,'Consumable Usage'!$A:$A,$A63,'Consumable Usage'!$D:$D,5))</f>
        <v/>
      </c>
      <c r="AX63" s="12" t="str">
        <f>IF($A63="","",SUMIFS('Nursing Charges'!$I:$I,'Nursing Charges'!$A:$A,$A63,'Nursing Charges'!$C:$C,5))</f>
        <v/>
      </c>
      <c r="AY63" s="12" t="str">
        <f>IF($A63="","",AV63+(AX63-SUMIFS('Nursing Charges'!$J:$J,'Nursing Charges'!$A:$A,$A63,'Nursing Charges'!$C:$C,5))+(AW63-SUMIFS('Consumable Usage'!$F:$F,'Consumable Usage'!$A:$A,$A63,'Consumable Usage'!$D:$D,5)))</f>
        <v/>
      </c>
      <c r="AZ63" s="12" t="str">
        <f t="shared" si="13"/>
        <v/>
      </c>
      <c r="BA63" s="20"/>
      <c r="BB63" s="12" t="str">
        <f t="shared" si="14"/>
        <v/>
      </c>
      <c r="BC63" s="45" t="str">
        <f t="shared" si="15"/>
        <v/>
      </c>
      <c r="BD63" s="15"/>
      <c r="BE63" s="15"/>
      <c r="BF63" s="20"/>
      <c r="BG63" s="12" t="str">
        <f>IF($A63="","",SUMIFS('Consumable Usage'!$E:$E,'Consumable Usage'!$A:$A,$A63,'Consumable Usage'!$D:$D,6))</f>
        <v/>
      </c>
      <c r="BH63" s="12" t="str">
        <f>IF($A63="","",SUMIFS('Nursing Charges'!$I:$I,'Nursing Charges'!$A:$A,$A63,'Nursing Charges'!$C:$C,6))</f>
        <v/>
      </c>
      <c r="BI63" s="12" t="str">
        <f>IF($A63="","",BF63+(BH63-SUMIFS('Nursing Charges'!$J:$J,'Nursing Charges'!$A:$A,$A63,'Nursing Charges'!$C:$C,6))+(BG63-SUMIFS('Consumable Usage'!$F:$F,'Consumable Usage'!$A:$A,$A63,'Consumable Usage'!$D:$D,6)))</f>
        <v/>
      </c>
      <c r="BJ63" s="12" t="str">
        <f t="shared" si="16"/>
        <v/>
      </c>
      <c r="BK63" s="20"/>
      <c r="BL63" s="12" t="str">
        <f t="shared" si="17"/>
        <v/>
      </c>
      <c r="BM63" s="45" t="str">
        <f t="shared" si="18"/>
        <v/>
      </c>
      <c r="BN63" s="15"/>
      <c r="BO63" s="15"/>
      <c r="BP63" s="20"/>
      <c r="BQ63" s="12" t="str">
        <f>IF($A63="","",SUMIFS('Consumable Usage'!$E:$E,'Consumable Usage'!$A:$A,$A63,'Consumable Usage'!$D:$D,7))</f>
        <v/>
      </c>
      <c r="BR63" s="12" t="str">
        <f>IF($A63="","",SUMIFS('Nursing Charges'!$I:$I,'Nursing Charges'!$A:$A,$A63,'Nursing Charges'!$C:$C,7))</f>
        <v/>
      </c>
      <c r="BS63" s="12" t="str">
        <f>IF($A63="","",BP63+(BR63-SUMIFS('Nursing Charges'!$J:$J,'Nursing Charges'!$A:$A,$A63,'Nursing Charges'!$C:$C,7))+(BQ63-SUMIFS('Consumable Usage'!$F:$F,'Consumable Usage'!$A:$A,$A63,'Consumable Usage'!$D:$D,7)))</f>
        <v/>
      </c>
      <c r="BT63" s="12" t="str">
        <f t="shared" si="19"/>
        <v/>
      </c>
      <c r="BU63" s="20"/>
      <c r="BV63" s="12" t="str">
        <f t="shared" si="20"/>
        <v/>
      </c>
      <c r="BW63" s="45" t="str">
        <f t="shared" si="21"/>
        <v/>
      </c>
      <c r="BX63" s="15"/>
      <c r="BY63" s="15"/>
      <c r="BZ63" s="20"/>
      <c r="CA63" s="12" t="str">
        <f>IF($A63="","",SUMIFS('Consumable Usage'!$E:$E,'Consumable Usage'!$A:$A,$A63,'Consumable Usage'!$D:$D,8))</f>
        <v/>
      </c>
      <c r="CB63" s="12" t="str">
        <f>IF($A63="","",SUMIFS('Nursing Charges'!$I:$I,'Nursing Charges'!$A:$A,$A63,'Nursing Charges'!$C:$C,8))</f>
        <v/>
      </c>
      <c r="CC63" s="12" t="str">
        <f>IF($A63="","",BZ63+(CB63-SUMIFS('Nursing Charges'!$J:$J,'Nursing Charges'!$A:$A,$A63,'Nursing Charges'!$C:$C,8))+(CA63-SUMIFS('Consumable Usage'!$F:$F,'Consumable Usage'!$A:$A,$A63,'Consumable Usage'!$D:$D,8)))</f>
        <v/>
      </c>
      <c r="CD63" s="12" t="str">
        <f t="shared" si="22"/>
        <v/>
      </c>
      <c r="CE63" s="20"/>
      <c r="CF63" s="12" t="str">
        <f t="shared" si="23"/>
        <v/>
      </c>
      <c r="CG63" s="45" t="str">
        <f t="shared" si="24"/>
        <v/>
      </c>
      <c r="CH63" s="15"/>
      <c r="CI63" s="15"/>
      <c r="CJ63" s="20"/>
      <c r="CK63" s="12" t="str">
        <f>IF($A63="","",SUMIFS('Consumable Usage'!$E:$E,'Consumable Usage'!$A:$A,$A63,'Consumable Usage'!$D:$D,9))</f>
        <v/>
      </c>
      <c r="CL63" s="12" t="str">
        <f>IF($A63="","",SUMIFS('Nursing Charges'!$I:$I,'Nursing Charges'!$A:$A,$A63,'Nursing Charges'!$C:$C,9))</f>
        <v/>
      </c>
      <c r="CM63" s="12" t="str">
        <f>IF($A63="","",CJ63+(CL63-SUMIFS('Nursing Charges'!$J:$J,'Nursing Charges'!$A:$A,$A63,'Nursing Charges'!$C:$C,9))+(CK63-SUMIFS('Consumable Usage'!$F:$F,'Consumable Usage'!$A:$A,$A63,'Consumable Usage'!$D:$D,9)))</f>
        <v/>
      </c>
      <c r="CN63" s="12" t="str">
        <f t="shared" si="25"/>
        <v/>
      </c>
      <c r="CO63" s="20"/>
      <c r="CP63" s="12" t="str">
        <f t="shared" si="26"/>
        <v/>
      </c>
      <c r="CQ63" s="45" t="str">
        <f t="shared" si="27"/>
        <v/>
      </c>
      <c r="CR63" s="15"/>
      <c r="CS63" s="15"/>
      <c r="CT63" s="20"/>
      <c r="CU63" s="12" t="str">
        <f>IF($A63="","",SUMIFS('Consumable Usage'!$E:$E,'Consumable Usage'!$A:$A,$A63,'Consumable Usage'!$D:$D,10))</f>
        <v/>
      </c>
      <c r="CV63" s="12" t="str">
        <f>IF($A63="","",SUMIFS('Nursing Charges'!$I:$I,'Nursing Charges'!$A:$A,$A63,'Nursing Charges'!$C:$C,10))</f>
        <v/>
      </c>
      <c r="CW63" s="12" t="str">
        <f>IF($A63="","",CT63+(CV63-SUMIFS('Nursing Charges'!$J:$J,'Nursing Charges'!$A:$A,$A63,'Nursing Charges'!$C:$C,10))+(CU63-SUMIFS('Consumable Usage'!$F:$F,'Consumable Usage'!$A:$A,$A63,'Consumable Usage'!$D:$D,10)))</f>
        <v/>
      </c>
      <c r="CX63" s="12" t="str">
        <f t="shared" si="28"/>
        <v/>
      </c>
      <c r="CY63" s="20"/>
      <c r="CZ63" s="12" t="str">
        <f t="shared" si="29"/>
        <v/>
      </c>
      <c r="DA63" s="45" t="str">
        <f t="shared" si="30"/>
        <v/>
      </c>
      <c r="DB63" s="15"/>
      <c r="DC63" s="15"/>
      <c r="DD63" s="20"/>
      <c r="DE63" s="12" t="str">
        <f>IF($A63="","",SUMIFS('Consumable Usage'!$E:$E,'Consumable Usage'!$A:$A,$A63,'Consumable Usage'!$D:$D,11))</f>
        <v/>
      </c>
      <c r="DF63" s="12" t="str">
        <f>IF($A63="","",SUMIFS('Nursing Charges'!$I:$I,'Nursing Charges'!$A:$A,$A63,'Nursing Charges'!$C:$C,11))</f>
        <v/>
      </c>
      <c r="DG63" s="12" t="str">
        <f>IF($A63="","",DD63+(DF63-SUMIFS('Nursing Charges'!$J:$J,'Nursing Charges'!$A:$A,$A63,'Nursing Charges'!$C:$C,11))+(DE63-SUMIFS('Consumable Usage'!$F:$F,'Consumable Usage'!$A:$A,$A63,'Consumable Usage'!$D:$D,11)))</f>
        <v/>
      </c>
      <c r="DH63" s="12" t="str">
        <f t="shared" si="31"/>
        <v/>
      </c>
      <c r="DI63" s="20"/>
      <c r="DJ63" s="12" t="str">
        <f t="shared" si="32"/>
        <v/>
      </c>
      <c r="DK63" s="45" t="str">
        <f t="shared" si="33"/>
        <v/>
      </c>
      <c r="DL63" s="15"/>
      <c r="DM63" s="15"/>
      <c r="DN63" s="20"/>
      <c r="DO63" s="12" t="str">
        <f>IF($A63="","",SUMIFS('Consumable Usage'!$E:$E,'Consumable Usage'!$A:$A,$A63,'Consumable Usage'!$D:$D,12))</f>
        <v/>
      </c>
      <c r="DP63" s="12" t="str">
        <f>IF($A63="","",SUMIFS('Nursing Charges'!$I:$I,'Nursing Charges'!$A:$A,$A63,'Nursing Charges'!$C:$C,12))</f>
        <v/>
      </c>
      <c r="DQ63" s="12" t="str">
        <f>IF($A63="","",DN63+(DP63-SUMIFS('Nursing Charges'!$J:$J,'Nursing Charges'!$A:$A,$A63,'Nursing Charges'!$C:$C,12))+(DO63-SUMIFS('Consumable Usage'!$F:$F,'Consumable Usage'!$A:$A,$A63,'Consumable Usage'!$D:$D,12)))</f>
        <v/>
      </c>
      <c r="DR63" s="12" t="str">
        <f t="shared" si="34"/>
        <v/>
      </c>
      <c r="DS63" s="20"/>
      <c r="DT63" s="12" t="str">
        <f t="shared" si="35"/>
        <v/>
      </c>
      <c r="DU63" s="45" t="str">
        <f t="shared" si="36"/>
        <v/>
      </c>
      <c r="DV63" s="15"/>
      <c r="DW63" s="15"/>
      <c r="DX63" s="20"/>
      <c r="DY63" s="12" t="str">
        <f>IF($A63="","",SUMIFS('Consumable Usage'!$E:$E,'Consumable Usage'!$A:$A,$A63,'Consumable Usage'!$D:$D,13))</f>
        <v/>
      </c>
      <c r="DZ63" s="12" t="str">
        <f>IF($A63="","",SUMIFS('Nursing Charges'!$I:$I,'Nursing Charges'!$A:$A,$A63,'Nursing Charges'!$C:$C,13))</f>
        <v/>
      </c>
      <c r="EA63" s="12" t="str">
        <f>IF($A63="","",DX63+(DZ63-SUMIFS('Nursing Charges'!$J:$J,'Nursing Charges'!$A:$A,$A63,'Nursing Charges'!$C:$C,13))+(DY63-SUMIFS('Consumable Usage'!$F:$F,'Consumable Usage'!$A:$A,$A63,'Consumable Usage'!$D:$D,13)))</f>
        <v/>
      </c>
      <c r="EB63" s="12" t="str">
        <f t="shared" si="37"/>
        <v/>
      </c>
      <c r="EC63" s="20"/>
      <c r="ED63" s="12" t="str">
        <f t="shared" si="38"/>
        <v/>
      </c>
      <c r="EE63" s="45" t="str">
        <f t="shared" si="39"/>
        <v/>
      </c>
      <c r="EF63" s="15"/>
      <c r="EG63" s="15"/>
      <c r="EH63" s="20"/>
      <c r="EI63" s="12" t="str">
        <f>IF($A63="","",SUMIFS('Consumable Usage'!$E:$E,'Consumable Usage'!$A:$A,$A63,'Consumable Usage'!$D:$D,14))</f>
        <v/>
      </c>
      <c r="EJ63" s="12" t="str">
        <f>IF($A63="","",SUMIFS('Nursing Charges'!$I:$I,'Nursing Charges'!$A:$A,$A63,'Nursing Charges'!$C:$C,14))</f>
        <v/>
      </c>
      <c r="EK63" s="12" t="str">
        <f>IF($A63="","",EH63+(EJ63-SUMIFS('Nursing Charges'!$J:$J,'Nursing Charges'!$A:$A,$A63,'Nursing Charges'!$C:$C,14))+(EI63-SUMIFS('Consumable Usage'!$F:$F,'Consumable Usage'!$A:$A,$A63,'Consumable Usage'!$D:$D,14)))</f>
        <v/>
      </c>
      <c r="EL63" s="12" t="str">
        <f t="shared" si="40"/>
        <v/>
      </c>
      <c r="EM63" s="20"/>
      <c r="EN63" s="12" t="str">
        <f t="shared" si="41"/>
        <v/>
      </c>
      <c r="EO63" s="45" t="str">
        <f t="shared" si="42"/>
        <v/>
      </c>
      <c r="EP63" s="15"/>
      <c r="EQ63" s="15"/>
      <c r="ER63" s="20"/>
      <c r="ES63" s="12" t="str">
        <f>IF($A63="","",SUMIFS('Consumable Usage'!$E:$E,'Consumable Usage'!$A:$A,$A63,'Consumable Usage'!$D:$D,15))</f>
        <v/>
      </c>
      <c r="ET63" s="12" t="str">
        <f>IF($A63="","",SUMIFS('Nursing Charges'!$I:$I,'Nursing Charges'!$A:$A,$A63,'Nursing Charges'!$C:$C,15))</f>
        <v/>
      </c>
      <c r="EU63" s="12" t="str">
        <f>IF($A63="","",ER63+(ET63-SUMIFS('Nursing Charges'!$J:$J,'Nursing Charges'!$A:$A,$A63,'Nursing Charges'!$C:$C,15))+(ES63-SUMIFS('Consumable Usage'!$F:$F,'Consumable Usage'!$A:$A,$A63,'Consumable Usage'!$D:$D,15)))</f>
        <v/>
      </c>
      <c r="EV63" s="12" t="str">
        <f t="shared" si="43"/>
        <v/>
      </c>
      <c r="EW63" s="20"/>
      <c r="EX63" s="12" t="str">
        <f t="shared" si="44"/>
        <v/>
      </c>
      <c r="EY63" s="45" t="str">
        <f t="shared" si="45"/>
        <v/>
      </c>
      <c r="EZ63" s="15"/>
      <c r="FA63" s="15"/>
      <c r="FB63" s="20"/>
      <c r="FC63" s="12" t="str">
        <f>IF($A63="","",SUMIFS('Consumable Usage'!$E:$E,'Consumable Usage'!$A:$A,$A63,'Consumable Usage'!$D:$D,16))</f>
        <v/>
      </c>
      <c r="FD63" s="12" t="str">
        <f>IF($A63="","",SUMIFS('Nursing Charges'!$I:$I,'Nursing Charges'!$A:$A,$A63,'Nursing Charges'!$C:$C,16))</f>
        <v/>
      </c>
      <c r="FE63" s="12" t="str">
        <f>IF($A63="","",FB63+(FD63-SUMIFS('Nursing Charges'!$J:$J,'Nursing Charges'!$A:$A,$A63,'Nursing Charges'!$C:$C,16))+(FC63-SUMIFS('Consumable Usage'!$F:$F,'Consumable Usage'!$A:$A,$A63,'Consumable Usage'!$D:$D,16)))</f>
        <v/>
      </c>
      <c r="FF63" s="12" t="str">
        <f t="shared" si="46"/>
        <v/>
      </c>
      <c r="FG63" s="20"/>
      <c r="FH63" s="12" t="str">
        <f t="shared" si="47"/>
        <v/>
      </c>
      <c r="FI63" s="45" t="str">
        <f t="shared" si="48"/>
        <v/>
      </c>
      <c r="FJ63" s="53"/>
      <c r="FK63" s="53"/>
      <c r="FL63" s="63"/>
      <c r="FM63" s="63" t="str">
        <f>IF($A63="","",SUMIFS('Consumable Usage'!$E:$E,'Consumable Usage'!$A:$A,$A63,'Consumable Usage'!$D:$D,16))</f>
        <v/>
      </c>
      <c r="FN63" s="63" t="str">
        <f>IF($A63="","",SUMIFS('Nursing Charges'!$I:$I,'Nursing Charges'!$A:$A,$A63,'Nursing Charges'!$C:$C,16))</f>
        <v/>
      </c>
      <c r="FO63" s="63" t="str">
        <f>IF($A63="","",FL63+(FN63-SUMIFS('Nursing Charges'!$J:$J,'Nursing Charges'!$A:$A,$A63,'Nursing Charges'!$C:$C,16))+(FM63-SUMIFS('Consumable Usage'!$F:$F,'Consumable Usage'!$A:$A,$A63,'Consumable Usage'!$D:$D,16)))</f>
        <v/>
      </c>
      <c r="FP63" s="63" t="str">
        <f t="shared" si="49"/>
        <v/>
      </c>
      <c r="FQ63" s="63"/>
      <c r="FR63" s="63" t="str">
        <f t="shared" si="50"/>
        <v/>
      </c>
      <c r="FS63" s="53" t="str">
        <f t="shared" si="51"/>
        <v/>
      </c>
    </row>
    <row r="64" ht="15.0" customHeight="1">
      <c r="A64" s="15"/>
      <c r="B64" s="15"/>
      <c r="C64" s="15"/>
      <c r="D64" s="15"/>
      <c r="E64" s="15"/>
      <c r="F64" s="15"/>
      <c r="G64" s="15"/>
      <c r="H64" s="20"/>
      <c r="I64" s="12" t="str">
        <f>IF($A64="","",SUMIFS('Consumable Usage'!$E:$E,'Consumable Usage'!$A:$A,$A64,'Consumable Usage'!$D:$D,1))</f>
        <v/>
      </c>
      <c r="J64" s="12" t="str">
        <f>IF($A64="","",SUMIFS('Nursing Charges'!$I:$I,'Nursing Charges'!$A:$A,$A64,'Nursing Charges'!$C:$C,1))</f>
        <v/>
      </c>
      <c r="K64" s="12" t="str">
        <f>IF($A64="","",H64+(J64-SUMIFS('Nursing Charges'!$J:$J,'Nursing Charges'!$A:$A,$A64,'Nursing Charges'!$C:$C,1))+(I64-SUMIFS('Consumable Usage'!$F:$F,'Consumable Usage'!$A:$A,$A64,'Consumable Usage'!$D:$D,1)))</f>
        <v/>
      </c>
      <c r="L64" s="12" t="str">
        <f t="shared" si="1"/>
        <v/>
      </c>
      <c r="M64" s="20"/>
      <c r="N64" s="12" t="str">
        <f t="shared" si="2"/>
        <v/>
      </c>
      <c r="O64" s="45" t="str">
        <f t="shared" si="3"/>
        <v/>
      </c>
      <c r="P64" s="15"/>
      <c r="Q64" s="15"/>
      <c r="R64" s="20"/>
      <c r="S64" s="12" t="str">
        <f>IF($A64="","",SUMIFS('Consumable Usage'!$E:$E,'Consumable Usage'!$A:$A,$A64,'Consumable Usage'!$D:$D,2))</f>
        <v/>
      </c>
      <c r="T64" s="12" t="str">
        <f>IF($A64="","",SUMIFS('Nursing Charges'!$I:$I,'Nursing Charges'!$A:$A,$A64,'Nursing Charges'!$C:$C,2))</f>
        <v/>
      </c>
      <c r="U64" s="12" t="str">
        <f>IF($A64="","",R64+(T64-SUMIFS('Nursing Charges'!$J:$J,'Nursing Charges'!$A:$A,$A64,'Nursing Charges'!$C:$C,2))+(S64-SUMIFS('Consumable Usage'!$F:$F,'Consumable Usage'!$A:$A,$A64,'Consumable Usage'!$D:$D,2)))</f>
        <v/>
      </c>
      <c r="V64" s="12" t="str">
        <f t="shared" si="4"/>
        <v/>
      </c>
      <c r="W64" s="20"/>
      <c r="X64" s="12" t="str">
        <f t="shared" si="5"/>
        <v/>
      </c>
      <c r="Y64" s="45" t="str">
        <f t="shared" si="6"/>
        <v/>
      </c>
      <c r="Z64" s="15"/>
      <c r="AA64" s="15"/>
      <c r="AB64" s="20"/>
      <c r="AC64" s="12" t="str">
        <f>IF($A64="","",SUMIFS('Consumable Usage'!$E:$E,'Consumable Usage'!$A:$A,$A64,'Consumable Usage'!$D:$D,3))</f>
        <v/>
      </c>
      <c r="AD64" s="12" t="str">
        <f>IF($A64="","",SUMIFS('Nursing Charges'!$I:$I,'Nursing Charges'!$A:$A,$A64,'Nursing Charges'!$C:$C,3))</f>
        <v/>
      </c>
      <c r="AE64" s="12" t="str">
        <f>IF($A64="","",AB64+(AD64-SUMIFS('Nursing Charges'!$J:$J,'Nursing Charges'!$A:$A,$A64,'Nursing Charges'!$C:$C,3))+(AC64-SUMIFS('Consumable Usage'!$F:$F,'Consumable Usage'!$A:$A,$A64,'Consumable Usage'!$D:$D,3)))</f>
        <v/>
      </c>
      <c r="AF64" s="12" t="str">
        <f t="shared" si="7"/>
        <v/>
      </c>
      <c r="AG64" s="20"/>
      <c r="AH64" s="12" t="str">
        <f t="shared" si="8"/>
        <v/>
      </c>
      <c r="AI64" s="45" t="str">
        <f t="shared" si="9"/>
        <v/>
      </c>
      <c r="AJ64" s="15"/>
      <c r="AK64" s="15"/>
      <c r="AL64" s="20"/>
      <c r="AM64" s="12" t="str">
        <f>IF($A64="","",SUMIFS('Consumable Usage'!$E:$E,'Consumable Usage'!$A:$A,$A64,'Consumable Usage'!$D:$D,4))</f>
        <v/>
      </c>
      <c r="AN64" s="12" t="str">
        <f>IF($A64="","",SUMIFS('Nursing Charges'!$I:$I,'Nursing Charges'!$A:$A,$A64,'Nursing Charges'!$C:$C,4))</f>
        <v/>
      </c>
      <c r="AO64" s="12" t="str">
        <f>IF($A64="","",AL64+(AN64-SUMIFS('Nursing Charges'!$J:$J,'Nursing Charges'!$A:$A,$A64,'Nursing Charges'!$C:$C,4))+(AM64-SUMIFS('Consumable Usage'!$F:$F,'Consumable Usage'!$A:$A,$A64,'Consumable Usage'!$D:$D,4)))</f>
        <v/>
      </c>
      <c r="AP64" s="12" t="str">
        <f t="shared" si="10"/>
        <v/>
      </c>
      <c r="AQ64" s="20"/>
      <c r="AR64" s="12" t="str">
        <f t="shared" si="11"/>
        <v/>
      </c>
      <c r="AS64" s="45" t="str">
        <f t="shared" si="12"/>
        <v/>
      </c>
      <c r="AT64" s="15"/>
      <c r="AU64" s="15"/>
      <c r="AV64" s="20"/>
      <c r="AW64" s="12" t="str">
        <f>IF($A64="","",SUMIFS('Consumable Usage'!$E:$E,'Consumable Usage'!$A:$A,$A64,'Consumable Usage'!$D:$D,5))</f>
        <v/>
      </c>
      <c r="AX64" s="12" t="str">
        <f>IF($A64="","",SUMIFS('Nursing Charges'!$I:$I,'Nursing Charges'!$A:$A,$A64,'Nursing Charges'!$C:$C,5))</f>
        <v/>
      </c>
      <c r="AY64" s="12" t="str">
        <f>IF($A64="","",AV64+(AX64-SUMIFS('Nursing Charges'!$J:$J,'Nursing Charges'!$A:$A,$A64,'Nursing Charges'!$C:$C,5))+(AW64-SUMIFS('Consumable Usage'!$F:$F,'Consumable Usage'!$A:$A,$A64,'Consumable Usage'!$D:$D,5)))</f>
        <v/>
      </c>
      <c r="AZ64" s="12" t="str">
        <f t="shared" si="13"/>
        <v/>
      </c>
      <c r="BA64" s="20"/>
      <c r="BB64" s="12" t="str">
        <f t="shared" si="14"/>
        <v/>
      </c>
      <c r="BC64" s="45" t="str">
        <f t="shared" si="15"/>
        <v/>
      </c>
      <c r="BD64" s="15"/>
      <c r="BE64" s="15"/>
      <c r="BF64" s="20"/>
      <c r="BG64" s="12" t="str">
        <f>IF($A64="","",SUMIFS('Consumable Usage'!$E:$E,'Consumable Usage'!$A:$A,$A64,'Consumable Usage'!$D:$D,6))</f>
        <v/>
      </c>
      <c r="BH64" s="12" t="str">
        <f>IF($A64="","",SUMIFS('Nursing Charges'!$I:$I,'Nursing Charges'!$A:$A,$A64,'Nursing Charges'!$C:$C,6))</f>
        <v/>
      </c>
      <c r="BI64" s="12" t="str">
        <f>IF($A64="","",BF64+(BH64-SUMIFS('Nursing Charges'!$J:$J,'Nursing Charges'!$A:$A,$A64,'Nursing Charges'!$C:$C,6))+(BG64-SUMIFS('Consumable Usage'!$F:$F,'Consumable Usage'!$A:$A,$A64,'Consumable Usage'!$D:$D,6)))</f>
        <v/>
      </c>
      <c r="BJ64" s="12" t="str">
        <f t="shared" si="16"/>
        <v/>
      </c>
      <c r="BK64" s="20"/>
      <c r="BL64" s="12" t="str">
        <f t="shared" si="17"/>
        <v/>
      </c>
      <c r="BM64" s="45" t="str">
        <f t="shared" si="18"/>
        <v/>
      </c>
      <c r="BN64" s="15"/>
      <c r="BO64" s="15"/>
      <c r="BP64" s="20"/>
      <c r="BQ64" s="12" t="str">
        <f>IF($A64="","",SUMIFS('Consumable Usage'!$E:$E,'Consumable Usage'!$A:$A,$A64,'Consumable Usage'!$D:$D,7))</f>
        <v/>
      </c>
      <c r="BR64" s="12" t="str">
        <f>IF($A64="","",SUMIFS('Nursing Charges'!$I:$I,'Nursing Charges'!$A:$A,$A64,'Nursing Charges'!$C:$C,7))</f>
        <v/>
      </c>
      <c r="BS64" s="12" t="str">
        <f>IF($A64="","",BP64+(BR64-SUMIFS('Nursing Charges'!$J:$J,'Nursing Charges'!$A:$A,$A64,'Nursing Charges'!$C:$C,7))+(BQ64-SUMIFS('Consumable Usage'!$F:$F,'Consumable Usage'!$A:$A,$A64,'Consumable Usage'!$D:$D,7)))</f>
        <v/>
      </c>
      <c r="BT64" s="12" t="str">
        <f t="shared" si="19"/>
        <v/>
      </c>
      <c r="BU64" s="20"/>
      <c r="BV64" s="12" t="str">
        <f t="shared" si="20"/>
        <v/>
      </c>
      <c r="BW64" s="45" t="str">
        <f t="shared" si="21"/>
        <v/>
      </c>
      <c r="BX64" s="15"/>
      <c r="BY64" s="15"/>
      <c r="BZ64" s="20"/>
      <c r="CA64" s="12" t="str">
        <f>IF($A64="","",SUMIFS('Consumable Usage'!$E:$E,'Consumable Usage'!$A:$A,$A64,'Consumable Usage'!$D:$D,8))</f>
        <v/>
      </c>
      <c r="CB64" s="12" t="str">
        <f>IF($A64="","",SUMIFS('Nursing Charges'!$I:$I,'Nursing Charges'!$A:$A,$A64,'Nursing Charges'!$C:$C,8))</f>
        <v/>
      </c>
      <c r="CC64" s="12" t="str">
        <f>IF($A64="","",BZ64+(CB64-SUMIFS('Nursing Charges'!$J:$J,'Nursing Charges'!$A:$A,$A64,'Nursing Charges'!$C:$C,8))+(CA64-SUMIFS('Consumable Usage'!$F:$F,'Consumable Usage'!$A:$A,$A64,'Consumable Usage'!$D:$D,8)))</f>
        <v/>
      </c>
      <c r="CD64" s="12" t="str">
        <f t="shared" si="22"/>
        <v/>
      </c>
      <c r="CE64" s="20"/>
      <c r="CF64" s="12" t="str">
        <f t="shared" si="23"/>
        <v/>
      </c>
      <c r="CG64" s="45" t="str">
        <f t="shared" si="24"/>
        <v/>
      </c>
      <c r="CH64" s="15"/>
      <c r="CI64" s="15"/>
      <c r="CJ64" s="20"/>
      <c r="CK64" s="12" t="str">
        <f>IF($A64="","",SUMIFS('Consumable Usage'!$E:$E,'Consumable Usage'!$A:$A,$A64,'Consumable Usage'!$D:$D,9))</f>
        <v/>
      </c>
      <c r="CL64" s="12" t="str">
        <f>IF($A64="","",SUMIFS('Nursing Charges'!$I:$I,'Nursing Charges'!$A:$A,$A64,'Nursing Charges'!$C:$C,9))</f>
        <v/>
      </c>
      <c r="CM64" s="12" t="str">
        <f>IF($A64="","",CJ64+(CL64-SUMIFS('Nursing Charges'!$J:$J,'Nursing Charges'!$A:$A,$A64,'Nursing Charges'!$C:$C,9))+(CK64-SUMIFS('Consumable Usage'!$F:$F,'Consumable Usage'!$A:$A,$A64,'Consumable Usage'!$D:$D,9)))</f>
        <v/>
      </c>
      <c r="CN64" s="12" t="str">
        <f t="shared" si="25"/>
        <v/>
      </c>
      <c r="CO64" s="20"/>
      <c r="CP64" s="12" t="str">
        <f t="shared" si="26"/>
        <v/>
      </c>
      <c r="CQ64" s="45" t="str">
        <f t="shared" si="27"/>
        <v/>
      </c>
      <c r="CR64" s="15"/>
      <c r="CS64" s="15"/>
      <c r="CT64" s="20"/>
      <c r="CU64" s="12" t="str">
        <f>IF($A64="","",SUMIFS('Consumable Usage'!$E:$E,'Consumable Usage'!$A:$A,$A64,'Consumable Usage'!$D:$D,10))</f>
        <v/>
      </c>
      <c r="CV64" s="12" t="str">
        <f>IF($A64="","",SUMIFS('Nursing Charges'!$I:$I,'Nursing Charges'!$A:$A,$A64,'Nursing Charges'!$C:$C,10))</f>
        <v/>
      </c>
      <c r="CW64" s="12" t="str">
        <f>IF($A64="","",CT64+(CV64-SUMIFS('Nursing Charges'!$J:$J,'Nursing Charges'!$A:$A,$A64,'Nursing Charges'!$C:$C,10))+(CU64-SUMIFS('Consumable Usage'!$F:$F,'Consumable Usage'!$A:$A,$A64,'Consumable Usage'!$D:$D,10)))</f>
        <v/>
      </c>
      <c r="CX64" s="12" t="str">
        <f t="shared" si="28"/>
        <v/>
      </c>
      <c r="CY64" s="20"/>
      <c r="CZ64" s="12" t="str">
        <f t="shared" si="29"/>
        <v/>
      </c>
      <c r="DA64" s="45" t="str">
        <f t="shared" si="30"/>
        <v/>
      </c>
      <c r="DB64" s="15"/>
      <c r="DC64" s="15"/>
      <c r="DD64" s="20"/>
      <c r="DE64" s="12" t="str">
        <f>IF($A64="","",SUMIFS('Consumable Usage'!$E:$E,'Consumable Usage'!$A:$A,$A64,'Consumable Usage'!$D:$D,11))</f>
        <v/>
      </c>
      <c r="DF64" s="12" t="str">
        <f>IF($A64="","",SUMIFS('Nursing Charges'!$I:$I,'Nursing Charges'!$A:$A,$A64,'Nursing Charges'!$C:$C,11))</f>
        <v/>
      </c>
      <c r="DG64" s="12" t="str">
        <f>IF($A64="","",DD64+(DF64-SUMIFS('Nursing Charges'!$J:$J,'Nursing Charges'!$A:$A,$A64,'Nursing Charges'!$C:$C,11))+(DE64-SUMIFS('Consumable Usage'!$F:$F,'Consumable Usage'!$A:$A,$A64,'Consumable Usage'!$D:$D,11)))</f>
        <v/>
      </c>
      <c r="DH64" s="12" t="str">
        <f t="shared" si="31"/>
        <v/>
      </c>
      <c r="DI64" s="20"/>
      <c r="DJ64" s="12" t="str">
        <f t="shared" si="32"/>
        <v/>
      </c>
      <c r="DK64" s="45" t="str">
        <f t="shared" si="33"/>
        <v/>
      </c>
      <c r="DL64" s="15"/>
      <c r="DM64" s="15"/>
      <c r="DN64" s="20"/>
      <c r="DO64" s="12" t="str">
        <f>IF($A64="","",SUMIFS('Consumable Usage'!$E:$E,'Consumable Usage'!$A:$A,$A64,'Consumable Usage'!$D:$D,12))</f>
        <v/>
      </c>
      <c r="DP64" s="12" t="str">
        <f>IF($A64="","",SUMIFS('Nursing Charges'!$I:$I,'Nursing Charges'!$A:$A,$A64,'Nursing Charges'!$C:$C,12))</f>
        <v/>
      </c>
      <c r="DQ64" s="12" t="str">
        <f>IF($A64="","",DN64+(DP64-SUMIFS('Nursing Charges'!$J:$J,'Nursing Charges'!$A:$A,$A64,'Nursing Charges'!$C:$C,12))+(DO64-SUMIFS('Consumable Usage'!$F:$F,'Consumable Usage'!$A:$A,$A64,'Consumable Usage'!$D:$D,12)))</f>
        <v/>
      </c>
      <c r="DR64" s="12" t="str">
        <f t="shared" si="34"/>
        <v/>
      </c>
      <c r="DS64" s="20"/>
      <c r="DT64" s="12" t="str">
        <f t="shared" si="35"/>
        <v/>
      </c>
      <c r="DU64" s="45" t="str">
        <f t="shared" si="36"/>
        <v/>
      </c>
      <c r="DV64" s="15"/>
      <c r="DW64" s="15"/>
      <c r="DX64" s="20"/>
      <c r="DY64" s="12" t="str">
        <f>IF($A64="","",SUMIFS('Consumable Usage'!$E:$E,'Consumable Usage'!$A:$A,$A64,'Consumable Usage'!$D:$D,13))</f>
        <v/>
      </c>
      <c r="DZ64" s="12" t="str">
        <f>IF($A64="","",SUMIFS('Nursing Charges'!$I:$I,'Nursing Charges'!$A:$A,$A64,'Nursing Charges'!$C:$C,13))</f>
        <v/>
      </c>
      <c r="EA64" s="12" t="str">
        <f>IF($A64="","",DX64+(DZ64-SUMIFS('Nursing Charges'!$J:$J,'Nursing Charges'!$A:$A,$A64,'Nursing Charges'!$C:$C,13))+(DY64-SUMIFS('Consumable Usage'!$F:$F,'Consumable Usage'!$A:$A,$A64,'Consumable Usage'!$D:$D,13)))</f>
        <v/>
      </c>
      <c r="EB64" s="12" t="str">
        <f t="shared" si="37"/>
        <v/>
      </c>
      <c r="EC64" s="20"/>
      <c r="ED64" s="12" t="str">
        <f t="shared" si="38"/>
        <v/>
      </c>
      <c r="EE64" s="45" t="str">
        <f t="shared" si="39"/>
        <v/>
      </c>
      <c r="EF64" s="15"/>
      <c r="EG64" s="15"/>
      <c r="EH64" s="20"/>
      <c r="EI64" s="12" t="str">
        <f>IF($A64="","",SUMIFS('Consumable Usage'!$E:$E,'Consumable Usage'!$A:$A,$A64,'Consumable Usage'!$D:$D,14))</f>
        <v/>
      </c>
      <c r="EJ64" s="12" t="str">
        <f>IF($A64="","",SUMIFS('Nursing Charges'!$I:$I,'Nursing Charges'!$A:$A,$A64,'Nursing Charges'!$C:$C,14))</f>
        <v/>
      </c>
      <c r="EK64" s="12" t="str">
        <f>IF($A64="","",EH64+(EJ64-SUMIFS('Nursing Charges'!$J:$J,'Nursing Charges'!$A:$A,$A64,'Nursing Charges'!$C:$C,14))+(EI64-SUMIFS('Consumable Usage'!$F:$F,'Consumable Usage'!$A:$A,$A64,'Consumable Usage'!$D:$D,14)))</f>
        <v/>
      </c>
      <c r="EL64" s="12" t="str">
        <f t="shared" si="40"/>
        <v/>
      </c>
      <c r="EM64" s="20"/>
      <c r="EN64" s="12" t="str">
        <f t="shared" si="41"/>
        <v/>
      </c>
      <c r="EO64" s="45" t="str">
        <f t="shared" si="42"/>
        <v/>
      </c>
      <c r="EP64" s="15"/>
      <c r="EQ64" s="15"/>
      <c r="ER64" s="20"/>
      <c r="ES64" s="12" t="str">
        <f>IF($A64="","",SUMIFS('Consumable Usage'!$E:$E,'Consumable Usage'!$A:$A,$A64,'Consumable Usage'!$D:$D,15))</f>
        <v/>
      </c>
      <c r="ET64" s="12" t="str">
        <f>IF($A64="","",SUMIFS('Nursing Charges'!$I:$I,'Nursing Charges'!$A:$A,$A64,'Nursing Charges'!$C:$C,15))</f>
        <v/>
      </c>
      <c r="EU64" s="12" t="str">
        <f>IF($A64="","",ER64+(ET64-SUMIFS('Nursing Charges'!$J:$J,'Nursing Charges'!$A:$A,$A64,'Nursing Charges'!$C:$C,15))+(ES64-SUMIFS('Consumable Usage'!$F:$F,'Consumable Usage'!$A:$A,$A64,'Consumable Usage'!$D:$D,15)))</f>
        <v/>
      </c>
      <c r="EV64" s="12" t="str">
        <f t="shared" si="43"/>
        <v/>
      </c>
      <c r="EW64" s="20"/>
      <c r="EX64" s="12" t="str">
        <f t="shared" si="44"/>
        <v/>
      </c>
      <c r="EY64" s="45" t="str">
        <f t="shared" si="45"/>
        <v/>
      </c>
      <c r="EZ64" s="15"/>
      <c r="FA64" s="15"/>
      <c r="FB64" s="20"/>
      <c r="FC64" s="12" t="str">
        <f>IF($A64="","",SUMIFS('Consumable Usage'!$E:$E,'Consumable Usage'!$A:$A,$A64,'Consumable Usage'!$D:$D,16))</f>
        <v/>
      </c>
      <c r="FD64" s="12" t="str">
        <f>IF($A64="","",SUMIFS('Nursing Charges'!$I:$I,'Nursing Charges'!$A:$A,$A64,'Nursing Charges'!$C:$C,16))</f>
        <v/>
      </c>
      <c r="FE64" s="12" t="str">
        <f>IF($A64="","",FB64+(FD64-SUMIFS('Nursing Charges'!$J:$J,'Nursing Charges'!$A:$A,$A64,'Nursing Charges'!$C:$C,16))+(FC64-SUMIFS('Consumable Usage'!$F:$F,'Consumable Usage'!$A:$A,$A64,'Consumable Usage'!$D:$D,16)))</f>
        <v/>
      </c>
      <c r="FF64" s="12" t="str">
        <f t="shared" si="46"/>
        <v/>
      </c>
      <c r="FG64" s="20"/>
      <c r="FH64" s="12" t="str">
        <f t="shared" si="47"/>
        <v/>
      </c>
      <c r="FI64" s="45" t="str">
        <f t="shared" si="48"/>
        <v/>
      </c>
      <c r="FJ64" s="53"/>
      <c r="FK64" s="53"/>
      <c r="FL64" s="63"/>
      <c r="FM64" s="63" t="str">
        <f>IF($A64="","",SUMIFS('Consumable Usage'!$E:$E,'Consumable Usage'!$A:$A,$A64,'Consumable Usage'!$D:$D,16))</f>
        <v/>
      </c>
      <c r="FN64" s="63" t="str">
        <f>IF($A64="","",SUMIFS('Nursing Charges'!$I:$I,'Nursing Charges'!$A:$A,$A64,'Nursing Charges'!$C:$C,16))</f>
        <v/>
      </c>
      <c r="FO64" s="63" t="str">
        <f>IF($A64="","",FL64+(FN64-SUMIFS('Nursing Charges'!$J:$J,'Nursing Charges'!$A:$A,$A64,'Nursing Charges'!$C:$C,16))+(FM64-SUMIFS('Consumable Usage'!$F:$F,'Consumable Usage'!$A:$A,$A64,'Consumable Usage'!$D:$D,16)))</f>
        <v/>
      </c>
      <c r="FP64" s="63" t="str">
        <f t="shared" si="49"/>
        <v/>
      </c>
      <c r="FQ64" s="63"/>
      <c r="FR64" s="63" t="str">
        <f t="shared" si="50"/>
        <v/>
      </c>
      <c r="FS64" s="53" t="str">
        <f t="shared" si="51"/>
        <v/>
      </c>
    </row>
    <row r="65" ht="15.0" customHeight="1">
      <c r="A65" s="15"/>
      <c r="B65" s="15"/>
      <c r="C65" s="15"/>
      <c r="D65" s="15"/>
      <c r="E65" s="15"/>
      <c r="F65" s="15"/>
      <c r="G65" s="15"/>
      <c r="H65" s="20"/>
      <c r="I65" s="12" t="str">
        <f>IF($A65="","",SUMIFS('Consumable Usage'!$E:$E,'Consumable Usage'!$A:$A,$A65,'Consumable Usage'!$D:$D,1))</f>
        <v/>
      </c>
      <c r="J65" s="12" t="str">
        <f>IF($A65="","",SUMIFS('Nursing Charges'!$I:$I,'Nursing Charges'!$A:$A,$A65,'Nursing Charges'!$C:$C,1))</f>
        <v/>
      </c>
      <c r="K65" s="12" t="str">
        <f>IF($A65="","",H65+(J65-SUMIFS('Nursing Charges'!$J:$J,'Nursing Charges'!$A:$A,$A65,'Nursing Charges'!$C:$C,1))+(I65-SUMIFS('Consumable Usage'!$F:$F,'Consumable Usage'!$A:$A,$A65,'Consumable Usage'!$D:$D,1)))</f>
        <v/>
      </c>
      <c r="L65" s="12" t="str">
        <f t="shared" si="1"/>
        <v/>
      </c>
      <c r="M65" s="20"/>
      <c r="N65" s="12" t="str">
        <f t="shared" si="2"/>
        <v/>
      </c>
      <c r="O65" s="45" t="str">
        <f t="shared" si="3"/>
        <v/>
      </c>
      <c r="P65" s="15"/>
      <c r="Q65" s="15"/>
      <c r="R65" s="20"/>
      <c r="S65" s="12" t="str">
        <f>IF($A65="","",SUMIFS('Consumable Usage'!$E:$E,'Consumable Usage'!$A:$A,$A65,'Consumable Usage'!$D:$D,2))</f>
        <v/>
      </c>
      <c r="T65" s="12" t="str">
        <f>IF($A65="","",SUMIFS('Nursing Charges'!$I:$I,'Nursing Charges'!$A:$A,$A65,'Nursing Charges'!$C:$C,2))</f>
        <v/>
      </c>
      <c r="U65" s="12" t="str">
        <f>IF($A65="","",R65+(T65-SUMIFS('Nursing Charges'!$J:$J,'Nursing Charges'!$A:$A,$A65,'Nursing Charges'!$C:$C,2))+(S65-SUMIFS('Consumable Usage'!$F:$F,'Consumable Usage'!$A:$A,$A65,'Consumable Usage'!$D:$D,2)))</f>
        <v/>
      </c>
      <c r="V65" s="12" t="str">
        <f t="shared" si="4"/>
        <v/>
      </c>
      <c r="W65" s="20"/>
      <c r="X65" s="12" t="str">
        <f t="shared" si="5"/>
        <v/>
      </c>
      <c r="Y65" s="45" t="str">
        <f t="shared" si="6"/>
        <v/>
      </c>
      <c r="Z65" s="15"/>
      <c r="AA65" s="15"/>
      <c r="AB65" s="20"/>
      <c r="AC65" s="12" t="str">
        <f>IF($A65="","",SUMIFS('Consumable Usage'!$E:$E,'Consumable Usage'!$A:$A,$A65,'Consumable Usage'!$D:$D,3))</f>
        <v/>
      </c>
      <c r="AD65" s="12" t="str">
        <f>IF($A65="","",SUMIFS('Nursing Charges'!$I:$I,'Nursing Charges'!$A:$A,$A65,'Nursing Charges'!$C:$C,3))</f>
        <v/>
      </c>
      <c r="AE65" s="12" t="str">
        <f>IF($A65="","",AB65+(AD65-SUMIFS('Nursing Charges'!$J:$J,'Nursing Charges'!$A:$A,$A65,'Nursing Charges'!$C:$C,3))+(AC65-SUMIFS('Consumable Usage'!$F:$F,'Consumable Usage'!$A:$A,$A65,'Consumable Usage'!$D:$D,3)))</f>
        <v/>
      </c>
      <c r="AF65" s="12" t="str">
        <f t="shared" si="7"/>
        <v/>
      </c>
      <c r="AG65" s="20"/>
      <c r="AH65" s="12" t="str">
        <f t="shared" si="8"/>
        <v/>
      </c>
      <c r="AI65" s="45" t="str">
        <f t="shared" si="9"/>
        <v/>
      </c>
      <c r="AJ65" s="15"/>
      <c r="AK65" s="15"/>
      <c r="AL65" s="20"/>
      <c r="AM65" s="12" t="str">
        <f>IF($A65="","",SUMIFS('Consumable Usage'!$E:$E,'Consumable Usage'!$A:$A,$A65,'Consumable Usage'!$D:$D,4))</f>
        <v/>
      </c>
      <c r="AN65" s="12" t="str">
        <f>IF($A65="","",SUMIFS('Nursing Charges'!$I:$I,'Nursing Charges'!$A:$A,$A65,'Nursing Charges'!$C:$C,4))</f>
        <v/>
      </c>
      <c r="AO65" s="12" t="str">
        <f>IF($A65="","",AL65+(AN65-SUMIFS('Nursing Charges'!$J:$J,'Nursing Charges'!$A:$A,$A65,'Nursing Charges'!$C:$C,4))+(AM65-SUMIFS('Consumable Usage'!$F:$F,'Consumable Usage'!$A:$A,$A65,'Consumable Usage'!$D:$D,4)))</f>
        <v/>
      </c>
      <c r="AP65" s="12" t="str">
        <f t="shared" si="10"/>
        <v/>
      </c>
      <c r="AQ65" s="20"/>
      <c r="AR65" s="12" t="str">
        <f t="shared" si="11"/>
        <v/>
      </c>
      <c r="AS65" s="45" t="str">
        <f t="shared" si="12"/>
        <v/>
      </c>
      <c r="AT65" s="15"/>
      <c r="AU65" s="15"/>
      <c r="AV65" s="20"/>
      <c r="AW65" s="12" t="str">
        <f>IF($A65="","",SUMIFS('Consumable Usage'!$E:$E,'Consumable Usage'!$A:$A,$A65,'Consumable Usage'!$D:$D,5))</f>
        <v/>
      </c>
      <c r="AX65" s="12" t="str">
        <f>IF($A65="","",SUMIFS('Nursing Charges'!$I:$I,'Nursing Charges'!$A:$A,$A65,'Nursing Charges'!$C:$C,5))</f>
        <v/>
      </c>
      <c r="AY65" s="12" t="str">
        <f>IF($A65="","",AV65+(AX65-SUMIFS('Nursing Charges'!$J:$J,'Nursing Charges'!$A:$A,$A65,'Nursing Charges'!$C:$C,5))+(AW65-SUMIFS('Consumable Usage'!$F:$F,'Consumable Usage'!$A:$A,$A65,'Consumable Usage'!$D:$D,5)))</f>
        <v/>
      </c>
      <c r="AZ65" s="12" t="str">
        <f t="shared" si="13"/>
        <v/>
      </c>
      <c r="BA65" s="20"/>
      <c r="BB65" s="12" t="str">
        <f t="shared" si="14"/>
        <v/>
      </c>
      <c r="BC65" s="45" t="str">
        <f t="shared" si="15"/>
        <v/>
      </c>
      <c r="BD65" s="15"/>
      <c r="BE65" s="15"/>
      <c r="BF65" s="20"/>
      <c r="BG65" s="12" t="str">
        <f>IF($A65="","",SUMIFS('Consumable Usage'!$E:$E,'Consumable Usage'!$A:$A,$A65,'Consumable Usage'!$D:$D,6))</f>
        <v/>
      </c>
      <c r="BH65" s="12" t="str">
        <f>IF($A65="","",SUMIFS('Nursing Charges'!$I:$I,'Nursing Charges'!$A:$A,$A65,'Nursing Charges'!$C:$C,6))</f>
        <v/>
      </c>
      <c r="BI65" s="12" t="str">
        <f>IF($A65="","",BF65+(BH65-SUMIFS('Nursing Charges'!$J:$J,'Nursing Charges'!$A:$A,$A65,'Nursing Charges'!$C:$C,6))+(BG65-SUMIFS('Consumable Usage'!$F:$F,'Consumable Usage'!$A:$A,$A65,'Consumable Usage'!$D:$D,6)))</f>
        <v/>
      </c>
      <c r="BJ65" s="12" t="str">
        <f t="shared" si="16"/>
        <v/>
      </c>
      <c r="BK65" s="20"/>
      <c r="BL65" s="12" t="str">
        <f t="shared" si="17"/>
        <v/>
      </c>
      <c r="BM65" s="45" t="str">
        <f t="shared" si="18"/>
        <v/>
      </c>
      <c r="BN65" s="15"/>
      <c r="BO65" s="15"/>
      <c r="BP65" s="20"/>
      <c r="BQ65" s="12" t="str">
        <f>IF($A65="","",SUMIFS('Consumable Usage'!$E:$E,'Consumable Usage'!$A:$A,$A65,'Consumable Usage'!$D:$D,7))</f>
        <v/>
      </c>
      <c r="BR65" s="12" t="str">
        <f>IF($A65="","",SUMIFS('Nursing Charges'!$I:$I,'Nursing Charges'!$A:$A,$A65,'Nursing Charges'!$C:$C,7))</f>
        <v/>
      </c>
      <c r="BS65" s="12" t="str">
        <f>IF($A65="","",BP65+(BR65-SUMIFS('Nursing Charges'!$J:$J,'Nursing Charges'!$A:$A,$A65,'Nursing Charges'!$C:$C,7))+(BQ65-SUMIFS('Consumable Usage'!$F:$F,'Consumable Usage'!$A:$A,$A65,'Consumable Usage'!$D:$D,7)))</f>
        <v/>
      </c>
      <c r="BT65" s="12" t="str">
        <f t="shared" si="19"/>
        <v/>
      </c>
      <c r="BU65" s="20"/>
      <c r="BV65" s="12" t="str">
        <f t="shared" si="20"/>
        <v/>
      </c>
      <c r="BW65" s="45" t="str">
        <f t="shared" si="21"/>
        <v/>
      </c>
      <c r="BX65" s="15"/>
      <c r="BY65" s="15"/>
      <c r="BZ65" s="20"/>
      <c r="CA65" s="12" t="str">
        <f>IF($A65="","",SUMIFS('Consumable Usage'!$E:$E,'Consumable Usage'!$A:$A,$A65,'Consumable Usage'!$D:$D,8))</f>
        <v/>
      </c>
      <c r="CB65" s="12" t="str">
        <f>IF($A65="","",SUMIFS('Nursing Charges'!$I:$I,'Nursing Charges'!$A:$A,$A65,'Nursing Charges'!$C:$C,8))</f>
        <v/>
      </c>
      <c r="CC65" s="12" t="str">
        <f>IF($A65="","",BZ65+(CB65-SUMIFS('Nursing Charges'!$J:$J,'Nursing Charges'!$A:$A,$A65,'Nursing Charges'!$C:$C,8))+(CA65-SUMIFS('Consumable Usage'!$F:$F,'Consumable Usage'!$A:$A,$A65,'Consumable Usage'!$D:$D,8)))</f>
        <v/>
      </c>
      <c r="CD65" s="12" t="str">
        <f t="shared" si="22"/>
        <v/>
      </c>
      <c r="CE65" s="20"/>
      <c r="CF65" s="12" t="str">
        <f t="shared" si="23"/>
        <v/>
      </c>
      <c r="CG65" s="45" t="str">
        <f t="shared" si="24"/>
        <v/>
      </c>
      <c r="CH65" s="15"/>
      <c r="CI65" s="15"/>
      <c r="CJ65" s="20"/>
      <c r="CK65" s="12" t="str">
        <f>IF($A65="","",SUMIFS('Consumable Usage'!$E:$E,'Consumable Usage'!$A:$A,$A65,'Consumable Usage'!$D:$D,9))</f>
        <v/>
      </c>
      <c r="CL65" s="12" t="str">
        <f>IF($A65="","",SUMIFS('Nursing Charges'!$I:$I,'Nursing Charges'!$A:$A,$A65,'Nursing Charges'!$C:$C,9))</f>
        <v/>
      </c>
      <c r="CM65" s="12" t="str">
        <f>IF($A65="","",CJ65+(CL65-SUMIFS('Nursing Charges'!$J:$J,'Nursing Charges'!$A:$A,$A65,'Nursing Charges'!$C:$C,9))+(CK65-SUMIFS('Consumable Usage'!$F:$F,'Consumable Usage'!$A:$A,$A65,'Consumable Usage'!$D:$D,9)))</f>
        <v/>
      </c>
      <c r="CN65" s="12" t="str">
        <f t="shared" si="25"/>
        <v/>
      </c>
      <c r="CO65" s="20"/>
      <c r="CP65" s="12" t="str">
        <f t="shared" si="26"/>
        <v/>
      </c>
      <c r="CQ65" s="45" t="str">
        <f t="shared" si="27"/>
        <v/>
      </c>
      <c r="CR65" s="15"/>
      <c r="CS65" s="15"/>
      <c r="CT65" s="20"/>
      <c r="CU65" s="12" t="str">
        <f>IF($A65="","",SUMIFS('Consumable Usage'!$E:$E,'Consumable Usage'!$A:$A,$A65,'Consumable Usage'!$D:$D,10))</f>
        <v/>
      </c>
      <c r="CV65" s="12" t="str">
        <f>IF($A65="","",SUMIFS('Nursing Charges'!$I:$I,'Nursing Charges'!$A:$A,$A65,'Nursing Charges'!$C:$C,10))</f>
        <v/>
      </c>
      <c r="CW65" s="12" t="str">
        <f>IF($A65="","",CT65+(CV65-SUMIFS('Nursing Charges'!$J:$J,'Nursing Charges'!$A:$A,$A65,'Nursing Charges'!$C:$C,10))+(CU65-SUMIFS('Consumable Usage'!$F:$F,'Consumable Usage'!$A:$A,$A65,'Consumable Usage'!$D:$D,10)))</f>
        <v/>
      </c>
      <c r="CX65" s="12" t="str">
        <f t="shared" si="28"/>
        <v/>
      </c>
      <c r="CY65" s="20"/>
      <c r="CZ65" s="12" t="str">
        <f t="shared" si="29"/>
        <v/>
      </c>
      <c r="DA65" s="45" t="str">
        <f t="shared" si="30"/>
        <v/>
      </c>
      <c r="DB65" s="15"/>
      <c r="DC65" s="15"/>
      <c r="DD65" s="20"/>
      <c r="DE65" s="12" t="str">
        <f>IF($A65="","",SUMIFS('Consumable Usage'!$E:$E,'Consumable Usage'!$A:$A,$A65,'Consumable Usage'!$D:$D,11))</f>
        <v/>
      </c>
      <c r="DF65" s="12" t="str">
        <f>IF($A65="","",SUMIFS('Nursing Charges'!$I:$I,'Nursing Charges'!$A:$A,$A65,'Nursing Charges'!$C:$C,11))</f>
        <v/>
      </c>
      <c r="DG65" s="12" t="str">
        <f>IF($A65="","",DD65+(DF65-SUMIFS('Nursing Charges'!$J:$J,'Nursing Charges'!$A:$A,$A65,'Nursing Charges'!$C:$C,11))+(DE65-SUMIFS('Consumable Usage'!$F:$F,'Consumable Usage'!$A:$A,$A65,'Consumable Usage'!$D:$D,11)))</f>
        <v/>
      </c>
      <c r="DH65" s="12" t="str">
        <f t="shared" si="31"/>
        <v/>
      </c>
      <c r="DI65" s="20"/>
      <c r="DJ65" s="12" t="str">
        <f t="shared" si="32"/>
        <v/>
      </c>
      <c r="DK65" s="45" t="str">
        <f t="shared" si="33"/>
        <v/>
      </c>
      <c r="DL65" s="15"/>
      <c r="DM65" s="15"/>
      <c r="DN65" s="20"/>
      <c r="DO65" s="12" t="str">
        <f>IF($A65="","",SUMIFS('Consumable Usage'!$E:$E,'Consumable Usage'!$A:$A,$A65,'Consumable Usage'!$D:$D,12))</f>
        <v/>
      </c>
      <c r="DP65" s="12" t="str">
        <f>IF($A65="","",SUMIFS('Nursing Charges'!$I:$I,'Nursing Charges'!$A:$A,$A65,'Nursing Charges'!$C:$C,12))</f>
        <v/>
      </c>
      <c r="DQ65" s="12" t="str">
        <f>IF($A65="","",DN65+(DP65-SUMIFS('Nursing Charges'!$J:$J,'Nursing Charges'!$A:$A,$A65,'Nursing Charges'!$C:$C,12))+(DO65-SUMIFS('Consumable Usage'!$F:$F,'Consumable Usage'!$A:$A,$A65,'Consumable Usage'!$D:$D,12)))</f>
        <v/>
      </c>
      <c r="DR65" s="12" t="str">
        <f t="shared" si="34"/>
        <v/>
      </c>
      <c r="DS65" s="20"/>
      <c r="DT65" s="12" t="str">
        <f t="shared" si="35"/>
        <v/>
      </c>
      <c r="DU65" s="45" t="str">
        <f t="shared" si="36"/>
        <v/>
      </c>
      <c r="DV65" s="15"/>
      <c r="DW65" s="15"/>
      <c r="DX65" s="20"/>
      <c r="DY65" s="12" t="str">
        <f>IF($A65="","",SUMIFS('Consumable Usage'!$E:$E,'Consumable Usage'!$A:$A,$A65,'Consumable Usage'!$D:$D,13))</f>
        <v/>
      </c>
      <c r="DZ65" s="12" t="str">
        <f>IF($A65="","",SUMIFS('Nursing Charges'!$I:$I,'Nursing Charges'!$A:$A,$A65,'Nursing Charges'!$C:$C,13))</f>
        <v/>
      </c>
      <c r="EA65" s="12" t="str">
        <f>IF($A65="","",DX65+(DZ65-SUMIFS('Nursing Charges'!$J:$J,'Nursing Charges'!$A:$A,$A65,'Nursing Charges'!$C:$C,13))+(DY65-SUMIFS('Consumable Usage'!$F:$F,'Consumable Usage'!$A:$A,$A65,'Consumable Usage'!$D:$D,13)))</f>
        <v/>
      </c>
      <c r="EB65" s="12" t="str">
        <f t="shared" si="37"/>
        <v/>
      </c>
      <c r="EC65" s="20"/>
      <c r="ED65" s="12" t="str">
        <f t="shared" si="38"/>
        <v/>
      </c>
      <c r="EE65" s="45" t="str">
        <f t="shared" si="39"/>
        <v/>
      </c>
      <c r="EF65" s="15"/>
      <c r="EG65" s="15"/>
      <c r="EH65" s="20"/>
      <c r="EI65" s="12" t="str">
        <f>IF($A65="","",SUMIFS('Consumable Usage'!$E:$E,'Consumable Usage'!$A:$A,$A65,'Consumable Usage'!$D:$D,14))</f>
        <v/>
      </c>
      <c r="EJ65" s="12" t="str">
        <f>IF($A65="","",SUMIFS('Nursing Charges'!$I:$I,'Nursing Charges'!$A:$A,$A65,'Nursing Charges'!$C:$C,14))</f>
        <v/>
      </c>
      <c r="EK65" s="12" t="str">
        <f>IF($A65="","",EH65+(EJ65-SUMIFS('Nursing Charges'!$J:$J,'Nursing Charges'!$A:$A,$A65,'Nursing Charges'!$C:$C,14))+(EI65-SUMIFS('Consumable Usage'!$F:$F,'Consumable Usage'!$A:$A,$A65,'Consumable Usage'!$D:$D,14)))</f>
        <v/>
      </c>
      <c r="EL65" s="12" t="str">
        <f t="shared" si="40"/>
        <v/>
      </c>
      <c r="EM65" s="20"/>
      <c r="EN65" s="12" t="str">
        <f t="shared" si="41"/>
        <v/>
      </c>
      <c r="EO65" s="45" t="str">
        <f t="shared" si="42"/>
        <v/>
      </c>
      <c r="EP65" s="15"/>
      <c r="EQ65" s="15"/>
      <c r="ER65" s="20"/>
      <c r="ES65" s="12" t="str">
        <f>IF($A65="","",SUMIFS('Consumable Usage'!$E:$E,'Consumable Usage'!$A:$A,$A65,'Consumable Usage'!$D:$D,15))</f>
        <v/>
      </c>
      <c r="ET65" s="12" t="str">
        <f>IF($A65="","",SUMIFS('Nursing Charges'!$I:$I,'Nursing Charges'!$A:$A,$A65,'Nursing Charges'!$C:$C,15))</f>
        <v/>
      </c>
      <c r="EU65" s="12" t="str">
        <f>IF($A65="","",ER65+(ET65-SUMIFS('Nursing Charges'!$J:$J,'Nursing Charges'!$A:$A,$A65,'Nursing Charges'!$C:$C,15))+(ES65-SUMIFS('Consumable Usage'!$F:$F,'Consumable Usage'!$A:$A,$A65,'Consumable Usage'!$D:$D,15)))</f>
        <v/>
      </c>
      <c r="EV65" s="12" t="str">
        <f t="shared" si="43"/>
        <v/>
      </c>
      <c r="EW65" s="20"/>
      <c r="EX65" s="12" t="str">
        <f t="shared" si="44"/>
        <v/>
      </c>
      <c r="EY65" s="45" t="str">
        <f t="shared" si="45"/>
        <v/>
      </c>
      <c r="EZ65" s="15"/>
      <c r="FA65" s="15"/>
      <c r="FB65" s="20"/>
      <c r="FC65" s="12" t="str">
        <f>IF($A65="","",SUMIFS('Consumable Usage'!$E:$E,'Consumable Usage'!$A:$A,$A65,'Consumable Usage'!$D:$D,16))</f>
        <v/>
      </c>
      <c r="FD65" s="12" t="str">
        <f>IF($A65="","",SUMIFS('Nursing Charges'!$I:$I,'Nursing Charges'!$A:$A,$A65,'Nursing Charges'!$C:$C,16))</f>
        <v/>
      </c>
      <c r="FE65" s="12" t="str">
        <f>IF($A65="","",FB65+(FD65-SUMIFS('Nursing Charges'!$J:$J,'Nursing Charges'!$A:$A,$A65,'Nursing Charges'!$C:$C,16))+(FC65-SUMIFS('Consumable Usage'!$F:$F,'Consumable Usage'!$A:$A,$A65,'Consumable Usage'!$D:$D,16)))</f>
        <v/>
      </c>
      <c r="FF65" s="12" t="str">
        <f t="shared" si="46"/>
        <v/>
      </c>
      <c r="FG65" s="20"/>
      <c r="FH65" s="12" t="str">
        <f t="shared" si="47"/>
        <v/>
      </c>
      <c r="FI65" s="45" t="str">
        <f t="shared" si="48"/>
        <v/>
      </c>
      <c r="FJ65" s="53"/>
      <c r="FK65" s="53"/>
      <c r="FL65" s="63"/>
      <c r="FM65" s="63" t="str">
        <f>IF($A65="","",SUMIFS('Consumable Usage'!$E:$E,'Consumable Usage'!$A:$A,$A65,'Consumable Usage'!$D:$D,16))</f>
        <v/>
      </c>
      <c r="FN65" s="63" t="str">
        <f>IF($A65="","",SUMIFS('Nursing Charges'!$I:$I,'Nursing Charges'!$A:$A,$A65,'Nursing Charges'!$C:$C,16))</f>
        <v/>
      </c>
      <c r="FO65" s="63" t="str">
        <f>IF($A65="","",FL65+(FN65-SUMIFS('Nursing Charges'!$J:$J,'Nursing Charges'!$A:$A,$A65,'Nursing Charges'!$C:$C,16))+(FM65-SUMIFS('Consumable Usage'!$F:$F,'Consumable Usage'!$A:$A,$A65,'Consumable Usage'!$D:$D,16)))</f>
        <v/>
      </c>
      <c r="FP65" s="63" t="str">
        <f t="shared" si="49"/>
        <v/>
      </c>
      <c r="FQ65" s="63"/>
      <c r="FR65" s="63" t="str">
        <f t="shared" si="50"/>
        <v/>
      </c>
      <c r="FS65" s="53" t="str">
        <f t="shared" si="51"/>
        <v/>
      </c>
    </row>
    <row r="66" ht="15.0" customHeight="1">
      <c r="A66" s="15"/>
      <c r="B66" s="15"/>
      <c r="C66" s="15"/>
      <c r="D66" s="15"/>
      <c r="E66" s="15"/>
      <c r="F66" s="15"/>
      <c r="G66" s="15"/>
      <c r="H66" s="20"/>
      <c r="I66" s="12" t="str">
        <f>IF($A66="","",SUMIFS('Consumable Usage'!$E:$E,'Consumable Usage'!$A:$A,$A66,'Consumable Usage'!$D:$D,1))</f>
        <v/>
      </c>
      <c r="J66" s="12" t="str">
        <f>IF($A66="","",SUMIFS('Nursing Charges'!$I:$I,'Nursing Charges'!$A:$A,$A66,'Nursing Charges'!$C:$C,1))</f>
        <v/>
      </c>
      <c r="K66" s="12" t="str">
        <f>IF($A66="","",H66+(J66-SUMIFS('Nursing Charges'!$J:$J,'Nursing Charges'!$A:$A,$A66,'Nursing Charges'!$C:$C,1))+(I66-SUMIFS('Consumable Usage'!$F:$F,'Consumable Usage'!$A:$A,$A66,'Consumable Usage'!$D:$D,1)))</f>
        <v/>
      </c>
      <c r="L66" s="12" t="str">
        <f t="shared" si="1"/>
        <v/>
      </c>
      <c r="M66" s="20"/>
      <c r="N66" s="12" t="str">
        <f t="shared" si="2"/>
        <v/>
      </c>
      <c r="O66" s="45" t="str">
        <f t="shared" si="3"/>
        <v/>
      </c>
      <c r="P66" s="15"/>
      <c r="Q66" s="15"/>
      <c r="R66" s="20"/>
      <c r="S66" s="12" t="str">
        <f>IF($A66="","",SUMIFS('Consumable Usage'!$E:$E,'Consumable Usage'!$A:$A,$A66,'Consumable Usage'!$D:$D,2))</f>
        <v/>
      </c>
      <c r="T66" s="12" t="str">
        <f>IF($A66="","",SUMIFS('Nursing Charges'!$I:$I,'Nursing Charges'!$A:$A,$A66,'Nursing Charges'!$C:$C,2))</f>
        <v/>
      </c>
      <c r="U66" s="12" t="str">
        <f>IF($A66="","",R66+(T66-SUMIFS('Nursing Charges'!$J:$J,'Nursing Charges'!$A:$A,$A66,'Nursing Charges'!$C:$C,2))+(S66-SUMIFS('Consumable Usage'!$F:$F,'Consumable Usage'!$A:$A,$A66,'Consumable Usage'!$D:$D,2)))</f>
        <v/>
      </c>
      <c r="V66" s="12" t="str">
        <f t="shared" si="4"/>
        <v/>
      </c>
      <c r="W66" s="20"/>
      <c r="X66" s="12" t="str">
        <f t="shared" si="5"/>
        <v/>
      </c>
      <c r="Y66" s="45" t="str">
        <f t="shared" si="6"/>
        <v/>
      </c>
      <c r="Z66" s="15"/>
      <c r="AA66" s="15"/>
      <c r="AB66" s="20"/>
      <c r="AC66" s="12" t="str">
        <f>IF($A66="","",SUMIFS('Consumable Usage'!$E:$E,'Consumable Usage'!$A:$A,$A66,'Consumable Usage'!$D:$D,3))</f>
        <v/>
      </c>
      <c r="AD66" s="12" t="str">
        <f>IF($A66="","",SUMIFS('Nursing Charges'!$I:$I,'Nursing Charges'!$A:$A,$A66,'Nursing Charges'!$C:$C,3))</f>
        <v/>
      </c>
      <c r="AE66" s="12" t="str">
        <f>IF($A66="","",AB66+(AD66-SUMIFS('Nursing Charges'!$J:$J,'Nursing Charges'!$A:$A,$A66,'Nursing Charges'!$C:$C,3))+(AC66-SUMIFS('Consumable Usage'!$F:$F,'Consumable Usage'!$A:$A,$A66,'Consumable Usage'!$D:$D,3)))</f>
        <v/>
      </c>
      <c r="AF66" s="12" t="str">
        <f t="shared" si="7"/>
        <v/>
      </c>
      <c r="AG66" s="20"/>
      <c r="AH66" s="12" t="str">
        <f t="shared" si="8"/>
        <v/>
      </c>
      <c r="AI66" s="45" t="str">
        <f t="shared" si="9"/>
        <v/>
      </c>
      <c r="AJ66" s="15"/>
      <c r="AK66" s="15"/>
      <c r="AL66" s="20"/>
      <c r="AM66" s="12" t="str">
        <f>IF($A66="","",SUMIFS('Consumable Usage'!$E:$E,'Consumable Usage'!$A:$A,$A66,'Consumable Usage'!$D:$D,4))</f>
        <v/>
      </c>
      <c r="AN66" s="12" t="str">
        <f>IF($A66="","",SUMIFS('Nursing Charges'!$I:$I,'Nursing Charges'!$A:$A,$A66,'Nursing Charges'!$C:$C,4))</f>
        <v/>
      </c>
      <c r="AO66" s="12" t="str">
        <f>IF($A66="","",AL66+(AN66-SUMIFS('Nursing Charges'!$J:$J,'Nursing Charges'!$A:$A,$A66,'Nursing Charges'!$C:$C,4))+(AM66-SUMIFS('Consumable Usage'!$F:$F,'Consumable Usage'!$A:$A,$A66,'Consumable Usage'!$D:$D,4)))</f>
        <v/>
      </c>
      <c r="AP66" s="12" t="str">
        <f t="shared" si="10"/>
        <v/>
      </c>
      <c r="AQ66" s="20"/>
      <c r="AR66" s="12" t="str">
        <f t="shared" si="11"/>
        <v/>
      </c>
      <c r="AS66" s="45" t="str">
        <f t="shared" si="12"/>
        <v/>
      </c>
      <c r="AT66" s="15"/>
      <c r="AU66" s="15"/>
      <c r="AV66" s="20"/>
      <c r="AW66" s="12" t="str">
        <f>IF($A66="","",SUMIFS('Consumable Usage'!$E:$E,'Consumable Usage'!$A:$A,$A66,'Consumable Usage'!$D:$D,5))</f>
        <v/>
      </c>
      <c r="AX66" s="12" t="str">
        <f>IF($A66="","",SUMIFS('Nursing Charges'!$I:$I,'Nursing Charges'!$A:$A,$A66,'Nursing Charges'!$C:$C,5))</f>
        <v/>
      </c>
      <c r="AY66" s="12" t="str">
        <f>IF($A66="","",AV66+(AX66-SUMIFS('Nursing Charges'!$J:$J,'Nursing Charges'!$A:$A,$A66,'Nursing Charges'!$C:$C,5))+(AW66-SUMIFS('Consumable Usage'!$F:$F,'Consumable Usage'!$A:$A,$A66,'Consumable Usage'!$D:$D,5)))</f>
        <v/>
      </c>
      <c r="AZ66" s="12" t="str">
        <f t="shared" si="13"/>
        <v/>
      </c>
      <c r="BA66" s="20"/>
      <c r="BB66" s="12" t="str">
        <f t="shared" si="14"/>
        <v/>
      </c>
      <c r="BC66" s="45" t="str">
        <f t="shared" si="15"/>
        <v/>
      </c>
      <c r="BD66" s="15"/>
      <c r="BE66" s="15"/>
      <c r="BF66" s="20"/>
      <c r="BG66" s="12" t="str">
        <f>IF($A66="","",SUMIFS('Consumable Usage'!$E:$E,'Consumable Usage'!$A:$A,$A66,'Consumable Usage'!$D:$D,6))</f>
        <v/>
      </c>
      <c r="BH66" s="12" t="str">
        <f>IF($A66="","",SUMIFS('Nursing Charges'!$I:$I,'Nursing Charges'!$A:$A,$A66,'Nursing Charges'!$C:$C,6))</f>
        <v/>
      </c>
      <c r="BI66" s="12" t="str">
        <f>IF($A66="","",BF66+(BH66-SUMIFS('Nursing Charges'!$J:$J,'Nursing Charges'!$A:$A,$A66,'Nursing Charges'!$C:$C,6))+(BG66-SUMIFS('Consumable Usage'!$F:$F,'Consumable Usage'!$A:$A,$A66,'Consumable Usage'!$D:$D,6)))</f>
        <v/>
      </c>
      <c r="BJ66" s="12" t="str">
        <f t="shared" si="16"/>
        <v/>
      </c>
      <c r="BK66" s="20"/>
      <c r="BL66" s="12" t="str">
        <f t="shared" si="17"/>
        <v/>
      </c>
      <c r="BM66" s="45" t="str">
        <f t="shared" si="18"/>
        <v/>
      </c>
      <c r="BN66" s="15"/>
      <c r="BO66" s="15"/>
      <c r="BP66" s="20"/>
      <c r="BQ66" s="12" t="str">
        <f>IF($A66="","",SUMIFS('Consumable Usage'!$E:$E,'Consumable Usage'!$A:$A,$A66,'Consumable Usage'!$D:$D,7))</f>
        <v/>
      </c>
      <c r="BR66" s="12" t="str">
        <f>IF($A66="","",SUMIFS('Nursing Charges'!$I:$I,'Nursing Charges'!$A:$A,$A66,'Nursing Charges'!$C:$C,7))</f>
        <v/>
      </c>
      <c r="BS66" s="12" t="str">
        <f>IF($A66="","",BP66+(BR66-SUMIFS('Nursing Charges'!$J:$J,'Nursing Charges'!$A:$A,$A66,'Nursing Charges'!$C:$C,7))+(BQ66-SUMIFS('Consumable Usage'!$F:$F,'Consumable Usage'!$A:$A,$A66,'Consumable Usage'!$D:$D,7)))</f>
        <v/>
      </c>
      <c r="BT66" s="12" t="str">
        <f t="shared" si="19"/>
        <v/>
      </c>
      <c r="BU66" s="20"/>
      <c r="BV66" s="12" t="str">
        <f t="shared" si="20"/>
        <v/>
      </c>
      <c r="BW66" s="45" t="str">
        <f t="shared" si="21"/>
        <v/>
      </c>
      <c r="BX66" s="15"/>
      <c r="BY66" s="15"/>
      <c r="BZ66" s="20"/>
      <c r="CA66" s="12" t="str">
        <f>IF($A66="","",SUMIFS('Consumable Usage'!$E:$E,'Consumable Usage'!$A:$A,$A66,'Consumable Usage'!$D:$D,8))</f>
        <v/>
      </c>
      <c r="CB66" s="12" t="str">
        <f>IF($A66="","",SUMIFS('Nursing Charges'!$I:$I,'Nursing Charges'!$A:$A,$A66,'Nursing Charges'!$C:$C,8))</f>
        <v/>
      </c>
      <c r="CC66" s="12" t="str">
        <f>IF($A66="","",BZ66+(CB66-SUMIFS('Nursing Charges'!$J:$J,'Nursing Charges'!$A:$A,$A66,'Nursing Charges'!$C:$C,8))+(CA66-SUMIFS('Consumable Usage'!$F:$F,'Consumable Usage'!$A:$A,$A66,'Consumable Usage'!$D:$D,8)))</f>
        <v/>
      </c>
      <c r="CD66" s="12" t="str">
        <f t="shared" si="22"/>
        <v/>
      </c>
      <c r="CE66" s="20"/>
      <c r="CF66" s="12" t="str">
        <f t="shared" si="23"/>
        <v/>
      </c>
      <c r="CG66" s="45" t="str">
        <f t="shared" si="24"/>
        <v/>
      </c>
      <c r="CH66" s="15"/>
      <c r="CI66" s="15"/>
      <c r="CJ66" s="20"/>
      <c r="CK66" s="12" t="str">
        <f>IF($A66="","",SUMIFS('Consumable Usage'!$E:$E,'Consumable Usage'!$A:$A,$A66,'Consumable Usage'!$D:$D,9))</f>
        <v/>
      </c>
      <c r="CL66" s="12" t="str">
        <f>IF($A66="","",SUMIFS('Nursing Charges'!$I:$I,'Nursing Charges'!$A:$A,$A66,'Nursing Charges'!$C:$C,9))</f>
        <v/>
      </c>
      <c r="CM66" s="12" t="str">
        <f>IF($A66="","",CJ66+(CL66-SUMIFS('Nursing Charges'!$J:$J,'Nursing Charges'!$A:$A,$A66,'Nursing Charges'!$C:$C,9))+(CK66-SUMIFS('Consumable Usage'!$F:$F,'Consumable Usage'!$A:$A,$A66,'Consumable Usage'!$D:$D,9)))</f>
        <v/>
      </c>
      <c r="CN66" s="12" t="str">
        <f t="shared" si="25"/>
        <v/>
      </c>
      <c r="CO66" s="20"/>
      <c r="CP66" s="12" t="str">
        <f t="shared" si="26"/>
        <v/>
      </c>
      <c r="CQ66" s="45" t="str">
        <f t="shared" si="27"/>
        <v/>
      </c>
      <c r="CR66" s="15"/>
      <c r="CS66" s="15"/>
      <c r="CT66" s="20"/>
      <c r="CU66" s="12" t="str">
        <f>IF($A66="","",SUMIFS('Consumable Usage'!$E:$E,'Consumable Usage'!$A:$A,$A66,'Consumable Usage'!$D:$D,10))</f>
        <v/>
      </c>
      <c r="CV66" s="12" t="str">
        <f>IF($A66="","",SUMIFS('Nursing Charges'!$I:$I,'Nursing Charges'!$A:$A,$A66,'Nursing Charges'!$C:$C,10))</f>
        <v/>
      </c>
      <c r="CW66" s="12" t="str">
        <f>IF($A66="","",CT66+(CV66-SUMIFS('Nursing Charges'!$J:$J,'Nursing Charges'!$A:$A,$A66,'Nursing Charges'!$C:$C,10))+(CU66-SUMIFS('Consumable Usage'!$F:$F,'Consumable Usage'!$A:$A,$A66,'Consumable Usage'!$D:$D,10)))</f>
        <v/>
      </c>
      <c r="CX66" s="12" t="str">
        <f t="shared" si="28"/>
        <v/>
      </c>
      <c r="CY66" s="20"/>
      <c r="CZ66" s="12" t="str">
        <f t="shared" si="29"/>
        <v/>
      </c>
      <c r="DA66" s="45" t="str">
        <f t="shared" si="30"/>
        <v/>
      </c>
      <c r="DB66" s="15"/>
      <c r="DC66" s="15"/>
      <c r="DD66" s="20"/>
      <c r="DE66" s="12" t="str">
        <f>IF($A66="","",SUMIFS('Consumable Usage'!$E:$E,'Consumable Usage'!$A:$A,$A66,'Consumable Usage'!$D:$D,11))</f>
        <v/>
      </c>
      <c r="DF66" s="12" t="str">
        <f>IF($A66="","",SUMIFS('Nursing Charges'!$I:$I,'Nursing Charges'!$A:$A,$A66,'Nursing Charges'!$C:$C,11))</f>
        <v/>
      </c>
      <c r="DG66" s="12" t="str">
        <f>IF($A66="","",DD66+(DF66-SUMIFS('Nursing Charges'!$J:$J,'Nursing Charges'!$A:$A,$A66,'Nursing Charges'!$C:$C,11))+(DE66-SUMIFS('Consumable Usage'!$F:$F,'Consumable Usage'!$A:$A,$A66,'Consumable Usage'!$D:$D,11)))</f>
        <v/>
      </c>
      <c r="DH66" s="12" t="str">
        <f t="shared" si="31"/>
        <v/>
      </c>
      <c r="DI66" s="20"/>
      <c r="DJ66" s="12" t="str">
        <f t="shared" si="32"/>
        <v/>
      </c>
      <c r="DK66" s="45" t="str">
        <f t="shared" si="33"/>
        <v/>
      </c>
      <c r="DL66" s="15"/>
      <c r="DM66" s="15"/>
      <c r="DN66" s="20"/>
      <c r="DO66" s="12" t="str">
        <f>IF($A66="","",SUMIFS('Consumable Usage'!$E:$E,'Consumable Usage'!$A:$A,$A66,'Consumable Usage'!$D:$D,12))</f>
        <v/>
      </c>
      <c r="DP66" s="12" t="str">
        <f>IF($A66="","",SUMIFS('Nursing Charges'!$I:$I,'Nursing Charges'!$A:$A,$A66,'Nursing Charges'!$C:$C,12))</f>
        <v/>
      </c>
      <c r="DQ66" s="12" t="str">
        <f>IF($A66="","",DN66+(DP66-SUMIFS('Nursing Charges'!$J:$J,'Nursing Charges'!$A:$A,$A66,'Nursing Charges'!$C:$C,12))+(DO66-SUMIFS('Consumable Usage'!$F:$F,'Consumable Usage'!$A:$A,$A66,'Consumable Usage'!$D:$D,12)))</f>
        <v/>
      </c>
      <c r="DR66" s="12" t="str">
        <f t="shared" si="34"/>
        <v/>
      </c>
      <c r="DS66" s="20"/>
      <c r="DT66" s="12" t="str">
        <f t="shared" si="35"/>
        <v/>
      </c>
      <c r="DU66" s="45" t="str">
        <f t="shared" si="36"/>
        <v/>
      </c>
      <c r="DV66" s="15"/>
      <c r="DW66" s="15"/>
      <c r="DX66" s="20"/>
      <c r="DY66" s="12" t="str">
        <f>IF($A66="","",SUMIFS('Consumable Usage'!$E:$E,'Consumable Usage'!$A:$A,$A66,'Consumable Usage'!$D:$D,13))</f>
        <v/>
      </c>
      <c r="DZ66" s="12" t="str">
        <f>IF($A66="","",SUMIFS('Nursing Charges'!$I:$I,'Nursing Charges'!$A:$A,$A66,'Nursing Charges'!$C:$C,13))</f>
        <v/>
      </c>
      <c r="EA66" s="12" t="str">
        <f>IF($A66="","",DX66+(DZ66-SUMIFS('Nursing Charges'!$J:$J,'Nursing Charges'!$A:$A,$A66,'Nursing Charges'!$C:$C,13))+(DY66-SUMIFS('Consumable Usage'!$F:$F,'Consumable Usage'!$A:$A,$A66,'Consumable Usage'!$D:$D,13)))</f>
        <v/>
      </c>
      <c r="EB66" s="12" t="str">
        <f t="shared" si="37"/>
        <v/>
      </c>
      <c r="EC66" s="20"/>
      <c r="ED66" s="12" t="str">
        <f t="shared" si="38"/>
        <v/>
      </c>
      <c r="EE66" s="45" t="str">
        <f t="shared" si="39"/>
        <v/>
      </c>
      <c r="EF66" s="15"/>
      <c r="EG66" s="15"/>
      <c r="EH66" s="20"/>
      <c r="EI66" s="12" t="str">
        <f>IF($A66="","",SUMIFS('Consumable Usage'!$E:$E,'Consumable Usage'!$A:$A,$A66,'Consumable Usage'!$D:$D,14))</f>
        <v/>
      </c>
      <c r="EJ66" s="12" t="str">
        <f>IF($A66="","",SUMIFS('Nursing Charges'!$I:$I,'Nursing Charges'!$A:$A,$A66,'Nursing Charges'!$C:$C,14))</f>
        <v/>
      </c>
      <c r="EK66" s="12" t="str">
        <f>IF($A66="","",EH66+(EJ66-SUMIFS('Nursing Charges'!$J:$J,'Nursing Charges'!$A:$A,$A66,'Nursing Charges'!$C:$C,14))+(EI66-SUMIFS('Consumable Usage'!$F:$F,'Consumable Usage'!$A:$A,$A66,'Consumable Usage'!$D:$D,14)))</f>
        <v/>
      </c>
      <c r="EL66" s="12" t="str">
        <f t="shared" si="40"/>
        <v/>
      </c>
      <c r="EM66" s="20"/>
      <c r="EN66" s="12" t="str">
        <f t="shared" si="41"/>
        <v/>
      </c>
      <c r="EO66" s="45" t="str">
        <f t="shared" si="42"/>
        <v/>
      </c>
      <c r="EP66" s="15"/>
      <c r="EQ66" s="15"/>
      <c r="ER66" s="20"/>
      <c r="ES66" s="12" t="str">
        <f>IF($A66="","",SUMIFS('Consumable Usage'!$E:$E,'Consumable Usage'!$A:$A,$A66,'Consumable Usage'!$D:$D,15))</f>
        <v/>
      </c>
      <c r="ET66" s="12" t="str">
        <f>IF($A66="","",SUMIFS('Nursing Charges'!$I:$I,'Nursing Charges'!$A:$A,$A66,'Nursing Charges'!$C:$C,15))</f>
        <v/>
      </c>
      <c r="EU66" s="12" t="str">
        <f>IF($A66="","",ER66+(ET66-SUMIFS('Nursing Charges'!$J:$J,'Nursing Charges'!$A:$A,$A66,'Nursing Charges'!$C:$C,15))+(ES66-SUMIFS('Consumable Usage'!$F:$F,'Consumable Usage'!$A:$A,$A66,'Consumable Usage'!$D:$D,15)))</f>
        <v/>
      </c>
      <c r="EV66" s="12" t="str">
        <f t="shared" si="43"/>
        <v/>
      </c>
      <c r="EW66" s="20"/>
      <c r="EX66" s="12" t="str">
        <f t="shared" si="44"/>
        <v/>
      </c>
      <c r="EY66" s="45" t="str">
        <f t="shared" si="45"/>
        <v/>
      </c>
      <c r="EZ66" s="15"/>
      <c r="FA66" s="15"/>
      <c r="FB66" s="20"/>
      <c r="FC66" s="12" t="str">
        <f>IF($A66="","",SUMIFS('Consumable Usage'!$E:$E,'Consumable Usage'!$A:$A,$A66,'Consumable Usage'!$D:$D,16))</f>
        <v/>
      </c>
      <c r="FD66" s="12" t="str">
        <f>IF($A66="","",SUMIFS('Nursing Charges'!$I:$I,'Nursing Charges'!$A:$A,$A66,'Nursing Charges'!$C:$C,16))</f>
        <v/>
      </c>
      <c r="FE66" s="12" t="str">
        <f>IF($A66="","",FB66+(FD66-SUMIFS('Nursing Charges'!$J:$J,'Nursing Charges'!$A:$A,$A66,'Nursing Charges'!$C:$C,16))+(FC66-SUMIFS('Consumable Usage'!$F:$F,'Consumable Usage'!$A:$A,$A66,'Consumable Usage'!$D:$D,16)))</f>
        <v/>
      </c>
      <c r="FF66" s="12" t="str">
        <f t="shared" si="46"/>
        <v/>
      </c>
      <c r="FG66" s="20"/>
      <c r="FH66" s="12" t="str">
        <f t="shared" si="47"/>
        <v/>
      </c>
      <c r="FI66" s="45" t="str">
        <f t="shared" si="48"/>
        <v/>
      </c>
      <c r="FJ66" s="53"/>
      <c r="FK66" s="53"/>
      <c r="FL66" s="63"/>
      <c r="FM66" s="63" t="str">
        <f>IF($A66="","",SUMIFS('Consumable Usage'!$E:$E,'Consumable Usage'!$A:$A,$A66,'Consumable Usage'!$D:$D,16))</f>
        <v/>
      </c>
      <c r="FN66" s="63" t="str">
        <f>IF($A66="","",SUMIFS('Nursing Charges'!$I:$I,'Nursing Charges'!$A:$A,$A66,'Nursing Charges'!$C:$C,16))</f>
        <v/>
      </c>
      <c r="FO66" s="63" t="str">
        <f>IF($A66="","",FL66+(FN66-SUMIFS('Nursing Charges'!$J:$J,'Nursing Charges'!$A:$A,$A66,'Nursing Charges'!$C:$C,16))+(FM66-SUMIFS('Consumable Usage'!$F:$F,'Consumable Usage'!$A:$A,$A66,'Consumable Usage'!$D:$D,16)))</f>
        <v/>
      </c>
      <c r="FP66" s="63" t="str">
        <f t="shared" si="49"/>
        <v/>
      </c>
      <c r="FQ66" s="63"/>
      <c r="FR66" s="63" t="str">
        <f t="shared" si="50"/>
        <v/>
      </c>
      <c r="FS66" s="53" t="str">
        <f t="shared" si="51"/>
        <v/>
      </c>
    </row>
    <row r="67" ht="15.0" customHeight="1">
      <c r="A67" s="15"/>
      <c r="B67" s="15"/>
      <c r="C67" s="15"/>
      <c r="D67" s="15"/>
      <c r="E67" s="15"/>
      <c r="F67" s="15"/>
      <c r="G67" s="15"/>
      <c r="H67" s="20"/>
      <c r="I67" s="12" t="str">
        <f>IF($A67="","",SUMIFS('Consumable Usage'!$E:$E,'Consumable Usage'!$A:$A,$A67,'Consumable Usage'!$D:$D,1))</f>
        <v/>
      </c>
      <c r="J67" s="12" t="str">
        <f>IF($A67="","",SUMIFS('Nursing Charges'!$I:$I,'Nursing Charges'!$A:$A,$A67,'Nursing Charges'!$C:$C,1))</f>
        <v/>
      </c>
      <c r="K67" s="12" t="str">
        <f>IF($A67="","",H67+(J67-SUMIFS('Nursing Charges'!$J:$J,'Nursing Charges'!$A:$A,$A67,'Nursing Charges'!$C:$C,1))+(I67-SUMIFS('Consumable Usage'!$F:$F,'Consumable Usage'!$A:$A,$A67,'Consumable Usage'!$D:$D,1)))</f>
        <v/>
      </c>
      <c r="L67" s="12" t="str">
        <f t="shared" si="1"/>
        <v/>
      </c>
      <c r="M67" s="20"/>
      <c r="N67" s="12" t="str">
        <f t="shared" si="2"/>
        <v/>
      </c>
      <c r="O67" s="45" t="str">
        <f t="shared" si="3"/>
        <v/>
      </c>
      <c r="P67" s="15"/>
      <c r="Q67" s="15"/>
      <c r="R67" s="20"/>
      <c r="S67" s="12" t="str">
        <f>IF($A67="","",SUMIFS('Consumable Usage'!$E:$E,'Consumable Usage'!$A:$A,$A67,'Consumable Usage'!$D:$D,2))</f>
        <v/>
      </c>
      <c r="T67" s="12" t="str">
        <f>IF($A67="","",SUMIFS('Nursing Charges'!$I:$I,'Nursing Charges'!$A:$A,$A67,'Nursing Charges'!$C:$C,2))</f>
        <v/>
      </c>
      <c r="U67" s="12" t="str">
        <f>IF($A67="","",R67+(T67-SUMIFS('Nursing Charges'!$J:$J,'Nursing Charges'!$A:$A,$A67,'Nursing Charges'!$C:$C,2))+(S67-SUMIFS('Consumable Usage'!$F:$F,'Consumable Usage'!$A:$A,$A67,'Consumable Usage'!$D:$D,2)))</f>
        <v/>
      </c>
      <c r="V67" s="12" t="str">
        <f t="shared" si="4"/>
        <v/>
      </c>
      <c r="W67" s="20"/>
      <c r="X67" s="12" t="str">
        <f t="shared" si="5"/>
        <v/>
      </c>
      <c r="Y67" s="45" t="str">
        <f t="shared" si="6"/>
        <v/>
      </c>
      <c r="Z67" s="15"/>
      <c r="AA67" s="15"/>
      <c r="AB67" s="20"/>
      <c r="AC67" s="12" t="str">
        <f>IF($A67="","",SUMIFS('Consumable Usage'!$E:$E,'Consumable Usage'!$A:$A,$A67,'Consumable Usage'!$D:$D,3))</f>
        <v/>
      </c>
      <c r="AD67" s="12" t="str">
        <f>IF($A67="","",SUMIFS('Nursing Charges'!$I:$I,'Nursing Charges'!$A:$A,$A67,'Nursing Charges'!$C:$C,3))</f>
        <v/>
      </c>
      <c r="AE67" s="12" t="str">
        <f>IF($A67="","",AB67+(AD67-SUMIFS('Nursing Charges'!$J:$J,'Nursing Charges'!$A:$A,$A67,'Nursing Charges'!$C:$C,3))+(AC67-SUMIFS('Consumable Usage'!$F:$F,'Consumable Usage'!$A:$A,$A67,'Consumable Usage'!$D:$D,3)))</f>
        <v/>
      </c>
      <c r="AF67" s="12" t="str">
        <f t="shared" si="7"/>
        <v/>
      </c>
      <c r="AG67" s="20"/>
      <c r="AH67" s="12" t="str">
        <f t="shared" si="8"/>
        <v/>
      </c>
      <c r="AI67" s="45" t="str">
        <f t="shared" si="9"/>
        <v/>
      </c>
      <c r="AJ67" s="15"/>
      <c r="AK67" s="15"/>
      <c r="AL67" s="20"/>
      <c r="AM67" s="12" t="str">
        <f>IF($A67="","",SUMIFS('Consumable Usage'!$E:$E,'Consumable Usage'!$A:$A,$A67,'Consumable Usage'!$D:$D,4))</f>
        <v/>
      </c>
      <c r="AN67" s="12" t="str">
        <f>IF($A67="","",SUMIFS('Nursing Charges'!$I:$I,'Nursing Charges'!$A:$A,$A67,'Nursing Charges'!$C:$C,4))</f>
        <v/>
      </c>
      <c r="AO67" s="12" t="str">
        <f>IF($A67="","",AL67+(AN67-SUMIFS('Nursing Charges'!$J:$J,'Nursing Charges'!$A:$A,$A67,'Nursing Charges'!$C:$C,4))+(AM67-SUMIFS('Consumable Usage'!$F:$F,'Consumable Usage'!$A:$A,$A67,'Consumable Usage'!$D:$D,4)))</f>
        <v/>
      </c>
      <c r="AP67" s="12" t="str">
        <f t="shared" si="10"/>
        <v/>
      </c>
      <c r="AQ67" s="20"/>
      <c r="AR67" s="12" t="str">
        <f t="shared" si="11"/>
        <v/>
      </c>
      <c r="AS67" s="45" t="str">
        <f t="shared" si="12"/>
        <v/>
      </c>
      <c r="AT67" s="15"/>
      <c r="AU67" s="15"/>
      <c r="AV67" s="20"/>
      <c r="AW67" s="12" t="str">
        <f>IF($A67="","",SUMIFS('Consumable Usage'!$E:$E,'Consumable Usage'!$A:$A,$A67,'Consumable Usage'!$D:$D,5))</f>
        <v/>
      </c>
      <c r="AX67" s="12" t="str">
        <f>IF($A67="","",SUMIFS('Nursing Charges'!$I:$I,'Nursing Charges'!$A:$A,$A67,'Nursing Charges'!$C:$C,5))</f>
        <v/>
      </c>
      <c r="AY67" s="12" t="str">
        <f>IF($A67="","",AV67+(AX67-SUMIFS('Nursing Charges'!$J:$J,'Nursing Charges'!$A:$A,$A67,'Nursing Charges'!$C:$C,5))+(AW67-SUMIFS('Consumable Usage'!$F:$F,'Consumable Usage'!$A:$A,$A67,'Consumable Usage'!$D:$D,5)))</f>
        <v/>
      </c>
      <c r="AZ67" s="12" t="str">
        <f t="shared" si="13"/>
        <v/>
      </c>
      <c r="BA67" s="20"/>
      <c r="BB67" s="12" t="str">
        <f t="shared" si="14"/>
        <v/>
      </c>
      <c r="BC67" s="45" t="str">
        <f t="shared" si="15"/>
        <v/>
      </c>
      <c r="BD67" s="15"/>
      <c r="BE67" s="15"/>
      <c r="BF67" s="20"/>
      <c r="BG67" s="12" t="str">
        <f>IF($A67="","",SUMIFS('Consumable Usage'!$E:$E,'Consumable Usage'!$A:$A,$A67,'Consumable Usage'!$D:$D,6))</f>
        <v/>
      </c>
      <c r="BH67" s="12" t="str">
        <f>IF($A67="","",SUMIFS('Nursing Charges'!$I:$I,'Nursing Charges'!$A:$A,$A67,'Nursing Charges'!$C:$C,6))</f>
        <v/>
      </c>
      <c r="BI67" s="12" t="str">
        <f>IF($A67="","",BF67+(BH67-SUMIFS('Nursing Charges'!$J:$J,'Nursing Charges'!$A:$A,$A67,'Nursing Charges'!$C:$C,6))+(BG67-SUMIFS('Consumable Usage'!$F:$F,'Consumable Usage'!$A:$A,$A67,'Consumable Usage'!$D:$D,6)))</f>
        <v/>
      </c>
      <c r="BJ67" s="12" t="str">
        <f t="shared" si="16"/>
        <v/>
      </c>
      <c r="BK67" s="20"/>
      <c r="BL67" s="12" t="str">
        <f t="shared" si="17"/>
        <v/>
      </c>
      <c r="BM67" s="45" t="str">
        <f t="shared" si="18"/>
        <v/>
      </c>
      <c r="BN67" s="15"/>
      <c r="BO67" s="15"/>
      <c r="BP67" s="20"/>
      <c r="BQ67" s="12" t="str">
        <f>IF($A67="","",SUMIFS('Consumable Usage'!$E:$E,'Consumable Usage'!$A:$A,$A67,'Consumable Usage'!$D:$D,7))</f>
        <v/>
      </c>
      <c r="BR67" s="12" t="str">
        <f>IF($A67="","",SUMIFS('Nursing Charges'!$I:$I,'Nursing Charges'!$A:$A,$A67,'Nursing Charges'!$C:$C,7))</f>
        <v/>
      </c>
      <c r="BS67" s="12" t="str">
        <f>IF($A67="","",BP67+(BR67-SUMIFS('Nursing Charges'!$J:$J,'Nursing Charges'!$A:$A,$A67,'Nursing Charges'!$C:$C,7))+(BQ67-SUMIFS('Consumable Usage'!$F:$F,'Consumable Usage'!$A:$A,$A67,'Consumable Usage'!$D:$D,7)))</f>
        <v/>
      </c>
      <c r="BT67" s="12" t="str">
        <f t="shared" si="19"/>
        <v/>
      </c>
      <c r="BU67" s="20"/>
      <c r="BV67" s="12" t="str">
        <f t="shared" si="20"/>
        <v/>
      </c>
      <c r="BW67" s="45" t="str">
        <f t="shared" si="21"/>
        <v/>
      </c>
      <c r="BX67" s="15"/>
      <c r="BY67" s="15"/>
      <c r="BZ67" s="20"/>
      <c r="CA67" s="12" t="str">
        <f>IF($A67="","",SUMIFS('Consumable Usage'!$E:$E,'Consumable Usage'!$A:$A,$A67,'Consumable Usage'!$D:$D,8))</f>
        <v/>
      </c>
      <c r="CB67" s="12" t="str">
        <f>IF($A67="","",SUMIFS('Nursing Charges'!$I:$I,'Nursing Charges'!$A:$A,$A67,'Nursing Charges'!$C:$C,8))</f>
        <v/>
      </c>
      <c r="CC67" s="12" t="str">
        <f>IF($A67="","",BZ67+(CB67-SUMIFS('Nursing Charges'!$J:$J,'Nursing Charges'!$A:$A,$A67,'Nursing Charges'!$C:$C,8))+(CA67-SUMIFS('Consumable Usage'!$F:$F,'Consumable Usage'!$A:$A,$A67,'Consumable Usage'!$D:$D,8)))</f>
        <v/>
      </c>
      <c r="CD67" s="12" t="str">
        <f t="shared" si="22"/>
        <v/>
      </c>
      <c r="CE67" s="20"/>
      <c r="CF67" s="12" t="str">
        <f t="shared" si="23"/>
        <v/>
      </c>
      <c r="CG67" s="45" t="str">
        <f t="shared" si="24"/>
        <v/>
      </c>
      <c r="CH67" s="15"/>
      <c r="CI67" s="15"/>
      <c r="CJ67" s="20"/>
      <c r="CK67" s="12" t="str">
        <f>IF($A67="","",SUMIFS('Consumable Usage'!$E:$E,'Consumable Usage'!$A:$A,$A67,'Consumable Usage'!$D:$D,9))</f>
        <v/>
      </c>
      <c r="CL67" s="12" t="str">
        <f>IF($A67="","",SUMIFS('Nursing Charges'!$I:$I,'Nursing Charges'!$A:$A,$A67,'Nursing Charges'!$C:$C,9))</f>
        <v/>
      </c>
      <c r="CM67" s="12" t="str">
        <f>IF($A67="","",CJ67+(CL67-SUMIFS('Nursing Charges'!$J:$J,'Nursing Charges'!$A:$A,$A67,'Nursing Charges'!$C:$C,9))+(CK67-SUMIFS('Consumable Usage'!$F:$F,'Consumable Usage'!$A:$A,$A67,'Consumable Usage'!$D:$D,9)))</f>
        <v/>
      </c>
      <c r="CN67" s="12" t="str">
        <f t="shared" si="25"/>
        <v/>
      </c>
      <c r="CO67" s="20"/>
      <c r="CP67" s="12" t="str">
        <f t="shared" si="26"/>
        <v/>
      </c>
      <c r="CQ67" s="45" t="str">
        <f t="shared" si="27"/>
        <v/>
      </c>
      <c r="CR67" s="15"/>
      <c r="CS67" s="15"/>
      <c r="CT67" s="20"/>
      <c r="CU67" s="12" t="str">
        <f>IF($A67="","",SUMIFS('Consumable Usage'!$E:$E,'Consumable Usage'!$A:$A,$A67,'Consumable Usage'!$D:$D,10))</f>
        <v/>
      </c>
      <c r="CV67" s="12" t="str">
        <f>IF($A67="","",SUMIFS('Nursing Charges'!$I:$I,'Nursing Charges'!$A:$A,$A67,'Nursing Charges'!$C:$C,10))</f>
        <v/>
      </c>
      <c r="CW67" s="12" t="str">
        <f>IF($A67="","",CT67+(CV67-SUMIFS('Nursing Charges'!$J:$J,'Nursing Charges'!$A:$A,$A67,'Nursing Charges'!$C:$C,10))+(CU67-SUMIFS('Consumable Usage'!$F:$F,'Consumable Usage'!$A:$A,$A67,'Consumable Usage'!$D:$D,10)))</f>
        <v/>
      </c>
      <c r="CX67" s="12" t="str">
        <f t="shared" si="28"/>
        <v/>
      </c>
      <c r="CY67" s="20"/>
      <c r="CZ67" s="12" t="str">
        <f t="shared" si="29"/>
        <v/>
      </c>
      <c r="DA67" s="45" t="str">
        <f t="shared" si="30"/>
        <v/>
      </c>
      <c r="DB67" s="15"/>
      <c r="DC67" s="15"/>
      <c r="DD67" s="20"/>
      <c r="DE67" s="12" t="str">
        <f>IF($A67="","",SUMIFS('Consumable Usage'!$E:$E,'Consumable Usage'!$A:$A,$A67,'Consumable Usage'!$D:$D,11))</f>
        <v/>
      </c>
      <c r="DF67" s="12" t="str">
        <f>IF($A67="","",SUMIFS('Nursing Charges'!$I:$I,'Nursing Charges'!$A:$A,$A67,'Nursing Charges'!$C:$C,11))</f>
        <v/>
      </c>
      <c r="DG67" s="12" t="str">
        <f>IF($A67="","",DD67+(DF67-SUMIFS('Nursing Charges'!$J:$J,'Nursing Charges'!$A:$A,$A67,'Nursing Charges'!$C:$C,11))+(DE67-SUMIFS('Consumable Usage'!$F:$F,'Consumable Usage'!$A:$A,$A67,'Consumable Usage'!$D:$D,11)))</f>
        <v/>
      </c>
      <c r="DH67" s="12" t="str">
        <f t="shared" si="31"/>
        <v/>
      </c>
      <c r="DI67" s="20"/>
      <c r="DJ67" s="12" t="str">
        <f t="shared" si="32"/>
        <v/>
      </c>
      <c r="DK67" s="45" t="str">
        <f t="shared" si="33"/>
        <v/>
      </c>
      <c r="DL67" s="15"/>
      <c r="DM67" s="15"/>
      <c r="DN67" s="20"/>
      <c r="DO67" s="12" t="str">
        <f>IF($A67="","",SUMIFS('Consumable Usage'!$E:$E,'Consumable Usage'!$A:$A,$A67,'Consumable Usage'!$D:$D,12))</f>
        <v/>
      </c>
      <c r="DP67" s="12" t="str">
        <f>IF($A67="","",SUMIFS('Nursing Charges'!$I:$I,'Nursing Charges'!$A:$A,$A67,'Nursing Charges'!$C:$C,12))</f>
        <v/>
      </c>
      <c r="DQ67" s="12" t="str">
        <f>IF($A67="","",DN67+(DP67-SUMIFS('Nursing Charges'!$J:$J,'Nursing Charges'!$A:$A,$A67,'Nursing Charges'!$C:$C,12))+(DO67-SUMIFS('Consumable Usage'!$F:$F,'Consumable Usage'!$A:$A,$A67,'Consumable Usage'!$D:$D,12)))</f>
        <v/>
      </c>
      <c r="DR67" s="12" t="str">
        <f t="shared" si="34"/>
        <v/>
      </c>
      <c r="DS67" s="20"/>
      <c r="DT67" s="12" t="str">
        <f t="shared" si="35"/>
        <v/>
      </c>
      <c r="DU67" s="45" t="str">
        <f t="shared" si="36"/>
        <v/>
      </c>
      <c r="DV67" s="15"/>
      <c r="DW67" s="15"/>
      <c r="DX67" s="20"/>
      <c r="DY67" s="12" t="str">
        <f>IF($A67="","",SUMIFS('Consumable Usage'!$E:$E,'Consumable Usage'!$A:$A,$A67,'Consumable Usage'!$D:$D,13))</f>
        <v/>
      </c>
      <c r="DZ67" s="12" t="str">
        <f>IF($A67="","",SUMIFS('Nursing Charges'!$I:$I,'Nursing Charges'!$A:$A,$A67,'Nursing Charges'!$C:$C,13))</f>
        <v/>
      </c>
      <c r="EA67" s="12" t="str">
        <f>IF($A67="","",DX67+(DZ67-SUMIFS('Nursing Charges'!$J:$J,'Nursing Charges'!$A:$A,$A67,'Nursing Charges'!$C:$C,13))+(DY67-SUMIFS('Consumable Usage'!$F:$F,'Consumable Usage'!$A:$A,$A67,'Consumable Usage'!$D:$D,13)))</f>
        <v/>
      </c>
      <c r="EB67" s="12" t="str">
        <f t="shared" si="37"/>
        <v/>
      </c>
      <c r="EC67" s="20"/>
      <c r="ED67" s="12" t="str">
        <f t="shared" si="38"/>
        <v/>
      </c>
      <c r="EE67" s="45" t="str">
        <f t="shared" si="39"/>
        <v/>
      </c>
      <c r="EF67" s="15"/>
      <c r="EG67" s="15"/>
      <c r="EH67" s="20"/>
      <c r="EI67" s="12" t="str">
        <f>IF($A67="","",SUMIFS('Consumable Usage'!$E:$E,'Consumable Usage'!$A:$A,$A67,'Consumable Usage'!$D:$D,14))</f>
        <v/>
      </c>
      <c r="EJ67" s="12" t="str">
        <f>IF($A67="","",SUMIFS('Nursing Charges'!$I:$I,'Nursing Charges'!$A:$A,$A67,'Nursing Charges'!$C:$C,14))</f>
        <v/>
      </c>
      <c r="EK67" s="12" t="str">
        <f>IF($A67="","",EH67+(EJ67-SUMIFS('Nursing Charges'!$J:$J,'Nursing Charges'!$A:$A,$A67,'Nursing Charges'!$C:$C,14))+(EI67-SUMIFS('Consumable Usage'!$F:$F,'Consumable Usage'!$A:$A,$A67,'Consumable Usage'!$D:$D,14)))</f>
        <v/>
      </c>
      <c r="EL67" s="12" t="str">
        <f t="shared" si="40"/>
        <v/>
      </c>
      <c r="EM67" s="20"/>
      <c r="EN67" s="12" t="str">
        <f t="shared" si="41"/>
        <v/>
      </c>
      <c r="EO67" s="45" t="str">
        <f t="shared" si="42"/>
        <v/>
      </c>
      <c r="EP67" s="15"/>
      <c r="EQ67" s="15"/>
      <c r="ER67" s="20"/>
      <c r="ES67" s="12" t="str">
        <f>IF($A67="","",SUMIFS('Consumable Usage'!$E:$E,'Consumable Usage'!$A:$A,$A67,'Consumable Usage'!$D:$D,15))</f>
        <v/>
      </c>
      <c r="ET67" s="12" t="str">
        <f>IF($A67="","",SUMIFS('Nursing Charges'!$I:$I,'Nursing Charges'!$A:$A,$A67,'Nursing Charges'!$C:$C,15))</f>
        <v/>
      </c>
      <c r="EU67" s="12" t="str">
        <f>IF($A67="","",ER67+(ET67-SUMIFS('Nursing Charges'!$J:$J,'Nursing Charges'!$A:$A,$A67,'Nursing Charges'!$C:$C,15))+(ES67-SUMIFS('Consumable Usage'!$F:$F,'Consumable Usage'!$A:$A,$A67,'Consumable Usage'!$D:$D,15)))</f>
        <v/>
      </c>
      <c r="EV67" s="12" t="str">
        <f t="shared" si="43"/>
        <v/>
      </c>
      <c r="EW67" s="20"/>
      <c r="EX67" s="12" t="str">
        <f t="shared" si="44"/>
        <v/>
      </c>
      <c r="EY67" s="45" t="str">
        <f t="shared" si="45"/>
        <v/>
      </c>
      <c r="EZ67" s="15"/>
      <c r="FA67" s="15"/>
      <c r="FB67" s="20"/>
      <c r="FC67" s="12" t="str">
        <f>IF($A67="","",SUMIFS('Consumable Usage'!$E:$E,'Consumable Usage'!$A:$A,$A67,'Consumable Usage'!$D:$D,16))</f>
        <v/>
      </c>
      <c r="FD67" s="12" t="str">
        <f>IF($A67="","",SUMIFS('Nursing Charges'!$I:$I,'Nursing Charges'!$A:$A,$A67,'Nursing Charges'!$C:$C,16))</f>
        <v/>
      </c>
      <c r="FE67" s="12" t="str">
        <f>IF($A67="","",FB67+(FD67-SUMIFS('Nursing Charges'!$J:$J,'Nursing Charges'!$A:$A,$A67,'Nursing Charges'!$C:$C,16))+(FC67-SUMIFS('Consumable Usage'!$F:$F,'Consumable Usage'!$A:$A,$A67,'Consumable Usage'!$D:$D,16)))</f>
        <v/>
      </c>
      <c r="FF67" s="12" t="str">
        <f t="shared" si="46"/>
        <v/>
      </c>
      <c r="FG67" s="20"/>
      <c r="FH67" s="12" t="str">
        <f t="shared" si="47"/>
        <v/>
      </c>
      <c r="FI67" s="45" t="str">
        <f t="shared" si="48"/>
        <v/>
      </c>
      <c r="FJ67" s="53"/>
      <c r="FK67" s="53"/>
      <c r="FL67" s="63"/>
      <c r="FM67" s="63" t="str">
        <f>IF($A67="","",SUMIFS('Consumable Usage'!$E:$E,'Consumable Usage'!$A:$A,$A67,'Consumable Usage'!$D:$D,16))</f>
        <v/>
      </c>
      <c r="FN67" s="63" t="str">
        <f>IF($A67="","",SUMIFS('Nursing Charges'!$I:$I,'Nursing Charges'!$A:$A,$A67,'Nursing Charges'!$C:$C,16))</f>
        <v/>
      </c>
      <c r="FO67" s="63" t="str">
        <f>IF($A67="","",FL67+(FN67-SUMIFS('Nursing Charges'!$J:$J,'Nursing Charges'!$A:$A,$A67,'Nursing Charges'!$C:$C,16))+(FM67-SUMIFS('Consumable Usage'!$F:$F,'Consumable Usage'!$A:$A,$A67,'Consumable Usage'!$D:$D,16)))</f>
        <v/>
      </c>
      <c r="FP67" s="63" t="str">
        <f t="shared" si="49"/>
        <v/>
      </c>
      <c r="FQ67" s="63"/>
      <c r="FR67" s="63" t="str">
        <f t="shared" si="50"/>
        <v/>
      </c>
      <c r="FS67" s="53" t="str">
        <f t="shared" si="51"/>
        <v/>
      </c>
    </row>
    <row r="68" ht="15.0" customHeight="1">
      <c r="A68" s="15"/>
      <c r="B68" s="15"/>
      <c r="C68" s="15"/>
      <c r="D68" s="15"/>
      <c r="E68" s="15"/>
      <c r="F68" s="15"/>
      <c r="G68" s="15"/>
      <c r="H68" s="20"/>
      <c r="I68" s="12" t="str">
        <f>IF($A68="","",SUMIFS('Consumable Usage'!$E:$E,'Consumable Usage'!$A:$A,$A68,'Consumable Usage'!$D:$D,1))</f>
        <v/>
      </c>
      <c r="J68" s="12" t="str">
        <f>IF($A68="","",SUMIFS('Nursing Charges'!$I:$I,'Nursing Charges'!$A:$A,$A68,'Nursing Charges'!$C:$C,1))</f>
        <v/>
      </c>
      <c r="K68" s="12" t="str">
        <f>IF($A68="","",H68+(J68-SUMIFS('Nursing Charges'!$J:$J,'Nursing Charges'!$A:$A,$A68,'Nursing Charges'!$C:$C,1))+(I68-SUMIFS('Consumable Usage'!$F:$F,'Consumable Usage'!$A:$A,$A68,'Consumable Usage'!$D:$D,1)))</f>
        <v/>
      </c>
      <c r="L68" s="12" t="str">
        <f t="shared" si="1"/>
        <v/>
      </c>
      <c r="M68" s="20"/>
      <c r="N68" s="12" t="str">
        <f t="shared" si="2"/>
        <v/>
      </c>
      <c r="O68" s="45" t="str">
        <f t="shared" si="3"/>
        <v/>
      </c>
      <c r="P68" s="15"/>
      <c r="Q68" s="15"/>
      <c r="R68" s="20"/>
      <c r="S68" s="12" t="str">
        <f>IF($A68="","",SUMIFS('Consumable Usage'!$E:$E,'Consumable Usage'!$A:$A,$A68,'Consumable Usage'!$D:$D,2))</f>
        <v/>
      </c>
      <c r="T68" s="12" t="str">
        <f>IF($A68="","",SUMIFS('Nursing Charges'!$I:$I,'Nursing Charges'!$A:$A,$A68,'Nursing Charges'!$C:$C,2))</f>
        <v/>
      </c>
      <c r="U68" s="12" t="str">
        <f>IF($A68="","",R68+(T68-SUMIFS('Nursing Charges'!$J:$J,'Nursing Charges'!$A:$A,$A68,'Nursing Charges'!$C:$C,2))+(S68-SUMIFS('Consumable Usage'!$F:$F,'Consumable Usage'!$A:$A,$A68,'Consumable Usage'!$D:$D,2)))</f>
        <v/>
      </c>
      <c r="V68" s="12" t="str">
        <f t="shared" si="4"/>
        <v/>
      </c>
      <c r="W68" s="20"/>
      <c r="X68" s="12" t="str">
        <f t="shared" si="5"/>
        <v/>
      </c>
      <c r="Y68" s="45" t="str">
        <f t="shared" si="6"/>
        <v/>
      </c>
      <c r="Z68" s="15"/>
      <c r="AA68" s="15"/>
      <c r="AB68" s="20"/>
      <c r="AC68" s="12" t="str">
        <f>IF($A68="","",SUMIFS('Consumable Usage'!$E:$E,'Consumable Usage'!$A:$A,$A68,'Consumable Usage'!$D:$D,3))</f>
        <v/>
      </c>
      <c r="AD68" s="12" t="str">
        <f>IF($A68="","",SUMIFS('Nursing Charges'!$I:$I,'Nursing Charges'!$A:$A,$A68,'Nursing Charges'!$C:$C,3))</f>
        <v/>
      </c>
      <c r="AE68" s="12" t="str">
        <f>IF($A68="","",AB68+(AD68-SUMIFS('Nursing Charges'!$J:$J,'Nursing Charges'!$A:$A,$A68,'Nursing Charges'!$C:$C,3))+(AC68-SUMIFS('Consumable Usage'!$F:$F,'Consumable Usage'!$A:$A,$A68,'Consumable Usage'!$D:$D,3)))</f>
        <v/>
      </c>
      <c r="AF68" s="12" t="str">
        <f t="shared" si="7"/>
        <v/>
      </c>
      <c r="AG68" s="20"/>
      <c r="AH68" s="12" t="str">
        <f t="shared" si="8"/>
        <v/>
      </c>
      <c r="AI68" s="45" t="str">
        <f t="shared" si="9"/>
        <v/>
      </c>
      <c r="AJ68" s="15"/>
      <c r="AK68" s="15"/>
      <c r="AL68" s="20"/>
      <c r="AM68" s="12" t="str">
        <f>IF($A68="","",SUMIFS('Consumable Usage'!$E:$E,'Consumable Usage'!$A:$A,$A68,'Consumable Usage'!$D:$D,4))</f>
        <v/>
      </c>
      <c r="AN68" s="12" t="str">
        <f>IF($A68="","",SUMIFS('Nursing Charges'!$I:$I,'Nursing Charges'!$A:$A,$A68,'Nursing Charges'!$C:$C,4))</f>
        <v/>
      </c>
      <c r="AO68" s="12" t="str">
        <f>IF($A68="","",AL68+(AN68-SUMIFS('Nursing Charges'!$J:$J,'Nursing Charges'!$A:$A,$A68,'Nursing Charges'!$C:$C,4))+(AM68-SUMIFS('Consumable Usage'!$F:$F,'Consumable Usage'!$A:$A,$A68,'Consumable Usage'!$D:$D,4)))</f>
        <v/>
      </c>
      <c r="AP68" s="12" t="str">
        <f t="shared" si="10"/>
        <v/>
      </c>
      <c r="AQ68" s="20"/>
      <c r="AR68" s="12" t="str">
        <f t="shared" si="11"/>
        <v/>
      </c>
      <c r="AS68" s="45" t="str">
        <f t="shared" si="12"/>
        <v/>
      </c>
      <c r="AT68" s="15"/>
      <c r="AU68" s="15"/>
      <c r="AV68" s="20"/>
      <c r="AW68" s="12" t="str">
        <f>IF($A68="","",SUMIFS('Consumable Usage'!$E:$E,'Consumable Usage'!$A:$A,$A68,'Consumable Usage'!$D:$D,5))</f>
        <v/>
      </c>
      <c r="AX68" s="12" t="str">
        <f>IF($A68="","",SUMIFS('Nursing Charges'!$I:$I,'Nursing Charges'!$A:$A,$A68,'Nursing Charges'!$C:$C,5))</f>
        <v/>
      </c>
      <c r="AY68" s="12" t="str">
        <f>IF($A68="","",AV68+(AX68-SUMIFS('Nursing Charges'!$J:$J,'Nursing Charges'!$A:$A,$A68,'Nursing Charges'!$C:$C,5))+(AW68-SUMIFS('Consumable Usage'!$F:$F,'Consumable Usage'!$A:$A,$A68,'Consumable Usage'!$D:$D,5)))</f>
        <v/>
      </c>
      <c r="AZ68" s="12" t="str">
        <f t="shared" si="13"/>
        <v/>
      </c>
      <c r="BA68" s="20"/>
      <c r="BB68" s="12" t="str">
        <f t="shared" si="14"/>
        <v/>
      </c>
      <c r="BC68" s="45" t="str">
        <f t="shared" si="15"/>
        <v/>
      </c>
      <c r="BD68" s="15"/>
      <c r="BE68" s="15"/>
      <c r="BF68" s="20"/>
      <c r="BG68" s="12" t="str">
        <f>IF($A68="","",SUMIFS('Consumable Usage'!$E:$E,'Consumable Usage'!$A:$A,$A68,'Consumable Usage'!$D:$D,6))</f>
        <v/>
      </c>
      <c r="BH68" s="12" t="str">
        <f>IF($A68="","",SUMIFS('Nursing Charges'!$I:$I,'Nursing Charges'!$A:$A,$A68,'Nursing Charges'!$C:$C,6))</f>
        <v/>
      </c>
      <c r="BI68" s="12" t="str">
        <f>IF($A68="","",BF68+(BH68-SUMIFS('Nursing Charges'!$J:$J,'Nursing Charges'!$A:$A,$A68,'Nursing Charges'!$C:$C,6))+(BG68-SUMIFS('Consumable Usage'!$F:$F,'Consumable Usage'!$A:$A,$A68,'Consumable Usage'!$D:$D,6)))</f>
        <v/>
      </c>
      <c r="BJ68" s="12" t="str">
        <f t="shared" si="16"/>
        <v/>
      </c>
      <c r="BK68" s="20"/>
      <c r="BL68" s="12" t="str">
        <f t="shared" si="17"/>
        <v/>
      </c>
      <c r="BM68" s="45" t="str">
        <f t="shared" si="18"/>
        <v/>
      </c>
      <c r="BN68" s="15"/>
      <c r="BO68" s="15"/>
      <c r="BP68" s="20"/>
      <c r="BQ68" s="12" t="str">
        <f>IF($A68="","",SUMIFS('Consumable Usage'!$E:$E,'Consumable Usage'!$A:$A,$A68,'Consumable Usage'!$D:$D,7))</f>
        <v/>
      </c>
      <c r="BR68" s="12" t="str">
        <f>IF($A68="","",SUMIFS('Nursing Charges'!$I:$I,'Nursing Charges'!$A:$A,$A68,'Nursing Charges'!$C:$C,7))</f>
        <v/>
      </c>
      <c r="BS68" s="12" t="str">
        <f>IF($A68="","",BP68+(BR68-SUMIFS('Nursing Charges'!$J:$J,'Nursing Charges'!$A:$A,$A68,'Nursing Charges'!$C:$C,7))+(BQ68-SUMIFS('Consumable Usage'!$F:$F,'Consumable Usage'!$A:$A,$A68,'Consumable Usage'!$D:$D,7)))</f>
        <v/>
      </c>
      <c r="BT68" s="12" t="str">
        <f t="shared" si="19"/>
        <v/>
      </c>
      <c r="BU68" s="20"/>
      <c r="BV68" s="12" t="str">
        <f t="shared" si="20"/>
        <v/>
      </c>
      <c r="BW68" s="45" t="str">
        <f t="shared" si="21"/>
        <v/>
      </c>
      <c r="BX68" s="15"/>
      <c r="BY68" s="15"/>
      <c r="BZ68" s="20"/>
      <c r="CA68" s="12" t="str">
        <f>IF($A68="","",SUMIFS('Consumable Usage'!$E:$E,'Consumable Usage'!$A:$A,$A68,'Consumable Usage'!$D:$D,8))</f>
        <v/>
      </c>
      <c r="CB68" s="12" t="str">
        <f>IF($A68="","",SUMIFS('Nursing Charges'!$I:$I,'Nursing Charges'!$A:$A,$A68,'Nursing Charges'!$C:$C,8))</f>
        <v/>
      </c>
      <c r="CC68" s="12" t="str">
        <f>IF($A68="","",BZ68+(CB68-SUMIFS('Nursing Charges'!$J:$J,'Nursing Charges'!$A:$A,$A68,'Nursing Charges'!$C:$C,8))+(CA68-SUMIFS('Consumable Usage'!$F:$F,'Consumable Usage'!$A:$A,$A68,'Consumable Usage'!$D:$D,8)))</f>
        <v/>
      </c>
      <c r="CD68" s="12" t="str">
        <f t="shared" si="22"/>
        <v/>
      </c>
      <c r="CE68" s="20"/>
      <c r="CF68" s="12" t="str">
        <f t="shared" si="23"/>
        <v/>
      </c>
      <c r="CG68" s="45" t="str">
        <f t="shared" si="24"/>
        <v/>
      </c>
      <c r="CH68" s="15"/>
      <c r="CI68" s="15"/>
      <c r="CJ68" s="20"/>
      <c r="CK68" s="12" t="str">
        <f>IF($A68="","",SUMIFS('Consumable Usage'!$E:$E,'Consumable Usage'!$A:$A,$A68,'Consumable Usage'!$D:$D,9))</f>
        <v/>
      </c>
      <c r="CL68" s="12" t="str">
        <f>IF($A68="","",SUMIFS('Nursing Charges'!$I:$I,'Nursing Charges'!$A:$A,$A68,'Nursing Charges'!$C:$C,9))</f>
        <v/>
      </c>
      <c r="CM68" s="12" t="str">
        <f>IF($A68="","",CJ68+(CL68-SUMIFS('Nursing Charges'!$J:$J,'Nursing Charges'!$A:$A,$A68,'Nursing Charges'!$C:$C,9))+(CK68-SUMIFS('Consumable Usage'!$F:$F,'Consumable Usage'!$A:$A,$A68,'Consumable Usage'!$D:$D,9)))</f>
        <v/>
      </c>
      <c r="CN68" s="12" t="str">
        <f t="shared" si="25"/>
        <v/>
      </c>
      <c r="CO68" s="20"/>
      <c r="CP68" s="12" t="str">
        <f t="shared" si="26"/>
        <v/>
      </c>
      <c r="CQ68" s="45" t="str">
        <f t="shared" si="27"/>
        <v/>
      </c>
      <c r="CR68" s="15"/>
      <c r="CS68" s="15"/>
      <c r="CT68" s="20"/>
      <c r="CU68" s="12" t="str">
        <f>IF($A68="","",SUMIFS('Consumable Usage'!$E:$E,'Consumable Usage'!$A:$A,$A68,'Consumable Usage'!$D:$D,10))</f>
        <v/>
      </c>
      <c r="CV68" s="12" t="str">
        <f>IF($A68="","",SUMIFS('Nursing Charges'!$I:$I,'Nursing Charges'!$A:$A,$A68,'Nursing Charges'!$C:$C,10))</f>
        <v/>
      </c>
      <c r="CW68" s="12" t="str">
        <f>IF($A68="","",CT68+(CV68-SUMIFS('Nursing Charges'!$J:$J,'Nursing Charges'!$A:$A,$A68,'Nursing Charges'!$C:$C,10))+(CU68-SUMIFS('Consumable Usage'!$F:$F,'Consumable Usage'!$A:$A,$A68,'Consumable Usage'!$D:$D,10)))</f>
        <v/>
      </c>
      <c r="CX68" s="12" t="str">
        <f t="shared" si="28"/>
        <v/>
      </c>
      <c r="CY68" s="20"/>
      <c r="CZ68" s="12" t="str">
        <f t="shared" si="29"/>
        <v/>
      </c>
      <c r="DA68" s="45" t="str">
        <f t="shared" si="30"/>
        <v/>
      </c>
      <c r="DB68" s="15"/>
      <c r="DC68" s="15"/>
      <c r="DD68" s="20"/>
      <c r="DE68" s="12" t="str">
        <f>IF($A68="","",SUMIFS('Consumable Usage'!$E:$E,'Consumable Usage'!$A:$A,$A68,'Consumable Usage'!$D:$D,11))</f>
        <v/>
      </c>
      <c r="DF68" s="12" t="str">
        <f>IF($A68="","",SUMIFS('Nursing Charges'!$I:$I,'Nursing Charges'!$A:$A,$A68,'Nursing Charges'!$C:$C,11))</f>
        <v/>
      </c>
      <c r="DG68" s="12" t="str">
        <f>IF($A68="","",DD68+(DF68-SUMIFS('Nursing Charges'!$J:$J,'Nursing Charges'!$A:$A,$A68,'Nursing Charges'!$C:$C,11))+(DE68-SUMIFS('Consumable Usage'!$F:$F,'Consumable Usage'!$A:$A,$A68,'Consumable Usage'!$D:$D,11)))</f>
        <v/>
      </c>
      <c r="DH68" s="12" t="str">
        <f t="shared" si="31"/>
        <v/>
      </c>
      <c r="DI68" s="20"/>
      <c r="DJ68" s="12" t="str">
        <f t="shared" si="32"/>
        <v/>
      </c>
      <c r="DK68" s="45" t="str">
        <f t="shared" si="33"/>
        <v/>
      </c>
      <c r="DL68" s="15"/>
      <c r="DM68" s="15"/>
      <c r="DN68" s="20"/>
      <c r="DO68" s="12" t="str">
        <f>IF($A68="","",SUMIFS('Consumable Usage'!$E:$E,'Consumable Usage'!$A:$A,$A68,'Consumable Usage'!$D:$D,12))</f>
        <v/>
      </c>
      <c r="DP68" s="12" t="str">
        <f>IF($A68="","",SUMIFS('Nursing Charges'!$I:$I,'Nursing Charges'!$A:$A,$A68,'Nursing Charges'!$C:$C,12))</f>
        <v/>
      </c>
      <c r="DQ68" s="12" t="str">
        <f>IF($A68="","",DN68+(DP68-SUMIFS('Nursing Charges'!$J:$J,'Nursing Charges'!$A:$A,$A68,'Nursing Charges'!$C:$C,12))+(DO68-SUMIFS('Consumable Usage'!$F:$F,'Consumable Usage'!$A:$A,$A68,'Consumable Usage'!$D:$D,12)))</f>
        <v/>
      </c>
      <c r="DR68" s="12" t="str">
        <f t="shared" si="34"/>
        <v/>
      </c>
      <c r="DS68" s="20"/>
      <c r="DT68" s="12" t="str">
        <f t="shared" si="35"/>
        <v/>
      </c>
      <c r="DU68" s="45" t="str">
        <f t="shared" si="36"/>
        <v/>
      </c>
      <c r="DV68" s="15"/>
      <c r="DW68" s="15"/>
      <c r="DX68" s="20"/>
      <c r="DY68" s="12" t="str">
        <f>IF($A68="","",SUMIFS('Consumable Usage'!$E:$E,'Consumable Usage'!$A:$A,$A68,'Consumable Usage'!$D:$D,13))</f>
        <v/>
      </c>
      <c r="DZ68" s="12" t="str">
        <f>IF($A68="","",SUMIFS('Nursing Charges'!$I:$I,'Nursing Charges'!$A:$A,$A68,'Nursing Charges'!$C:$C,13))</f>
        <v/>
      </c>
      <c r="EA68" s="12" t="str">
        <f>IF($A68="","",DX68+(DZ68-SUMIFS('Nursing Charges'!$J:$J,'Nursing Charges'!$A:$A,$A68,'Nursing Charges'!$C:$C,13))+(DY68-SUMIFS('Consumable Usage'!$F:$F,'Consumable Usage'!$A:$A,$A68,'Consumable Usage'!$D:$D,13)))</f>
        <v/>
      </c>
      <c r="EB68" s="12" t="str">
        <f t="shared" si="37"/>
        <v/>
      </c>
      <c r="EC68" s="20"/>
      <c r="ED68" s="12" t="str">
        <f t="shared" si="38"/>
        <v/>
      </c>
      <c r="EE68" s="45" t="str">
        <f t="shared" si="39"/>
        <v/>
      </c>
      <c r="EF68" s="15"/>
      <c r="EG68" s="15"/>
      <c r="EH68" s="20"/>
      <c r="EI68" s="12" t="str">
        <f>IF($A68="","",SUMIFS('Consumable Usage'!$E:$E,'Consumable Usage'!$A:$A,$A68,'Consumable Usage'!$D:$D,14))</f>
        <v/>
      </c>
      <c r="EJ68" s="12" t="str">
        <f>IF($A68="","",SUMIFS('Nursing Charges'!$I:$I,'Nursing Charges'!$A:$A,$A68,'Nursing Charges'!$C:$C,14))</f>
        <v/>
      </c>
      <c r="EK68" s="12" t="str">
        <f>IF($A68="","",EH68+(EJ68-SUMIFS('Nursing Charges'!$J:$J,'Nursing Charges'!$A:$A,$A68,'Nursing Charges'!$C:$C,14))+(EI68-SUMIFS('Consumable Usage'!$F:$F,'Consumable Usage'!$A:$A,$A68,'Consumable Usage'!$D:$D,14)))</f>
        <v/>
      </c>
      <c r="EL68" s="12" t="str">
        <f t="shared" si="40"/>
        <v/>
      </c>
      <c r="EM68" s="20"/>
      <c r="EN68" s="12" t="str">
        <f t="shared" si="41"/>
        <v/>
      </c>
      <c r="EO68" s="45" t="str">
        <f t="shared" si="42"/>
        <v/>
      </c>
      <c r="EP68" s="15"/>
      <c r="EQ68" s="15"/>
      <c r="ER68" s="20"/>
      <c r="ES68" s="12" t="str">
        <f>IF($A68="","",SUMIFS('Consumable Usage'!$E:$E,'Consumable Usage'!$A:$A,$A68,'Consumable Usage'!$D:$D,15))</f>
        <v/>
      </c>
      <c r="ET68" s="12" t="str">
        <f>IF($A68="","",SUMIFS('Nursing Charges'!$I:$I,'Nursing Charges'!$A:$A,$A68,'Nursing Charges'!$C:$C,15))</f>
        <v/>
      </c>
      <c r="EU68" s="12" t="str">
        <f>IF($A68="","",ER68+(ET68-SUMIFS('Nursing Charges'!$J:$J,'Nursing Charges'!$A:$A,$A68,'Nursing Charges'!$C:$C,15))+(ES68-SUMIFS('Consumable Usage'!$F:$F,'Consumable Usage'!$A:$A,$A68,'Consumable Usage'!$D:$D,15)))</f>
        <v/>
      </c>
      <c r="EV68" s="12" t="str">
        <f t="shared" si="43"/>
        <v/>
      </c>
      <c r="EW68" s="20"/>
      <c r="EX68" s="12" t="str">
        <f t="shared" si="44"/>
        <v/>
      </c>
      <c r="EY68" s="45" t="str">
        <f t="shared" si="45"/>
        <v/>
      </c>
      <c r="EZ68" s="15"/>
      <c r="FA68" s="15"/>
      <c r="FB68" s="20"/>
      <c r="FC68" s="12" t="str">
        <f>IF($A68="","",SUMIFS('Consumable Usage'!$E:$E,'Consumable Usage'!$A:$A,$A68,'Consumable Usage'!$D:$D,16))</f>
        <v/>
      </c>
      <c r="FD68" s="12" t="str">
        <f>IF($A68="","",SUMIFS('Nursing Charges'!$I:$I,'Nursing Charges'!$A:$A,$A68,'Nursing Charges'!$C:$C,16))</f>
        <v/>
      </c>
      <c r="FE68" s="12" t="str">
        <f>IF($A68="","",FB68+(FD68-SUMIFS('Nursing Charges'!$J:$J,'Nursing Charges'!$A:$A,$A68,'Nursing Charges'!$C:$C,16))+(FC68-SUMIFS('Consumable Usage'!$F:$F,'Consumable Usage'!$A:$A,$A68,'Consumable Usage'!$D:$D,16)))</f>
        <v/>
      </c>
      <c r="FF68" s="12" t="str">
        <f t="shared" si="46"/>
        <v/>
      </c>
      <c r="FG68" s="20"/>
      <c r="FH68" s="12" t="str">
        <f t="shared" si="47"/>
        <v/>
      </c>
      <c r="FI68" s="45" t="str">
        <f t="shared" si="48"/>
        <v/>
      </c>
      <c r="FJ68" s="53"/>
      <c r="FK68" s="53"/>
      <c r="FL68" s="63"/>
      <c r="FM68" s="63" t="str">
        <f>IF($A68="","",SUMIFS('Consumable Usage'!$E:$E,'Consumable Usage'!$A:$A,$A68,'Consumable Usage'!$D:$D,16))</f>
        <v/>
      </c>
      <c r="FN68" s="63" t="str">
        <f>IF($A68="","",SUMIFS('Nursing Charges'!$I:$I,'Nursing Charges'!$A:$A,$A68,'Nursing Charges'!$C:$C,16))</f>
        <v/>
      </c>
      <c r="FO68" s="63" t="str">
        <f>IF($A68="","",FL68+(FN68-SUMIFS('Nursing Charges'!$J:$J,'Nursing Charges'!$A:$A,$A68,'Nursing Charges'!$C:$C,16))+(FM68-SUMIFS('Consumable Usage'!$F:$F,'Consumable Usage'!$A:$A,$A68,'Consumable Usage'!$D:$D,16)))</f>
        <v/>
      </c>
      <c r="FP68" s="63" t="str">
        <f t="shared" si="49"/>
        <v/>
      </c>
      <c r="FQ68" s="63"/>
      <c r="FR68" s="63" t="str">
        <f t="shared" si="50"/>
        <v/>
      </c>
      <c r="FS68" s="53" t="str">
        <f t="shared" si="51"/>
        <v/>
      </c>
    </row>
    <row r="69" ht="15.0" customHeight="1">
      <c r="A69" s="15"/>
      <c r="B69" s="15"/>
      <c r="C69" s="15"/>
      <c r="D69" s="15"/>
      <c r="E69" s="15"/>
      <c r="F69" s="15"/>
      <c r="G69" s="15"/>
      <c r="H69" s="20"/>
      <c r="I69" s="12" t="str">
        <f>IF($A69="","",SUMIFS('Consumable Usage'!$E:$E,'Consumable Usage'!$A:$A,$A69,'Consumable Usage'!$D:$D,1))</f>
        <v/>
      </c>
      <c r="J69" s="12" t="str">
        <f>IF($A69="","",SUMIFS('Nursing Charges'!$I:$I,'Nursing Charges'!$A:$A,$A69,'Nursing Charges'!$C:$C,1))</f>
        <v/>
      </c>
      <c r="K69" s="12" t="str">
        <f>IF($A69="","",H69+(J69-SUMIFS('Nursing Charges'!$J:$J,'Nursing Charges'!$A:$A,$A69,'Nursing Charges'!$C:$C,1))+(I69-SUMIFS('Consumable Usage'!$F:$F,'Consumable Usage'!$A:$A,$A69,'Consumable Usage'!$D:$D,1)))</f>
        <v/>
      </c>
      <c r="L69" s="12" t="str">
        <f t="shared" si="1"/>
        <v/>
      </c>
      <c r="M69" s="20"/>
      <c r="N69" s="12" t="str">
        <f t="shared" si="2"/>
        <v/>
      </c>
      <c r="O69" s="45" t="str">
        <f t="shared" si="3"/>
        <v/>
      </c>
      <c r="P69" s="15"/>
      <c r="Q69" s="15"/>
      <c r="R69" s="20"/>
      <c r="S69" s="12" t="str">
        <f>IF($A69="","",SUMIFS('Consumable Usage'!$E:$E,'Consumable Usage'!$A:$A,$A69,'Consumable Usage'!$D:$D,2))</f>
        <v/>
      </c>
      <c r="T69" s="12" t="str">
        <f>IF($A69="","",SUMIFS('Nursing Charges'!$I:$I,'Nursing Charges'!$A:$A,$A69,'Nursing Charges'!$C:$C,2))</f>
        <v/>
      </c>
      <c r="U69" s="12" t="str">
        <f>IF($A69="","",R69+(T69-SUMIFS('Nursing Charges'!$J:$J,'Nursing Charges'!$A:$A,$A69,'Nursing Charges'!$C:$C,2))+(S69-SUMIFS('Consumable Usage'!$F:$F,'Consumable Usage'!$A:$A,$A69,'Consumable Usage'!$D:$D,2)))</f>
        <v/>
      </c>
      <c r="V69" s="12" t="str">
        <f t="shared" si="4"/>
        <v/>
      </c>
      <c r="W69" s="20"/>
      <c r="X69" s="12" t="str">
        <f t="shared" si="5"/>
        <v/>
      </c>
      <c r="Y69" s="45" t="str">
        <f t="shared" si="6"/>
        <v/>
      </c>
      <c r="Z69" s="15"/>
      <c r="AA69" s="15"/>
      <c r="AB69" s="20"/>
      <c r="AC69" s="12" t="str">
        <f>IF($A69="","",SUMIFS('Consumable Usage'!$E:$E,'Consumable Usage'!$A:$A,$A69,'Consumable Usage'!$D:$D,3))</f>
        <v/>
      </c>
      <c r="AD69" s="12" t="str">
        <f>IF($A69="","",SUMIFS('Nursing Charges'!$I:$I,'Nursing Charges'!$A:$A,$A69,'Nursing Charges'!$C:$C,3))</f>
        <v/>
      </c>
      <c r="AE69" s="12" t="str">
        <f>IF($A69="","",AB69+(AD69-SUMIFS('Nursing Charges'!$J:$J,'Nursing Charges'!$A:$A,$A69,'Nursing Charges'!$C:$C,3))+(AC69-SUMIFS('Consumable Usage'!$F:$F,'Consumable Usage'!$A:$A,$A69,'Consumable Usage'!$D:$D,3)))</f>
        <v/>
      </c>
      <c r="AF69" s="12" t="str">
        <f t="shared" si="7"/>
        <v/>
      </c>
      <c r="AG69" s="20"/>
      <c r="AH69" s="12" t="str">
        <f t="shared" si="8"/>
        <v/>
      </c>
      <c r="AI69" s="45" t="str">
        <f t="shared" si="9"/>
        <v/>
      </c>
      <c r="AJ69" s="15"/>
      <c r="AK69" s="15"/>
      <c r="AL69" s="20"/>
      <c r="AM69" s="12" t="str">
        <f>IF($A69="","",SUMIFS('Consumable Usage'!$E:$E,'Consumable Usage'!$A:$A,$A69,'Consumable Usage'!$D:$D,4))</f>
        <v/>
      </c>
      <c r="AN69" s="12" t="str">
        <f>IF($A69="","",SUMIFS('Nursing Charges'!$I:$I,'Nursing Charges'!$A:$A,$A69,'Nursing Charges'!$C:$C,4))</f>
        <v/>
      </c>
      <c r="AO69" s="12" t="str">
        <f>IF($A69="","",AL69+(AN69-SUMIFS('Nursing Charges'!$J:$J,'Nursing Charges'!$A:$A,$A69,'Nursing Charges'!$C:$C,4))+(AM69-SUMIFS('Consumable Usage'!$F:$F,'Consumable Usage'!$A:$A,$A69,'Consumable Usage'!$D:$D,4)))</f>
        <v/>
      </c>
      <c r="AP69" s="12" t="str">
        <f t="shared" si="10"/>
        <v/>
      </c>
      <c r="AQ69" s="20"/>
      <c r="AR69" s="12" t="str">
        <f t="shared" si="11"/>
        <v/>
      </c>
      <c r="AS69" s="45" t="str">
        <f t="shared" si="12"/>
        <v/>
      </c>
      <c r="AT69" s="15"/>
      <c r="AU69" s="15"/>
      <c r="AV69" s="20"/>
      <c r="AW69" s="12" t="str">
        <f>IF($A69="","",SUMIFS('Consumable Usage'!$E:$E,'Consumable Usage'!$A:$A,$A69,'Consumable Usage'!$D:$D,5))</f>
        <v/>
      </c>
      <c r="AX69" s="12" t="str">
        <f>IF($A69="","",SUMIFS('Nursing Charges'!$I:$I,'Nursing Charges'!$A:$A,$A69,'Nursing Charges'!$C:$C,5))</f>
        <v/>
      </c>
      <c r="AY69" s="12" t="str">
        <f>IF($A69="","",AV69+(AX69-SUMIFS('Nursing Charges'!$J:$J,'Nursing Charges'!$A:$A,$A69,'Nursing Charges'!$C:$C,5))+(AW69-SUMIFS('Consumable Usage'!$F:$F,'Consumable Usage'!$A:$A,$A69,'Consumable Usage'!$D:$D,5)))</f>
        <v/>
      </c>
      <c r="AZ69" s="12" t="str">
        <f t="shared" si="13"/>
        <v/>
      </c>
      <c r="BA69" s="20"/>
      <c r="BB69" s="12" t="str">
        <f t="shared" si="14"/>
        <v/>
      </c>
      <c r="BC69" s="45" t="str">
        <f t="shared" si="15"/>
        <v/>
      </c>
      <c r="BD69" s="15"/>
      <c r="BE69" s="15"/>
      <c r="BF69" s="20"/>
      <c r="BG69" s="12" t="str">
        <f>IF($A69="","",SUMIFS('Consumable Usage'!$E:$E,'Consumable Usage'!$A:$A,$A69,'Consumable Usage'!$D:$D,6))</f>
        <v/>
      </c>
      <c r="BH69" s="12" t="str">
        <f>IF($A69="","",SUMIFS('Nursing Charges'!$I:$I,'Nursing Charges'!$A:$A,$A69,'Nursing Charges'!$C:$C,6))</f>
        <v/>
      </c>
      <c r="BI69" s="12" t="str">
        <f>IF($A69="","",BF69+(BH69-SUMIFS('Nursing Charges'!$J:$J,'Nursing Charges'!$A:$A,$A69,'Nursing Charges'!$C:$C,6))+(BG69-SUMIFS('Consumable Usage'!$F:$F,'Consumable Usage'!$A:$A,$A69,'Consumable Usage'!$D:$D,6)))</f>
        <v/>
      </c>
      <c r="BJ69" s="12" t="str">
        <f t="shared" si="16"/>
        <v/>
      </c>
      <c r="BK69" s="20"/>
      <c r="BL69" s="12" t="str">
        <f t="shared" si="17"/>
        <v/>
      </c>
      <c r="BM69" s="45" t="str">
        <f t="shared" si="18"/>
        <v/>
      </c>
      <c r="BN69" s="15"/>
      <c r="BO69" s="15"/>
      <c r="BP69" s="20"/>
      <c r="BQ69" s="12" t="str">
        <f>IF($A69="","",SUMIFS('Consumable Usage'!$E:$E,'Consumable Usage'!$A:$A,$A69,'Consumable Usage'!$D:$D,7))</f>
        <v/>
      </c>
      <c r="BR69" s="12" t="str">
        <f>IF($A69="","",SUMIFS('Nursing Charges'!$I:$I,'Nursing Charges'!$A:$A,$A69,'Nursing Charges'!$C:$C,7))</f>
        <v/>
      </c>
      <c r="BS69" s="12" t="str">
        <f>IF($A69="","",BP69+(BR69-SUMIFS('Nursing Charges'!$J:$J,'Nursing Charges'!$A:$A,$A69,'Nursing Charges'!$C:$C,7))+(BQ69-SUMIFS('Consumable Usage'!$F:$F,'Consumable Usage'!$A:$A,$A69,'Consumable Usage'!$D:$D,7)))</f>
        <v/>
      </c>
      <c r="BT69" s="12" t="str">
        <f t="shared" si="19"/>
        <v/>
      </c>
      <c r="BU69" s="20"/>
      <c r="BV69" s="12" t="str">
        <f t="shared" si="20"/>
        <v/>
      </c>
      <c r="BW69" s="45" t="str">
        <f t="shared" si="21"/>
        <v/>
      </c>
      <c r="BX69" s="15"/>
      <c r="BY69" s="15"/>
      <c r="BZ69" s="20"/>
      <c r="CA69" s="12" t="str">
        <f>IF($A69="","",SUMIFS('Consumable Usage'!$E:$E,'Consumable Usage'!$A:$A,$A69,'Consumable Usage'!$D:$D,8))</f>
        <v/>
      </c>
      <c r="CB69" s="12" t="str">
        <f>IF($A69="","",SUMIFS('Nursing Charges'!$I:$I,'Nursing Charges'!$A:$A,$A69,'Nursing Charges'!$C:$C,8))</f>
        <v/>
      </c>
      <c r="CC69" s="12" t="str">
        <f>IF($A69="","",BZ69+(CB69-SUMIFS('Nursing Charges'!$J:$J,'Nursing Charges'!$A:$A,$A69,'Nursing Charges'!$C:$C,8))+(CA69-SUMIFS('Consumable Usage'!$F:$F,'Consumable Usage'!$A:$A,$A69,'Consumable Usage'!$D:$D,8)))</f>
        <v/>
      </c>
      <c r="CD69" s="12" t="str">
        <f t="shared" si="22"/>
        <v/>
      </c>
      <c r="CE69" s="20"/>
      <c r="CF69" s="12" t="str">
        <f t="shared" si="23"/>
        <v/>
      </c>
      <c r="CG69" s="45" t="str">
        <f t="shared" si="24"/>
        <v/>
      </c>
      <c r="CH69" s="15"/>
      <c r="CI69" s="15"/>
      <c r="CJ69" s="20"/>
      <c r="CK69" s="12" t="str">
        <f>IF($A69="","",SUMIFS('Consumable Usage'!$E:$E,'Consumable Usage'!$A:$A,$A69,'Consumable Usage'!$D:$D,9))</f>
        <v/>
      </c>
      <c r="CL69" s="12" t="str">
        <f>IF($A69="","",SUMIFS('Nursing Charges'!$I:$I,'Nursing Charges'!$A:$A,$A69,'Nursing Charges'!$C:$C,9))</f>
        <v/>
      </c>
      <c r="CM69" s="12" t="str">
        <f>IF($A69="","",CJ69+(CL69-SUMIFS('Nursing Charges'!$J:$J,'Nursing Charges'!$A:$A,$A69,'Nursing Charges'!$C:$C,9))+(CK69-SUMIFS('Consumable Usage'!$F:$F,'Consumable Usage'!$A:$A,$A69,'Consumable Usage'!$D:$D,9)))</f>
        <v/>
      </c>
      <c r="CN69" s="12" t="str">
        <f t="shared" si="25"/>
        <v/>
      </c>
      <c r="CO69" s="20"/>
      <c r="CP69" s="12" t="str">
        <f t="shared" si="26"/>
        <v/>
      </c>
      <c r="CQ69" s="45" t="str">
        <f t="shared" si="27"/>
        <v/>
      </c>
      <c r="CR69" s="15"/>
      <c r="CS69" s="15"/>
      <c r="CT69" s="20"/>
      <c r="CU69" s="12" t="str">
        <f>IF($A69="","",SUMIFS('Consumable Usage'!$E:$E,'Consumable Usage'!$A:$A,$A69,'Consumable Usage'!$D:$D,10))</f>
        <v/>
      </c>
      <c r="CV69" s="12" t="str">
        <f>IF($A69="","",SUMIFS('Nursing Charges'!$I:$I,'Nursing Charges'!$A:$A,$A69,'Nursing Charges'!$C:$C,10))</f>
        <v/>
      </c>
      <c r="CW69" s="12" t="str">
        <f>IF($A69="","",CT69+(CV69-SUMIFS('Nursing Charges'!$J:$J,'Nursing Charges'!$A:$A,$A69,'Nursing Charges'!$C:$C,10))+(CU69-SUMIFS('Consumable Usage'!$F:$F,'Consumable Usage'!$A:$A,$A69,'Consumable Usage'!$D:$D,10)))</f>
        <v/>
      </c>
      <c r="CX69" s="12" t="str">
        <f t="shared" si="28"/>
        <v/>
      </c>
      <c r="CY69" s="20"/>
      <c r="CZ69" s="12" t="str">
        <f t="shared" si="29"/>
        <v/>
      </c>
      <c r="DA69" s="45" t="str">
        <f t="shared" si="30"/>
        <v/>
      </c>
      <c r="DB69" s="15"/>
      <c r="DC69" s="15"/>
      <c r="DD69" s="20"/>
      <c r="DE69" s="12" t="str">
        <f>IF($A69="","",SUMIFS('Consumable Usage'!$E:$E,'Consumable Usage'!$A:$A,$A69,'Consumable Usage'!$D:$D,11))</f>
        <v/>
      </c>
      <c r="DF69" s="12" t="str">
        <f>IF($A69="","",SUMIFS('Nursing Charges'!$I:$I,'Nursing Charges'!$A:$A,$A69,'Nursing Charges'!$C:$C,11))</f>
        <v/>
      </c>
      <c r="DG69" s="12" t="str">
        <f>IF($A69="","",DD69+(DF69-SUMIFS('Nursing Charges'!$J:$J,'Nursing Charges'!$A:$A,$A69,'Nursing Charges'!$C:$C,11))+(DE69-SUMIFS('Consumable Usage'!$F:$F,'Consumable Usage'!$A:$A,$A69,'Consumable Usage'!$D:$D,11)))</f>
        <v/>
      </c>
      <c r="DH69" s="12" t="str">
        <f t="shared" si="31"/>
        <v/>
      </c>
      <c r="DI69" s="20"/>
      <c r="DJ69" s="12" t="str">
        <f t="shared" si="32"/>
        <v/>
      </c>
      <c r="DK69" s="45" t="str">
        <f t="shared" si="33"/>
        <v/>
      </c>
      <c r="DL69" s="15"/>
      <c r="DM69" s="15"/>
      <c r="DN69" s="20"/>
      <c r="DO69" s="12" t="str">
        <f>IF($A69="","",SUMIFS('Consumable Usage'!$E:$E,'Consumable Usage'!$A:$A,$A69,'Consumable Usage'!$D:$D,12))</f>
        <v/>
      </c>
      <c r="DP69" s="12" t="str">
        <f>IF($A69="","",SUMIFS('Nursing Charges'!$I:$I,'Nursing Charges'!$A:$A,$A69,'Nursing Charges'!$C:$C,12))</f>
        <v/>
      </c>
      <c r="DQ69" s="12" t="str">
        <f>IF($A69="","",DN69+(DP69-SUMIFS('Nursing Charges'!$J:$J,'Nursing Charges'!$A:$A,$A69,'Nursing Charges'!$C:$C,12))+(DO69-SUMIFS('Consumable Usage'!$F:$F,'Consumable Usage'!$A:$A,$A69,'Consumable Usage'!$D:$D,12)))</f>
        <v/>
      </c>
      <c r="DR69" s="12" t="str">
        <f t="shared" si="34"/>
        <v/>
      </c>
      <c r="DS69" s="20"/>
      <c r="DT69" s="12" t="str">
        <f t="shared" si="35"/>
        <v/>
      </c>
      <c r="DU69" s="45" t="str">
        <f t="shared" si="36"/>
        <v/>
      </c>
      <c r="DV69" s="15"/>
      <c r="DW69" s="15"/>
      <c r="DX69" s="20"/>
      <c r="DY69" s="12" t="str">
        <f>IF($A69="","",SUMIFS('Consumable Usage'!$E:$E,'Consumable Usage'!$A:$A,$A69,'Consumable Usage'!$D:$D,13))</f>
        <v/>
      </c>
      <c r="DZ69" s="12" t="str">
        <f>IF($A69="","",SUMIFS('Nursing Charges'!$I:$I,'Nursing Charges'!$A:$A,$A69,'Nursing Charges'!$C:$C,13))</f>
        <v/>
      </c>
      <c r="EA69" s="12" t="str">
        <f>IF($A69="","",DX69+(DZ69-SUMIFS('Nursing Charges'!$J:$J,'Nursing Charges'!$A:$A,$A69,'Nursing Charges'!$C:$C,13))+(DY69-SUMIFS('Consumable Usage'!$F:$F,'Consumable Usage'!$A:$A,$A69,'Consumable Usage'!$D:$D,13)))</f>
        <v/>
      </c>
      <c r="EB69" s="12" t="str">
        <f t="shared" si="37"/>
        <v/>
      </c>
      <c r="EC69" s="20"/>
      <c r="ED69" s="12" t="str">
        <f t="shared" si="38"/>
        <v/>
      </c>
      <c r="EE69" s="45" t="str">
        <f t="shared" si="39"/>
        <v/>
      </c>
      <c r="EF69" s="15"/>
      <c r="EG69" s="15"/>
      <c r="EH69" s="20"/>
      <c r="EI69" s="12" t="str">
        <f>IF($A69="","",SUMIFS('Consumable Usage'!$E:$E,'Consumable Usage'!$A:$A,$A69,'Consumable Usage'!$D:$D,14))</f>
        <v/>
      </c>
      <c r="EJ69" s="12" t="str">
        <f>IF($A69="","",SUMIFS('Nursing Charges'!$I:$I,'Nursing Charges'!$A:$A,$A69,'Nursing Charges'!$C:$C,14))</f>
        <v/>
      </c>
      <c r="EK69" s="12" t="str">
        <f>IF($A69="","",EH69+(EJ69-SUMIFS('Nursing Charges'!$J:$J,'Nursing Charges'!$A:$A,$A69,'Nursing Charges'!$C:$C,14))+(EI69-SUMIFS('Consumable Usage'!$F:$F,'Consumable Usage'!$A:$A,$A69,'Consumable Usage'!$D:$D,14)))</f>
        <v/>
      </c>
      <c r="EL69" s="12" t="str">
        <f t="shared" si="40"/>
        <v/>
      </c>
      <c r="EM69" s="20"/>
      <c r="EN69" s="12" t="str">
        <f t="shared" si="41"/>
        <v/>
      </c>
      <c r="EO69" s="45" t="str">
        <f t="shared" si="42"/>
        <v/>
      </c>
      <c r="EP69" s="15"/>
      <c r="EQ69" s="15"/>
      <c r="ER69" s="20"/>
      <c r="ES69" s="12" t="str">
        <f>IF($A69="","",SUMIFS('Consumable Usage'!$E:$E,'Consumable Usage'!$A:$A,$A69,'Consumable Usage'!$D:$D,15))</f>
        <v/>
      </c>
      <c r="ET69" s="12" t="str">
        <f>IF($A69="","",SUMIFS('Nursing Charges'!$I:$I,'Nursing Charges'!$A:$A,$A69,'Nursing Charges'!$C:$C,15))</f>
        <v/>
      </c>
      <c r="EU69" s="12" t="str">
        <f>IF($A69="","",ER69+(ET69-SUMIFS('Nursing Charges'!$J:$J,'Nursing Charges'!$A:$A,$A69,'Nursing Charges'!$C:$C,15))+(ES69-SUMIFS('Consumable Usage'!$F:$F,'Consumable Usage'!$A:$A,$A69,'Consumable Usage'!$D:$D,15)))</f>
        <v/>
      </c>
      <c r="EV69" s="12" t="str">
        <f t="shared" si="43"/>
        <v/>
      </c>
      <c r="EW69" s="20"/>
      <c r="EX69" s="12" t="str">
        <f t="shared" si="44"/>
        <v/>
      </c>
      <c r="EY69" s="45" t="str">
        <f t="shared" si="45"/>
        <v/>
      </c>
      <c r="EZ69" s="15"/>
      <c r="FA69" s="15"/>
      <c r="FB69" s="20"/>
      <c r="FC69" s="12" t="str">
        <f>IF($A69="","",SUMIFS('Consumable Usage'!$E:$E,'Consumable Usage'!$A:$A,$A69,'Consumable Usage'!$D:$D,16))</f>
        <v/>
      </c>
      <c r="FD69" s="12" t="str">
        <f>IF($A69="","",SUMIFS('Nursing Charges'!$I:$I,'Nursing Charges'!$A:$A,$A69,'Nursing Charges'!$C:$C,16))</f>
        <v/>
      </c>
      <c r="FE69" s="12" t="str">
        <f>IF($A69="","",FB69+(FD69-SUMIFS('Nursing Charges'!$J:$J,'Nursing Charges'!$A:$A,$A69,'Nursing Charges'!$C:$C,16))+(FC69-SUMIFS('Consumable Usage'!$F:$F,'Consumable Usage'!$A:$A,$A69,'Consumable Usage'!$D:$D,16)))</f>
        <v/>
      </c>
      <c r="FF69" s="12" t="str">
        <f t="shared" si="46"/>
        <v/>
      </c>
      <c r="FG69" s="20"/>
      <c r="FH69" s="12" t="str">
        <f t="shared" si="47"/>
        <v/>
      </c>
      <c r="FI69" s="45" t="str">
        <f t="shared" si="48"/>
        <v/>
      </c>
      <c r="FJ69" s="53"/>
      <c r="FK69" s="53"/>
      <c r="FL69" s="63"/>
      <c r="FM69" s="63" t="str">
        <f>IF($A69="","",SUMIFS('Consumable Usage'!$E:$E,'Consumable Usage'!$A:$A,$A69,'Consumable Usage'!$D:$D,16))</f>
        <v/>
      </c>
      <c r="FN69" s="63" t="str">
        <f>IF($A69="","",SUMIFS('Nursing Charges'!$I:$I,'Nursing Charges'!$A:$A,$A69,'Nursing Charges'!$C:$C,16))</f>
        <v/>
      </c>
      <c r="FO69" s="63" t="str">
        <f>IF($A69="","",FL69+(FN69-SUMIFS('Nursing Charges'!$J:$J,'Nursing Charges'!$A:$A,$A69,'Nursing Charges'!$C:$C,16))+(FM69-SUMIFS('Consumable Usage'!$F:$F,'Consumable Usage'!$A:$A,$A69,'Consumable Usage'!$D:$D,16)))</f>
        <v/>
      </c>
      <c r="FP69" s="63" t="str">
        <f t="shared" si="49"/>
        <v/>
      </c>
      <c r="FQ69" s="63"/>
      <c r="FR69" s="63" t="str">
        <f t="shared" si="50"/>
        <v/>
      </c>
      <c r="FS69" s="53" t="str">
        <f t="shared" si="51"/>
        <v/>
      </c>
    </row>
    <row r="70" ht="15.0" customHeight="1">
      <c r="A70" s="15"/>
      <c r="B70" s="15"/>
      <c r="C70" s="15"/>
      <c r="D70" s="15"/>
      <c r="E70" s="15"/>
      <c r="F70" s="15"/>
      <c r="G70" s="15"/>
      <c r="H70" s="20"/>
      <c r="I70" s="12" t="str">
        <f>IF($A70="","",SUMIFS('Consumable Usage'!$E:$E,'Consumable Usage'!$A:$A,$A70,'Consumable Usage'!$D:$D,1))</f>
        <v/>
      </c>
      <c r="J70" s="12" t="str">
        <f>IF($A70="","",SUMIFS('Nursing Charges'!$I:$I,'Nursing Charges'!$A:$A,$A70,'Nursing Charges'!$C:$C,1))</f>
        <v/>
      </c>
      <c r="K70" s="12" t="str">
        <f>IF($A70="","",H70+(J70-SUMIFS('Nursing Charges'!$J:$J,'Nursing Charges'!$A:$A,$A70,'Nursing Charges'!$C:$C,1))+(I70-SUMIFS('Consumable Usage'!$F:$F,'Consumable Usage'!$A:$A,$A70,'Consumable Usage'!$D:$D,1)))</f>
        <v/>
      </c>
      <c r="L70" s="12" t="str">
        <f t="shared" si="1"/>
        <v/>
      </c>
      <c r="M70" s="20"/>
      <c r="N70" s="12" t="str">
        <f t="shared" si="2"/>
        <v/>
      </c>
      <c r="O70" s="45" t="str">
        <f t="shared" si="3"/>
        <v/>
      </c>
      <c r="P70" s="15"/>
      <c r="Q70" s="15"/>
      <c r="R70" s="20"/>
      <c r="S70" s="12" t="str">
        <f>IF($A70="","",SUMIFS('Consumable Usage'!$E:$E,'Consumable Usage'!$A:$A,$A70,'Consumable Usage'!$D:$D,2))</f>
        <v/>
      </c>
      <c r="T70" s="12" t="str">
        <f>IF($A70="","",SUMIFS('Nursing Charges'!$I:$I,'Nursing Charges'!$A:$A,$A70,'Nursing Charges'!$C:$C,2))</f>
        <v/>
      </c>
      <c r="U70" s="12" t="str">
        <f>IF($A70="","",R70+(T70-SUMIFS('Nursing Charges'!$J:$J,'Nursing Charges'!$A:$A,$A70,'Nursing Charges'!$C:$C,2))+(S70-SUMIFS('Consumable Usage'!$F:$F,'Consumable Usage'!$A:$A,$A70,'Consumable Usage'!$D:$D,2)))</f>
        <v/>
      </c>
      <c r="V70" s="12" t="str">
        <f t="shared" si="4"/>
        <v/>
      </c>
      <c r="W70" s="20"/>
      <c r="X70" s="12" t="str">
        <f t="shared" si="5"/>
        <v/>
      </c>
      <c r="Y70" s="45" t="str">
        <f t="shared" si="6"/>
        <v/>
      </c>
      <c r="Z70" s="15"/>
      <c r="AA70" s="15"/>
      <c r="AB70" s="20"/>
      <c r="AC70" s="12" t="str">
        <f>IF($A70="","",SUMIFS('Consumable Usage'!$E:$E,'Consumable Usage'!$A:$A,$A70,'Consumable Usage'!$D:$D,3))</f>
        <v/>
      </c>
      <c r="AD70" s="12" t="str">
        <f>IF($A70="","",SUMIFS('Nursing Charges'!$I:$I,'Nursing Charges'!$A:$A,$A70,'Nursing Charges'!$C:$C,3))</f>
        <v/>
      </c>
      <c r="AE70" s="12" t="str">
        <f>IF($A70="","",AB70+(AD70-SUMIFS('Nursing Charges'!$J:$J,'Nursing Charges'!$A:$A,$A70,'Nursing Charges'!$C:$C,3))+(AC70-SUMIFS('Consumable Usage'!$F:$F,'Consumable Usage'!$A:$A,$A70,'Consumable Usage'!$D:$D,3)))</f>
        <v/>
      </c>
      <c r="AF70" s="12" t="str">
        <f t="shared" si="7"/>
        <v/>
      </c>
      <c r="AG70" s="20"/>
      <c r="AH70" s="12" t="str">
        <f t="shared" si="8"/>
        <v/>
      </c>
      <c r="AI70" s="45" t="str">
        <f t="shared" si="9"/>
        <v/>
      </c>
      <c r="AJ70" s="15"/>
      <c r="AK70" s="15"/>
      <c r="AL70" s="20"/>
      <c r="AM70" s="12" t="str">
        <f>IF($A70="","",SUMIFS('Consumable Usage'!$E:$E,'Consumable Usage'!$A:$A,$A70,'Consumable Usage'!$D:$D,4))</f>
        <v/>
      </c>
      <c r="AN70" s="12" t="str">
        <f>IF($A70="","",SUMIFS('Nursing Charges'!$I:$I,'Nursing Charges'!$A:$A,$A70,'Nursing Charges'!$C:$C,4))</f>
        <v/>
      </c>
      <c r="AO70" s="12" t="str">
        <f>IF($A70="","",AL70+(AN70-SUMIFS('Nursing Charges'!$J:$J,'Nursing Charges'!$A:$A,$A70,'Nursing Charges'!$C:$C,4))+(AM70-SUMIFS('Consumable Usage'!$F:$F,'Consumable Usage'!$A:$A,$A70,'Consumable Usage'!$D:$D,4)))</f>
        <v/>
      </c>
      <c r="AP70" s="12" t="str">
        <f t="shared" si="10"/>
        <v/>
      </c>
      <c r="AQ70" s="20"/>
      <c r="AR70" s="12" t="str">
        <f t="shared" si="11"/>
        <v/>
      </c>
      <c r="AS70" s="45" t="str">
        <f t="shared" si="12"/>
        <v/>
      </c>
      <c r="AT70" s="15"/>
      <c r="AU70" s="15"/>
      <c r="AV70" s="20"/>
      <c r="AW70" s="12" t="str">
        <f>IF($A70="","",SUMIFS('Consumable Usage'!$E:$E,'Consumable Usage'!$A:$A,$A70,'Consumable Usage'!$D:$D,5))</f>
        <v/>
      </c>
      <c r="AX70" s="12" t="str">
        <f>IF($A70="","",SUMIFS('Nursing Charges'!$I:$I,'Nursing Charges'!$A:$A,$A70,'Nursing Charges'!$C:$C,5))</f>
        <v/>
      </c>
      <c r="AY70" s="12" t="str">
        <f>IF($A70="","",AV70+(AX70-SUMIFS('Nursing Charges'!$J:$J,'Nursing Charges'!$A:$A,$A70,'Nursing Charges'!$C:$C,5))+(AW70-SUMIFS('Consumable Usage'!$F:$F,'Consumable Usage'!$A:$A,$A70,'Consumable Usage'!$D:$D,5)))</f>
        <v/>
      </c>
      <c r="AZ70" s="12" t="str">
        <f t="shared" si="13"/>
        <v/>
      </c>
      <c r="BA70" s="20"/>
      <c r="BB70" s="12" t="str">
        <f t="shared" si="14"/>
        <v/>
      </c>
      <c r="BC70" s="45" t="str">
        <f t="shared" si="15"/>
        <v/>
      </c>
      <c r="BD70" s="15"/>
      <c r="BE70" s="15"/>
      <c r="BF70" s="20"/>
      <c r="BG70" s="12" t="str">
        <f>IF($A70="","",SUMIFS('Consumable Usage'!$E:$E,'Consumable Usage'!$A:$A,$A70,'Consumable Usage'!$D:$D,6))</f>
        <v/>
      </c>
      <c r="BH70" s="12" t="str">
        <f>IF($A70="","",SUMIFS('Nursing Charges'!$I:$I,'Nursing Charges'!$A:$A,$A70,'Nursing Charges'!$C:$C,6))</f>
        <v/>
      </c>
      <c r="BI70" s="12" t="str">
        <f>IF($A70="","",BF70+(BH70-SUMIFS('Nursing Charges'!$J:$J,'Nursing Charges'!$A:$A,$A70,'Nursing Charges'!$C:$C,6))+(BG70-SUMIFS('Consumable Usage'!$F:$F,'Consumable Usage'!$A:$A,$A70,'Consumable Usage'!$D:$D,6)))</f>
        <v/>
      </c>
      <c r="BJ70" s="12" t="str">
        <f t="shared" si="16"/>
        <v/>
      </c>
      <c r="BK70" s="20"/>
      <c r="BL70" s="12" t="str">
        <f t="shared" si="17"/>
        <v/>
      </c>
      <c r="BM70" s="45" t="str">
        <f t="shared" si="18"/>
        <v/>
      </c>
      <c r="BN70" s="15"/>
      <c r="BO70" s="15"/>
      <c r="BP70" s="20"/>
      <c r="BQ70" s="12" t="str">
        <f>IF($A70="","",SUMIFS('Consumable Usage'!$E:$E,'Consumable Usage'!$A:$A,$A70,'Consumable Usage'!$D:$D,7))</f>
        <v/>
      </c>
      <c r="BR70" s="12" t="str">
        <f>IF($A70="","",SUMIFS('Nursing Charges'!$I:$I,'Nursing Charges'!$A:$A,$A70,'Nursing Charges'!$C:$C,7))</f>
        <v/>
      </c>
      <c r="BS70" s="12" t="str">
        <f>IF($A70="","",BP70+(BR70-SUMIFS('Nursing Charges'!$J:$J,'Nursing Charges'!$A:$A,$A70,'Nursing Charges'!$C:$C,7))+(BQ70-SUMIFS('Consumable Usage'!$F:$F,'Consumable Usage'!$A:$A,$A70,'Consumable Usage'!$D:$D,7)))</f>
        <v/>
      </c>
      <c r="BT70" s="12" t="str">
        <f t="shared" si="19"/>
        <v/>
      </c>
      <c r="BU70" s="20"/>
      <c r="BV70" s="12" t="str">
        <f t="shared" si="20"/>
        <v/>
      </c>
      <c r="BW70" s="45" t="str">
        <f t="shared" si="21"/>
        <v/>
      </c>
      <c r="BX70" s="15"/>
      <c r="BY70" s="15"/>
      <c r="BZ70" s="20"/>
      <c r="CA70" s="12" t="str">
        <f>IF($A70="","",SUMIFS('Consumable Usage'!$E:$E,'Consumable Usage'!$A:$A,$A70,'Consumable Usage'!$D:$D,8))</f>
        <v/>
      </c>
      <c r="CB70" s="12" t="str">
        <f>IF($A70="","",SUMIFS('Nursing Charges'!$I:$I,'Nursing Charges'!$A:$A,$A70,'Nursing Charges'!$C:$C,8))</f>
        <v/>
      </c>
      <c r="CC70" s="12" t="str">
        <f>IF($A70="","",BZ70+(CB70-SUMIFS('Nursing Charges'!$J:$J,'Nursing Charges'!$A:$A,$A70,'Nursing Charges'!$C:$C,8))+(CA70-SUMIFS('Consumable Usage'!$F:$F,'Consumable Usage'!$A:$A,$A70,'Consumable Usage'!$D:$D,8)))</f>
        <v/>
      </c>
      <c r="CD70" s="12" t="str">
        <f t="shared" si="22"/>
        <v/>
      </c>
      <c r="CE70" s="20"/>
      <c r="CF70" s="12" t="str">
        <f t="shared" si="23"/>
        <v/>
      </c>
      <c r="CG70" s="45" t="str">
        <f t="shared" si="24"/>
        <v/>
      </c>
      <c r="CH70" s="15"/>
      <c r="CI70" s="15"/>
      <c r="CJ70" s="20"/>
      <c r="CK70" s="12" t="str">
        <f>IF($A70="","",SUMIFS('Consumable Usage'!$E:$E,'Consumable Usage'!$A:$A,$A70,'Consumable Usage'!$D:$D,9))</f>
        <v/>
      </c>
      <c r="CL70" s="12" t="str">
        <f>IF($A70="","",SUMIFS('Nursing Charges'!$I:$I,'Nursing Charges'!$A:$A,$A70,'Nursing Charges'!$C:$C,9))</f>
        <v/>
      </c>
      <c r="CM70" s="12" t="str">
        <f>IF($A70="","",CJ70+(CL70-SUMIFS('Nursing Charges'!$J:$J,'Nursing Charges'!$A:$A,$A70,'Nursing Charges'!$C:$C,9))+(CK70-SUMIFS('Consumable Usage'!$F:$F,'Consumable Usage'!$A:$A,$A70,'Consumable Usage'!$D:$D,9)))</f>
        <v/>
      </c>
      <c r="CN70" s="12" t="str">
        <f t="shared" si="25"/>
        <v/>
      </c>
      <c r="CO70" s="20"/>
      <c r="CP70" s="12" t="str">
        <f t="shared" si="26"/>
        <v/>
      </c>
      <c r="CQ70" s="45" t="str">
        <f t="shared" si="27"/>
        <v/>
      </c>
      <c r="CR70" s="15"/>
      <c r="CS70" s="15"/>
      <c r="CT70" s="20"/>
      <c r="CU70" s="12" t="str">
        <f>IF($A70="","",SUMIFS('Consumable Usage'!$E:$E,'Consumable Usage'!$A:$A,$A70,'Consumable Usage'!$D:$D,10))</f>
        <v/>
      </c>
      <c r="CV70" s="12" t="str">
        <f>IF($A70="","",SUMIFS('Nursing Charges'!$I:$I,'Nursing Charges'!$A:$A,$A70,'Nursing Charges'!$C:$C,10))</f>
        <v/>
      </c>
      <c r="CW70" s="12" t="str">
        <f>IF($A70="","",CT70+(CV70-SUMIFS('Nursing Charges'!$J:$J,'Nursing Charges'!$A:$A,$A70,'Nursing Charges'!$C:$C,10))+(CU70-SUMIFS('Consumable Usage'!$F:$F,'Consumable Usage'!$A:$A,$A70,'Consumable Usage'!$D:$D,10)))</f>
        <v/>
      </c>
      <c r="CX70" s="12" t="str">
        <f t="shared" si="28"/>
        <v/>
      </c>
      <c r="CY70" s="20"/>
      <c r="CZ70" s="12" t="str">
        <f t="shared" si="29"/>
        <v/>
      </c>
      <c r="DA70" s="45" t="str">
        <f t="shared" si="30"/>
        <v/>
      </c>
      <c r="DB70" s="15"/>
      <c r="DC70" s="15"/>
      <c r="DD70" s="20"/>
      <c r="DE70" s="12" t="str">
        <f>IF($A70="","",SUMIFS('Consumable Usage'!$E:$E,'Consumable Usage'!$A:$A,$A70,'Consumable Usage'!$D:$D,11))</f>
        <v/>
      </c>
      <c r="DF70" s="12" t="str">
        <f>IF($A70="","",SUMIFS('Nursing Charges'!$I:$I,'Nursing Charges'!$A:$A,$A70,'Nursing Charges'!$C:$C,11))</f>
        <v/>
      </c>
      <c r="DG70" s="12" t="str">
        <f>IF($A70="","",DD70+(DF70-SUMIFS('Nursing Charges'!$J:$J,'Nursing Charges'!$A:$A,$A70,'Nursing Charges'!$C:$C,11))+(DE70-SUMIFS('Consumable Usage'!$F:$F,'Consumable Usage'!$A:$A,$A70,'Consumable Usage'!$D:$D,11)))</f>
        <v/>
      </c>
      <c r="DH70" s="12" t="str">
        <f t="shared" si="31"/>
        <v/>
      </c>
      <c r="DI70" s="20"/>
      <c r="DJ70" s="12" t="str">
        <f t="shared" si="32"/>
        <v/>
      </c>
      <c r="DK70" s="45" t="str">
        <f t="shared" si="33"/>
        <v/>
      </c>
      <c r="DL70" s="15"/>
      <c r="DM70" s="15"/>
      <c r="DN70" s="20"/>
      <c r="DO70" s="12" t="str">
        <f>IF($A70="","",SUMIFS('Consumable Usage'!$E:$E,'Consumable Usage'!$A:$A,$A70,'Consumable Usage'!$D:$D,12))</f>
        <v/>
      </c>
      <c r="DP70" s="12" t="str">
        <f>IF($A70="","",SUMIFS('Nursing Charges'!$I:$I,'Nursing Charges'!$A:$A,$A70,'Nursing Charges'!$C:$C,12))</f>
        <v/>
      </c>
      <c r="DQ70" s="12" t="str">
        <f>IF($A70="","",DN70+(DP70-SUMIFS('Nursing Charges'!$J:$J,'Nursing Charges'!$A:$A,$A70,'Nursing Charges'!$C:$C,12))+(DO70-SUMIFS('Consumable Usage'!$F:$F,'Consumable Usage'!$A:$A,$A70,'Consumable Usage'!$D:$D,12)))</f>
        <v/>
      </c>
      <c r="DR70" s="12" t="str">
        <f t="shared" si="34"/>
        <v/>
      </c>
      <c r="DS70" s="20"/>
      <c r="DT70" s="12" t="str">
        <f t="shared" si="35"/>
        <v/>
      </c>
      <c r="DU70" s="45" t="str">
        <f t="shared" si="36"/>
        <v/>
      </c>
      <c r="DV70" s="15"/>
      <c r="DW70" s="15"/>
      <c r="DX70" s="20"/>
      <c r="DY70" s="12" t="str">
        <f>IF($A70="","",SUMIFS('Consumable Usage'!$E:$E,'Consumable Usage'!$A:$A,$A70,'Consumable Usage'!$D:$D,13))</f>
        <v/>
      </c>
      <c r="DZ70" s="12" t="str">
        <f>IF($A70="","",SUMIFS('Nursing Charges'!$I:$I,'Nursing Charges'!$A:$A,$A70,'Nursing Charges'!$C:$C,13))</f>
        <v/>
      </c>
      <c r="EA70" s="12" t="str">
        <f>IF($A70="","",DX70+(DZ70-SUMIFS('Nursing Charges'!$J:$J,'Nursing Charges'!$A:$A,$A70,'Nursing Charges'!$C:$C,13))+(DY70-SUMIFS('Consumable Usage'!$F:$F,'Consumable Usage'!$A:$A,$A70,'Consumable Usage'!$D:$D,13)))</f>
        <v/>
      </c>
      <c r="EB70" s="12" t="str">
        <f t="shared" si="37"/>
        <v/>
      </c>
      <c r="EC70" s="20"/>
      <c r="ED70" s="12" t="str">
        <f t="shared" si="38"/>
        <v/>
      </c>
      <c r="EE70" s="45" t="str">
        <f t="shared" si="39"/>
        <v/>
      </c>
      <c r="EF70" s="15"/>
      <c r="EG70" s="15"/>
      <c r="EH70" s="20"/>
      <c r="EI70" s="12" t="str">
        <f>IF($A70="","",SUMIFS('Consumable Usage'!$E:$E,'Consumable Usage'!$A:$A,$A70,'Consumable Usage'!$D:$D,14))</f>
        <v/>
      </c>
      <c r="EJ70" s="12" t="str">
        <f>IF($A70="","",SUMIFS('Nursing Charges'!$I:$I,'Nursing Charges'!$A:$A,$A70,'Nursing Charges'!$C:$C,14))</f>
        <v/>
      </c>
      <c r="EK70" s="12" t="str">
        <f>IF($A70="","",EH70+(EJ70-SUMIFS('Nursing Charges'!$J:$J,'Nursing Charges'!$A:$A,$A70,'Nursing Charges'!$C:$C,14))+(EI70-SUMIFS('Consumable Usage'!$F:$F,'Consumable Usage'!$A:$A,$A70,'Consumable Usage'!$D:$D,14)))</f>
        <v/>
      </c>
      <c r="EL70" s="12" t="str">
        <f t="shared" si="40"/>
        <v/>
      </c>
      <c r="EM70" s="20"/>
      <c r="EN70" s="12" t="str">
        <f t="shared" si="41"/>
        <v/>
      </c>
      <c r="EO70" s="45" t="str">
        <f t="shared" si="42"/>
        <v/>
      </c>
      <c r="EP70" s="15"/>
      <c r="EQ70" s="15"/>
      <c r="ER70" s="20"/>
      <c r="ES70" s="12" t="str">
        <f>IF($A70="","",SUMIFS('Consumable Usage'!$E:$E,'Consumable Usage'!$A:$A,$A70,'Consumable Usage'!$D:$D,15))</f>
        <v/>
      </c>
      <c r="ET70" s="12" t="str">
        <f>IF($A70="","",SUMIFS('Nursing Charges'!$I:$I,'Nursing Charges'!$A:$A,$A70,'Nursing Charges'!$C:$C,15))</f>
        <v/>
      </c>
      <c r="EU70" s="12" t="str">
        <f>IF($A70="","",ER70+(ET70-SUMIFS('Nursing Charges'!$J:$J,'Nursing Charges'!$A:$A,$A70,'Nursing Charges'!$C:$C,15))+(ES70-SUMIFS('Consumable Usage'!$F:$F,'Consumable Usage'!$A:$A,$A70,'Consumable Usage'!$D:$D,15)))</f>
        <v/>
      </c>
      <c r="EV70" s="12" t="str">
        <f t="shared" si="43"/>
        <v/>
      </c>
      <c r="EW70" s="20"/>
      <c r="EX70" s="12" t="str">
        <f t="shared" si="44"/>
        <v/>
      </c>
      <c r="EY70" s="45" t="str">
        <f t="shared" si="45"/>
        <v/>
      </c>
      <c r="EZ70" s="15"/>
      <c r="FA70" s="15"/>
      <c r="FB70" s="20"/>
      <c r="FC70" s="12" t="str">
        <f>IF($A70="","",SUMIFS('Consumable Usage'!$E:$E,'Consumable Usage'!$A:$A,$A70,'Consumable Usage'!$D:$D,16))</f>
        <v/>
      </c>
      <c r="FD70" s="12" t="str">
        <f>IF($A70="","",SUMIFS('Nursing Charges'!$I:$I,'Nursing Charges'!$A:$A,$A70,'Nursing Charges'!$C:$C,16))</f>
        <v/>
      </c>
      <c r="FE70" s="12" t="str">
        <f>IF($A70="","",FB70+(FD70-SUMIFS('Nursing Charges'!$J:$J,'Nursing Charges'!$A:$A,$A70,'Nursing Charges'!$C:$C,16))+(FC70-SUMIFS('Consumable Usage'!$F:$F,'Consumable Usage'!$A:$A,$A70,'Consumable Usage'!$D:$D,16)))</f>
        <v/>
      </c>
      <c r="FF70" s="12" t="str">
        <f t="shared" si="46"/>
        <v/>
      </c>
      <c r="FG70" s="20"/>
      <c r="FH70" s="12" t="str">
        <f t="shared" si="47"/>
        <v/>
      </c>
      <c r="FI70" s="45" t="str">
        <f t="shared" si="48"/>
        <v/>
      </c>
      <c r="FJ70" s="53"/>
      <c r="FK70" s="53"/>
      <c r="FL70" s="63"/>
      <c r="FM70" s="63" t="str">
        <f>IF($A70="","",SUMIFS('Consumable Usage'!$E:$E,'Consumable Usage'!$A:$A,$A70,'Consumable Usage'!$D:$D,16))</f>
        <v/>
      </c>
      <c r="FN70" s="63" t="str">
        <f>IF($A70="","",SUMIFS('Nursing Charges'!$I:$I,'Nursing Charges'!$A:$A,$A70,'Nursing Charges'!$C:$C,16))</f>
        <v/>
      </c>
      <c r="FO70" s="63" t="str">
        <f>IF($A70="","",FL70+(FN70-SUMIFS('Nursing Charges'!$J:$J,'Nursing Charges'!$A:$A,$A70,'Nursing Charges'!$C:$C,16))+(FM70-SUMIFS('Consumable Usage'!$F:$F,'Consumable Usage'!$A:$A,$A70,'Consumable Usage'!$D:$D,16)))</f>
        <v/>
      </c>
      <c r="FP70" s="63" t="str">
        <f t="shared" si="49"/>
        <v/>
      </c>
      <c r="FQ70" s="63"/>
      <c r="FR70" s="63" t="str">
        <f t="shared" si="50"/>
        <v/>
      </c>
      <c r="FS70" s="53" t="str">
        <f t="shared" si="51"/>
        <v/>
      </c>
    </row>
    <row r="71" ht="15.0" customHeight="1">
      <c r="A71" s="15"/>
      <c r="B71" s="15"/>
      <c r="C71" s="15"/>
      <c r="D71" s="15"/>
      <c r="E71" s="15"/>
      <c r="F71" s="15"/>
      <c r="G71" s="15"/>
      <c r="H71" s="20"/>
      <c r="I71" s="12" t="str">
        <f>IF($A71="","",SUMIFS('Consumable Usage'!$E:$E,'Consumable Usage'!$A:$A,$A71,'Consumable Usage'!$D:$D,1))</f>
        <v/>
      </c>
      <c r="J71" s="12" t="str">
        <f>IF($A71="","",SUMIFS('Nursing Charges'!$I:$I,'Nursing Charges'!$A:$A,$A71,'Nursing Charges'!$C:$C,1))</f>
        <v/>
      </c>
      <c r="K71" s="12" t="str">
        <f>IF($A71="","",H71+(J71-SUMIFS('Nursing Charges'!$J:$J,'Nursing Charges'!$A:$A,$A71,'Nursing Charges'!$C:$C,1))+(I71-SUMIFS('Consumable Usage'!$F:$F,'Consumable Usage'!$A:$A,$A71,'Consumable Usage'!$D:$D,1)))</f>
        <v/>
      </c>
      <c r="L71" s="12" t="str">
        <f t="shared" si="1"/>
        <v/>
      </c>
      <c r="M71" s="20"/>
      <c r="N71" s="12" t="str">
        <f t="shared" si="2"/>
        <v/>
      </c>
      <c r="O71" s="45" t="str">
        <f t="shared" si="3"/>
        <v/>
      </c>
      <c r="P71" s="15"/>
      <c r="Q71" s="15"/>
      <c r="R71" s="20"/>
      <c r="S71" s="12" t="str">
        <f>IF($A71="","",SUMIFS('Consumable Usage'!$E:$E,'Consumable Usage'!$A:$A,$A71,'Consumable Usage'!$D:$D,2))</f>
        <v/>
      </c>
      <c r="T71" s="12" t="str">
        <f>IF($A71="","",SUMIFS('Nursing Charges'!$I:$I,'Nursing Charges'!$A:$A,$A71,'Nursing Charges'!$C:$C,2))</f>
        <v/>
      </c>
      <c r="U71" s="12" t="str">
        <f>IF($A71="","",R71+(T71-SUMIFS('Nursing Charges'!$J:$J,'Nursing Charges'!$A:$A,$A71,'Nursing Charges'!$C:$C,2))+(S71-SUMIFS('Consumable Usage'!$F:$F,'Consumable Usage'!$A:$A,$A71,'Consumable Usage'!$D:$D,2)))</f>
        <v/>
      </c>
      <c r="V71" s="12" t="str">
        <f t="shared" si="4"/>
        <v/>
      </c>
      <c r="W71" s="20"/>
      <c r="X71" s="12" t="str">
        <f t="shared" si="5"/>
        <v/>
      </c>
      <c r="Y71" s="45" t="str">
        <f t="shared" si="6"/>
        <v/>
      </c>
      <c r="Z71" s="15"/>
      <c r="AA71" s="15"/>
      <c r="AB71" s="20"/>
      <c r="AC71" s="12" t="str">
        <f>IF($A71="","",SUMIFS('Consumable Usage'!$E:$E,'Consumable Usage'!$A:$A,$A71,'Consumable Usage'!$D:$D,3))</f>
        <v/>
      </c>
      <c r="AD71" s="12" t="str">
        <f>IF($A71="","",SUMIFS('Nursing Charges'!$I:$I,'Nursing Charges'!$A:$A,$A71,'Nursing Charges'!$C:$C,3))</f>
        <v/>
      </c>
      <c r="AE71" s="12" t="str">
        <f>IF($A71="","",AB71+(AD71-SUMIFS('Nursing Charges'!$J:$J,'Nursing Charges'!$A:$A,$A71,'Nursing Charges'!$C:$C,3))+(AC71-SUMIFS('Consumable Usage'!$F:$F,'Consumable Usage'!$A:$A,$A71,'Consumable Usage'!$D:$D,3)))</f>
        <v/>
      </c>
      <c r="AF71" s="12" t="str">
        <f t="shared" si="7"/>
        <v/>
      </c>
      <c r="AG71" s="20"/>
      <c r="AH71" s="12" t="str">
        <f t="shared" si="8"/>
        <v/>
      </c>
      <c r="AI71" s="45" t="str">
        <f t="shared" si="9"/>
        <v/>
      </c>
      <c r="AJ71" s="15"/>
      <c r="AK71" s="15"/>
      <c r="AL71" s="20"/>
      <c r="AM71" s="12" t="str">
        <f>IF($A71="","",SUMIFS('Consumable Usage'!$E:$E,'Consumable Usage'!$A:$A,$A71,'Consumable Usage'!$D:$D,4))</f>
        <v/>
      </c>
      <c r="AN71" s="12" t="str">
        <f>IF($A71="","",SUMIFS('Nursing Charges'!$I:$I,'Nursing Charges'!$A:$A,$A71,'Nursing Charges'!$C:$C,4))</f>
        <v/>
      </c>
      <c r="AO71" s="12" t="str">
        <f>IF($A71="","",AL71+(AN71-SUMIFS('Nursing Charges'!$J:$J,'Nursing Charges'!$A:$A,$A71,'Nursing Charges'!$C:$C,4))+(AM71-SUMIFS('Consumable Usage'!$F:$F,'Consumable Usage'!$A:$A,$A71,'Consumable Usage'!$D:$D,4)))</f>
        <v/>
      </c>
      <c r="AP71" s="12" t="str">
        <f t="shared" si="10"/>
        <v/>
      </c>
      <c r="AQ71" s="20"/>
      <c r="AR71" s="12" t="str">
        <f t="shared" si="11"/>
        <v/>
      </c>
      <c r="AS71" s="45" t="str">
        <f t="shared" si="12"/>
        <v/>
      </c>
      <c r="AT71" s="15"/>
      <c r="AU71" s="15"/>
      <c r="AV71" s="20"/>
      <c r="AW71" s="12" t="str">
        <f>IF($A71="","",SUMIFS('Consumable Usage'!$E:$E,'Consumable Usage'!$A:$A,$A71,'Consumable Usage'!$D:$D,5))</f>
        <v/>
      </c>
      <c r="AX71" s="12" t="str">
        <f>IF($A71="","",SUMIFS('Nursing Charges'!$I:$I,'Nursing Charges'!$A:$A,$A71,'Nursing Charges'!$C:$C,5))</f>
        <v/>
      </c>
      <c r="AY71" s="12" t="str">
        <f>IF($A71="","",AV71+(AX71-SUMIFS('Nursing Charges'!$J:$J,'Nursing Charges'!$A:$A,$A71,'Nursing Charges'!$C:$C,5))+(AW71-SUMIFS('Consumable Usage'!$F:$F,'Consumable Usage'!$A:$A,$A71,'Consumable Usage'!$D:$D,5)))</f>
        <v/>
      </c>
      <c r="AZ71" s="12" t="str">
        <f t="shared" si="13"/>
        <v/>
      </c>
      <c r="BA71" s="20"/>
      <c r="BB71" s="12" t="str">
        <f t="shared" si="14"/>
        <v/>
      </c>
      <c r="BC71" s="45" t="str">
        <f t="shared" si="15"/>
        <v/>
      </c>
      <c r="BD71" s="15"/>
      <c r="BE71" s="15"/>
      <c r="BF71" s="20"/>
      <c r="BG71" s="12" t="str">
        <f>IF($A71="","",SUMIFS('Consumable Usage'!$E:$E,'Consumable Usage'!$A:$A,$A71,'Consumable Usage'!$D:$D,6))</f>
        <v/>
      </c>
      <c r="BH71" s="12" t="str">
        <f>IF($A71="","",SUMIFS('Nursing Charges'!$I:$I,'Nursing Charges'!$A:$A,$A71,'Nursing Charges'!$C:$C,6))</f>
        <v/>
      </c>
      <c r="BI71" s="12" t="str">
        <f>IF($A71="","",BF71+(BH71-SUMIFS('Nursing Charges'!$J:$J,'Nursing Charges'!$A:$A,$A71,'Nursing Charges'!$C:$C,6))+(BG71-SUMIFS('Consumable Usage'!$F:$F,'Consumable Usage'!$A:$A,$A71,'Consumable Usage'!$D:$D,6)))</f>
        <v/>
      </c>
      <c r="BJ71" s="12" t="str">
        <f t="shared" si="16"/>
        <v/>
      </c>
      <c r="BK71" s="20"/>
      <c r="BL71" s="12" t="str">
        <f t="shared" si="17"/>
        <v/>
      </c>
      <c r="BM71" s="45" t="str">
        <f t="shared" si="18"/>
        <v/>
      </c>
      <c r="BN71" s="15"/>
      <c r="BO71" s="15"/>
      <c r="BP71" s="20"/>
      <c r="BQ71" s="12" t="str">
        <f>IF($A71="","",SUMIFS('Consumable Usage'!$E:$E,'Consumable Usage'!$A:$A,$A71,'Consumable Usage'!$D:$D,7))</f>
        <v/>
      </c>
      <c r="BR71" s="12" t="str">
        <f>IF($A71="","",SUMIFS('Nursing Charges'!$I:$I,'Nursing Charges'!$A:$A,$A71,'Nursing Charges'!$C:$C,7))</f>
        <v/>
      </c>
      <c r="BS71" s="12" t="str">
        <f>IF($A71="","",BP71+(BR71-SUMIFS('Nursing Charges'!$J:$J,'Nursing Charges'!$A:$A,$A71,'Nursing Charges'!$C:$C,7))+(BQ71-SUMIFS('Consumable Usage'!$F:$F,'Consumable Usage'!$A:$A,$A71,'Consumable Usage'!$D:$D,7)))</f>
        <v/>
      </c>
      <c r="BT71" s="12" t="str">
        <f t="shared" si="19"/>
        <v/>
      </c>
      <c r="BU71" s="20"/>
      <c r="BV71" s="12" t="str">
        <f t="shared" si="20"/>
        <v/>
      </c>
      <c r="BW71" s="45" t="str">
        <f t="shared" si="21"/>
        <v/>
      </c>
      <c r="BX71" s="15"/>
      <c r="BY71" s="15"/>
      <c r="BZ71" s="20"/>
      <c r="CA71" s="12" t="str">
        <f>IF($A71="","",SUMIFS('Consumable Usage'!$E:$E,'Consumable Usage'!$A:$A,$A71,'Consumable Usage'!$D:$D,8))</f>
        <v/>
      </c>
      <c r="CB71" s="12" t="str">
        <f>IF($A71="","",SUMIFS('Nursing Charges'!$I:$I,'Nursing Charges'!$A:$A,$A71,'Nursing Charges'!$C:$C,8))</f>
        <v/>
      </c>
      <c r="CC71" s="12" t="str">
        <f>IF($A71="","",BZ71+(CB71-SUMIFS('Nursing Charges'!$J:$J,'Nursing Charges'!$A:$A,$A71,'Nursing Charges'!$C:$C,8))+(CA71-SUMIFS('Consumable Usage'!$F:$F,'Consumable Usage'!$A:$A,$A71,'Consumable Usage'!$D:$D,8)))</f>
        <v/>
      </c>
      <c r="CD71" s="12" t="str">
        <f t="shared" si="22"/>
        <v/>
      </c>
      <c r="CE71" s="20"/>
      <c r="CF71" s="12" t="str">
        <f t="shared" si="23"/>
        <v/>
      </c>
      <c r="CG71" s="45" t="str">
        <f t="shared" si="24"/>
        <v/>
      </c>
      <c r="CH71" s="15"/>
      <c r="CI71" s="15"/>
      <c r="CJ71" s="20"/>
      <c r="CK71" s="12" t="str">
        <f>IF($A71="","",SUMIFS('Consumable Usage'!$E:$E,'Consumable Usage'!$A:$A,$A71,'Consumable Usage'!$D:$D,9))</f>
        <v/>
      </c>
      <c r="CL71" s="12" t="str">
        <f>IF($A71="","",SUMIFS('Nursing Charges'!$I:$I,'Nursing Charges'!$A:$A,$A71,'Nursing Charges'!$C:$C,9))</f>
        <v/>
      </c>
      <c r="CM71" s="12" t="str">
        <f>IF($A71="","",CJ71+(CL71-SUMIFS('Nursing Charges'!$J:$J,'Nursing Charges'!$A:$A,$A71,'Nursing Charges'!$C:$C,9))+(CK71-SUMIFS('Consumable Usage'!$F:$F,'Consumable Usage'!$A:$A,$A71,'Consumable Usage'!$D:$D,9)))</f>
        <v/>
      </c>
      <c r="CN71" s="12" t="str">
        <f t="shared" si="25"/>
        <v/>
      </c>
      <c r="CO71" s="20"/>
      <c r="CP71" s="12" t="str">
        <f t="shared" si="26"/>
        <v/>
      </c>
      <c r="CQ71" s="45" t="str">
        <f t="shared" si="27"/>
        <v/>
      </c>
      <c r="CR71" s="15"/>
      <c r="CS71" s="15"/>
      <c r="CT71" s="20"/>
      <c r="CU71" s="12" t="str">
        <f>IF($A71="","",SUMIFS('Consumable Usage'!$E:$E,'Consumable Usage'!$A:$A,$A71,'Consumable Usage'!$D:$D,10))</f>
        <v/>
      </c>
      <c r="CV71" s="12" t="str">
        <f>IF($A71="","",SUMIFS('Nursing Charges'!$I:$I,'Nursing Charges'!$A:$A,$A71,'Nursing Charges'!$C:$C,10))</f>
        <v/>
      </c>
      <c r="CW71" s="12" t="str">
        <f>IF($A71="","",CT71+(CV71-SUMIFS('Nursing Charges'!$J:$J,'Nursing Charges'!$A:$A,$A71,'Nursing Charges'!$C:$C,10))+(CU71-SUMIFS('Consumable Usage'!$F:$F,'Consumable Usage'!$A:$A,$A71,'Consumable Usage'!$D:$D,10)))</f>
        <v/>
      </c>
      <c r="CX71" s="12" t="str">
        <f t="shared" si="28"/>
        <v/>
      </c>
      <c r="CY71" s="20"/>
      <c r="CZ71" s="12" t="str">
        <f t="shared" si="29"/>
        <v/>
      </c>
      <c r="DA71" s="45" t="str">
        <f t="shared" si="30"/>
        <v/>
      </c>
      <c r="DB71" s="15"/>
      <c r="DC71" s="15"/>
      <c r="DD71" s="20"/>
      <c r="DE71" s="12" t="str">
        <f>IF($A71="","",SUMIFS('Consumable Usage'!$E:$E,'Consumable Usage'!$A:$A,$A71,'Consumable Usage'!$D:$D,11))</f>
        <v/>
      </c>
      <c r="DF71" s="12" t="str">
        <f>IF($A71="","",SUMIFS('Nursing Charges'!$I:$I,'Nursing Charges'!$A:$A,$A71,'Nursing Charges'!$C:$C,11))</f>
        <v/>
      </c>
      <c r="DG71" s="12" t="str">
        <f>IF($A71="","",DD71+(DF71-SUMIFS('Nursing Charges'!$J:$J,'Nursing Charges'!$A:$A,$A71,'Nursing Charges'!$C:$C,11))+(DE71-SUMIFS('Consumable Usage'!$F:$F,'Consumable Usage'!$A:$A,$A71,'Consumable Usage'!$D:$D,11)))</f>
        <v/>
      </c>
      <c r="DH71" s="12" t="str">
        <f t="shared" si="31"/>
        <v/>
      </c>
      <c r="DI71" s="20"/>
      <c r="DJ71" s="12" t="str">
        <f t="shared" si="32"/>
        <v/>
      </c>
      <c r="DK71" s="45" t="str">
        <f t="shared" si="33"/>
        <v/>
      </c>
      <c r="DL71" s="15"/>
      <c r="DM71" s="15"/>
      <c r="DN71" s="20"/>
      <c r="DO71" s="12" t="str">
        <f>IF($A71="","",SUMIFS('Consumable Usage'!$E:$E,'Consumable Usage'!$A:$A,$A71,'Consumable Usage'!$D:$D,12))</f>
        <v/>
      </c>
      <c r="DP71" s="12" t="str">
        <f>IF($A71="","",SUMIFS('Nursing Charges'!$I:$I,'Nursing Charges'!$A:$A,$A71,'Nursing Charges'!$C:$C,12))</f>
        <v/>
      </c>
      <c r="DQ71" s="12" t="str">
        <f>IF($A71="","",DN71+(DP71-SUMIFS('Nursing Charges'!$J:$J,'Nursing Charges'!$A:$A,$A71,'Nursing Charges'!$C:$C,12))+(DO71-SUMIFS('Consumable Usage'!$F:$F,'Consumable Usage'!$A:$A,$A71,'Consumable Usage'!$D:$D,12)))</f>
        <v/>
      </c>
      <c r="DR71" s="12" t="str">
        <f t="shared" si="34"/>
        <v/>
      </c>
      <c r="DS71" s="20"/>
      <c r="DT71" s="12" t="str">
        <f t="shared" si="35"/>
        <v/>
      </c>
      <c r="DU71" s="45" t="str">
        <f t="shared" si="36"/>
        <v/>
      </c>
      <c r="DV71" s="15"/>
      <c r="DW71" s="15"/>
      <c r="DX71" s="20"/>
      <c r="DY71" s="12" t="str">
        <f>IF($A71="","",SUMIFS('Consumable Usage'!$E:$E,'Consumable Usage'!$A:$A,$A71,'Consumable Usage'!$D:$D,13))</f>
        <v/>
      </c>
      <c r="DZ71" s="12" t="str">
        <f>IF($A71="","",SUMIFS('Nursing Charges'!$I:$I,'Nursing Charges'!$A:$A,$A71,'Nursing Charges'!$C:$C,13))</f>
        <v/>
      </c>
      <c r="EA71" s="12" t="str">
        <f>IF($A71="","",DX71+(DZ71-SUMIFS('Nursing Charges'!$J:$J,'Nursing Charges'!$A:$A,$A71,'Nursing Charges'!$C:$C,13))+(DY71-SUMIFS('Consumable Usage'!$F:$F,'Consumable Usage'!$A:$A,$A71,'Consumable Usage'!$D:$D,13)))</f>
        <v/>
      </c>
      <c r="EB71" s="12" t="str">
        <f t="shared" si="37"/>
        <v/>
      </c>
      <c r="EC71" s="20"/>
      <c r="ED71" s="12" t="str">
        <f t="shared" si="38"/>
        <v/>
      </c>
      <c r="EE71" s="45" t="str">
        <f t="shared" si="39"/>
        <v/>
      </c>
      <c r="EF71" s="15"/>
      <c r="EG71" s="15"/>
      <c r="EH71" s="20"/>
      <c r="EI71" s="12" t="str">
        <f>IF($A71="","",SUMIFS('Consumable Usage'!$E:$E,'Consumable Usage'!$A:$A,$A71,'Consumable Usage'!$D:$D,14))</f>
        <v/>
      </c>
      <c r="EJ71" s="12" t="str">
        <f>IF($A71="","",SUMIFS('Nursing Charges'!$I:$I,'Nursing Charges'!$A:$A,$A71,'Nursing Charges'!$C:$C,14))</f>
        <v/>
      </c>
      <c r="EK71" s="12" t="str">
        <f>IF($A71="","",EH71+(EJ71-SUMIFS('Nursing Charges'!$J:$J,'Nursing Charges'!$A:$A,$A71,'Nursing Charges'!$C:$C,14))+(EI71-SUMIFS('Consumable Usage'!$F:$F,'Consumable Usage'!$A:$A,$A71,'Consumable Usage'!$D:$D,14)))</f>
        <v/>
      </c>
      <c r="EL71" s="12" t="str">
        <f t="shared" si="40"/>
        <v/>
      </c>
      <c r="EM71" s="20"/>
      <c r="EN71" s="12" t="str">
        <f t="shared" si="41"/>
        <v/>
      </c>
      <c r="EO71" s="45" t="str">
        <f t="shared" si="42"/>
        <v/>
      </c>
      <c r="EP71" s="15"/>
      <c r="EQ71" s="15"/>
      <c r="ER71" s="20"/>
      <c r="ES71" s="12" t="str">
        <f>IF($A71="","",SUMIFS('Consumable Usage'!$E:$E,'Consumable Usage'!$A:$A,$A71,'Consumable Usage'!$D:$D,15))</f>
        <v/>
      </c>
      <c r="ET71" s="12" t="str">
        <f>IF($A71="","",SUMIFS('Nursing Charges'!$I:$I,'Nursing Charges'!$A:$A,$A71,'Nursing Charges'!$C:$C,15))</f>
        <v/>
      </c>
      <c r="EU71" s="12" t="str">
        <f>IF($A71="","",ER71+(ET71-SUMIFS('Nursing Charges'!$J:$J,'Nursing Charges'!$A:$A,$A71,'Nursing Charges'!$C:$C,15))+(ES71-SUMIFS('Consumable Usage'!$F:$F,'Consumable Usage'!$A:$A,$A71,'Consumable Usage'!$D:$D,15)))</f>
        <v/>
      </c>
      <c r="EV71" s="12" t="str">
        <f t="shared" si="43"/>
        <v/>
      </c>
      <c r="EW71" s="20"/>
      <c r="EX71" s="12" t="str">
        <f t="shared" si="44"/>
        <v/>
      </c>
      <c r="EY71" s="45" t="str">
        <f t="shared" si="45"/>
        <v/>
      </c>
      <c r="EZ71" s="15"/>
      <c r="FA71" s="15"/>
      <c r="FB71" s="20"/>
      <c r="FC71" s="12" t="str">
        <f>IF($A71="","",SUMIFS('Consumable Usage'!$E:$E,'Consumable Usage'!$A:$A,$A71,'Consumable Usage'!$D:$D,16))</f>
        <v/>
      </c>
      <c r="FD71" s="12" t="str">
        <f>IF($A71="","",SUMIFS('Nursing Charges'!$I:$I,'Nursing Charges'!$A:$A,$A71,'Nursing Charges'!$C:$C,16))</f>
        <v/>
      </c>
      <c r="FE71" s="12" t="str">
        <f>IF($A71="","",FB71+(FD71-SUMIFS('Nursing Charges'!$J:$J,'Nursing Charges'!$A:$A,$A71,'Nursing Charges'!$C:$C,16))+(FC71-SUMIFS('Consumable Usage'!$F:$F,'Consumable Usage'!$A:$A,$A71,'Consumable Usage'!$D:$D,16)))</f>
        <v/>
      </c>
      <c r="FF71" s="12" t="str">
        <f t="shared" si="46"/>
        <v/>
      </c>
      <c r="FG71" s="20"/>
      <c r="FH71" s="12" t="str">
        <f t="shared" si="47"/>
        <v/>
      </c>
      <c r="FI71" s="45" t="str">
        <f t="shared" si="48"/>
        <v/>
      </c>
      <c r="FJ71" s="53"/>
      <c r="FK71" s="53"/>
      <c r="FL71" s="63"/>
      <c r="FM71" s="63" t="str">
        <f>IF($A71="","",SUMIFS('Consumable Usage'!$E:$E,'Consumable Usage'!$A:$A,$A71,'Consumable Usage'!$D:$D,16))</f>
        <v/>
      </c>
      <c r="FN71" s="63" t="str">
        <f>IF($A71="","",SUMIFS('Nursing Charges'!$I:$I,'Nursing Charges'!$A:$A,$A71,'Nursing Charges'!$C:$C,16))</f>
        <v/>
      </c>
      <c r="FO71" s="63" t="str">
        <f>IF($A71="","",FL71+(FN71-SUMIFS('Nursing Charges'!$J:$J,'Nursing Charges'!$A:$A,$A71,'Nursing Charges'!$C:$C,16))+(FM71-SUMIFS('Consumable Usage'!$F:$F,'Consumable Usage'!$A:$A,$A71,'Consumable Usage'!$D:$D,16)))</f>
        <v/>
      </c>
      <c r="FP71" s="63" t="str">
        <f t="shared" si="49"/>
        <v/>
      </c>
      <c r="FQ71" s="63"/>
      <c r="FR71" s="63" t="str">
        <f t="shared" si="50"/>
        <v/>
      </c>
      <c r="FS71" s="53" t="str">
        <f t="shared" si="51"/>
        <v/>
      </c>
    </row>
    <row r="72" ht="15.0" customHeight="1">
      <c r="A72" s="15"/>
      <c r="B72" s="15"/>
      <c r="C72" s="15"/>
      <c r="D72" s="15"/>
      <c r="E72" s="15"/>
      <c r="F72" s="15"/>
      <c r="G72" s="15"/>
      <c r="H72" s="20"/>
      <c r="I72" s="12" t="str">
        <f>IF($A72="","",SUMIFS('Consumable Usage'!$E:$E,'Consumable Usage'!$A:$A,$A72,'Consumable Usage'!$D:$D,1))</f>
        <v/>
      </c>
      <c r="J72" s="12" t="str">
        <f>IF($A72="","",SUMIFS('Nursing Charges'!$I:$I,'Nursing Charges'!$A:$A,$A72,'Nursing Charges'!$C:$C,1))</f>
        <v/>
      </c>
      <c r="K72" s="12" t="str">
        <f>IF($A72="","",H72+(J72-SUMIFS('Nursing Charges'!$J:$J,'Nursing Charges'!$A:$A,$A72,'Nursing Charges'!$C:$C,1))+(I72-SUMIFS('Consumable Usage'!$F:$F,'Consumable Usage'!$A:$A,$A72,'Consumable Usage'!$D:$D,1)))</f>
        <v/>
      </c>
      <c r="L72" s="12" t="str">
        <f t="shared" si="1"/>
        <v/>
      </c>
      <c r="M72" s="20"/>
      <c r="N72" s="12" t="str">
        <f t="shared" si="2"/>
        <v/>
      </c>
      <c r="O72" s="45" t="str">
        <f t="shared" si="3"/>
        <v/>
      </c>
      <c r="P72" s="15"/>
      <c r="Q72" s="15"/>
      <c r="R72" s="20"/>
      <c r="S72" s="12" t="str">
        <f>IF($A72="","",SUMIFS('Consumable Usage'!$E:$E,'Consumable Usage'!$A:$A,$A72,'Consumable Usage'!$D:$D,2))</f>
        <v/>
      </c>
      <c r="T72" s="12" t="str">
        <f>IF($A72="","",SUMIFS('Nursing Charges'!$I:$I,'Nursing Charges'!$A:$A,$A72,'Nursing Charges'!$C:$C,2))</f>
        <v/>
      </c>
      <c r="U72" s="12" t="str">
        <f>IF($A72="","",R72+(T72-SUMIFS('Nursing Charges'!$J:$J,'Nursing Charges'!$A:$A,$A72,'Nursing Charges'!$C:$C,2))+(S72-SUMIFS('Consumable Usage'!$F:$F,'Consumable Usage'!$A:$A,$A72,'Consumable Usage'!$D:$D,2)))</f>
        <v/>
      </c>
      <c r="V72" s="12" t="str">
        <f t="shared" si="4"/>
        <v/>
      </c>
      <c r="W72" s="20"/>
      <c r="X72" s="12" t="str">
        <f t="shared" si="5"/>
        <v/>
      </c>
      <c r="Y72" s="45" t="str">
        <f t="shared" si="6"/>
        <v/>
      </c>
      <c r="Z72" s="15"/>
      <c r="AA72" s="15"/>
      <c r="AB72" s="20"/>
      <c r="AC72" s="12" t="str">
        <f>IF($A72="","",SUMIFS('Consumable Usage'!$E:$E,'Consumable Usage'!$A:$A,$A72,'Consumable Usage'!$D:$D,3))</f>
        <v/>
      </c>
      <c r="AD72" s="12" t="str">
        <f>IF($A72="","",SUMIFS('Nursing Charges'!$I:$I,'Nursing Charges'!$A:$A,$A72,'Nursing Charges'!$C:$C,3))</f>
        <v/>
      </c>
      <c r="AE72" s="12" t="str">
        <f>IF($A72="","",AB72+(AD72-SUMIFS('Nursing Charges'!$J:$J,'Nursing Charges'!$A:$A,$A72,'Nursing Charges'!$C:$C,3))+(AC72-SUMIFS('Consumable Usage'!$F:$F,'Consumable Usage'!$A:$A,$A72,'Consumable Usage'!$D:$D,3)))</f>
        <v/>
      </c>
      <c r="AF72" s="12" t="str">
        <f t="shared" si="7"/>
        <v/>
      </c>
      <c r="AG72" s="20"/>
      <c r="AH72" s="12" t="str">
        <f t="shared" si="8"/>
        <v/>
      </c>
      <c r="AI72" s="45" t="str">
        <f t="shared" si="9"/>
        <v/>
      </c>
      <c r="AJ72" s="15"/>
      <c r="AK72" s="15"/>
      <c r="AL72" s="20"/>
      <c r="AM72" s="12" t="str">
        <f>IF($A72="","",SUMIFS('Consumable Usage'!$E:$E,'Consumable Usage'!$A:$A,$A72,'Consumable Usage'!$D:$D,4))</f>
        <v/>
      </c>
      <c r="AN72" s="12" t="str">
        <f>IF($A72="","",SUMIFS('Nursing Charges'!$I:$I,'Nursing Charges'!$A:$A,$A72,'Nursing Charges'!$C:$C,4))</f>
        <v/>
      </c>
      <c r="AO72" s="12" t="str">
        <f>IF($A72="","",AL72+(AN72-SUMIFS('Nursing Charges'!$J:$J,'Nursing Charges'!$A:$A,$A72,'Nursing Charges'!$C:$C,4))+(AM72-SUMIFS('Consumable Usage'!$F:$F,'Consumable Usage'!$A:$A,$A72,'Consumable Usage'!$D:$D,4)))</f>
        <v/>
      </c>
      <c r="AP72" s="12" t="str">
        <f t="shared" si="10"/>
        <v/>
      </c>
      <c r="AQ72" s="20"/>
      <c r="AR72" s="12" t="str">
        <f t="shared" si="11"/>
        <v/>
      </c>
      <c r="AS72" s="45" t="str">
        <f t="shared" si="12"/>
        <v/>
      </c>
      <c r="AT72" s="15"/>
      <c r="AU72" s="15"/>
      <c r="AV72" s="20"/>
      <c r="AW72" s="12" t="str">
        <f>IF($A72="","",SUMIFS('Consumable Usage'!$E:$E,'Consumable Usage'!$A:$A,$A72,'Consumable Usage'!$D:$D,5))</f>
        <v/>
      </c>
      <c r="AX72" s="12" t="str">
        <f>IF($A72="","",SUMIFS('Nursing Charges'!$I:$I,'Nursing Charges'!$A:$A,$A72,'Nursing Charges'!$C:$C,5))</f>
        <v/>
      </c>
      <c r="AY72" s="12" t="str">
        <f>IF($A72="","",AV72+(AX72-SUMIFS('Nursing Charges'!$J:$J,'Nursing Charges'!$A:$A,$A72,'Nursing Charges'!$C:$C,5))+(AW72-SUMIFS('Consumable Usage'!$F:$F,'Consumable Usage'!$A:$A,$A72,'Consumable Usage'!$D:$D,5)))</f>
        <v/>
      </c>
      <c r="AZ72" s="12" t="str">
        <f t="shared" si="13"/>
        <v/>
      </c>
      <c r="BA72" s="20"/>
      <c r="BB72" s="12" t="str">
        <f t="shared" si="14"/>
        <v/>
      </c>
      <c r="BC72" s="45" t="str">
        <f t="shared" si="15"/>
        <v/>
      </c>
      <c r="BD72" s="15"/>
      <c r="BE72" s="15"/>
      <c r="BF72" s="20"/>
      <c r="BG72" s="12" t="str">
        <f>IF($A72="","",SUMIFS('Consumable Usage'!$E:$E,'Consumable Usage'!$A:$A,$A72,'Consumable Usage'!$D:$D,6))</f>
        <v/>
      </c>
      <c r="BH72" s="12" t="str">
        <f>IF($A72="","",SUMIFS('Nursing Charges'!$I:$I,'Nursing Charges'!$A:$A,$A72,'Nursing Charges'!$C:$C,6))</f>
        <v/>
      </c>
      <c r="BI72" s="12" t="str">
        <f>IF($A72="","",BF72+(BH72-SUMIFS('Nursing Charges'!$J:$J,'Nursing Charges'!$A:$A,$A72,'Nursing Charges'!$C:$C,6))+(BG72-SUMIFS('Consumable Usage'!$F:$F,'Consumable Usage'!$A:$A,$A72,'Consumable Usage'!$D:$D,6)))</f>
        <v/>
      </c>
      <c r="BJ72" s="12" t="str">
        <f t="shared" si="16"/>
        <v/>
      </c>
      <c r="BK72" s="20"/>
      <c r="BL72" s="12" t="str">
        <f t="shared" si="17"/>
        <v/>
      </c>
      <c r="BM72" s="45" t="str">
        <f t="shared" si="18"/>
        <v/>
      </c>
      <c r="BN72" s="15"/>
      <c r="BO72" s="15"/>
      <c r="BP72" s="20"/>
      <c r="BQ72" s="12" t="str">
        <f>IF($A72="","",SUMIFS('Consumable Usage'!$E:$E,'Consumable Usage'!$A:$A,$A72,'Consumable Usage'!$D:$D,7))</f>
        <v/>
      </c>
      <c r="BR72" s="12" t="str">
        <f>IF($A72="","",SUMIFS('Nursing Charges'!$I:$I,'Nursing Charges'!$A:$A,$A72,'Nursing Charges'!$C:$C,7))</f>
        <v/>
      </c>
      <c r="BS72" s="12" t="str">
        <f>IF($A72="","",BP72+(BR72-SUMIFS('Nursing Charges'!$J:$J,'Nursing Charges'!$A:$A,$A72,'Nursing Charges'!$C:$C,7))+(BQ72-SUMIFS('Consumable Usage'!$F:$F,'Consumable Usage'!$A:$A,$A72,'Consumable Usage'!$D:$D,7)))</f>
        <v/>
      </c>
      <c r="BT72" s="12" t="str">
        <f t="shared" si="19"/>
        <v/>
      </c>
      <c r="BU72" s="20"/>
      <c r="BV72" s="12" t="str">
        <f t="shared" si="20"/>
        <v/>
      </c>
      <c r="BW72" s="45" t="str">
        <f t="shared" si="21"/>
        <v/>
      </c>
      <c r="BX72" s="15"/>
      <c r="BY72" s="15"/>
      <c r="BZ72" s="20"/>
      <c r="CA72" s="12" t="str">
        <f>IF($A72="","",SUMIFS('Consumable Usage'!$E:$E,'Consumable Usage'!$A:$A,$A72,'Consumable Usage'!$D:$D,8))</f>
        <v/>
      </c>
      <c r="CB72" s="12" t="str">
        <f>IF($A72="","",SUMIFS('Nursing Charges'!$I:$I,'Nursing Charges'!$A:$A,$A72,'Nursing Charges'!$C:$C,8))</f>
        <v/>
      </c>
      <c r="CC72" s="12" t="str">
        <f>IF($A72="","",BZ72+(CB72-SUMIFS('Nursing Charges'!$J:$J,'Nursing Charges'!$A:$A,$A72,'Nursing Charges'!$C:$C,8))+(CA72-SUMIFS('Consumable Usage'!$F:$F,'Consumable Usage'!$A:$A,$A72,'Consumable Usage'!$D:$D,8)))</f>
        <v/>
      </c>
      <c r="CD72" s="12" t="str">
        <f t="shared" si="22"/>
        <v/>
      </c>
      <c r="CE72" s="20"/>
      <c r="CF72" s="12" t="str">
        <f t="shared" si="23"/>
        <v/>
      </c>
      <c r="CG72" s="45" t="str">
        <f t="shared" si="24"/>
        <v/>
      </c>
      <c r="CH72" s="15"/>
      <c r="CI72" s="15"/>
      <c r="CJ72" s="20"/>
      <c r="CK72" s="12" t="str">
        <f>IF($A72="","",SUMIFS('Consumable Usage'!$E:$E,'Consumable Usage'!$A:$A,$A72,'Consumable Usage'!$D:$D,9))</f>
        <v/>
      </c>
      <c r="CL72" s="12" t="str">
        <f>IF($A72="","",SUMIFS('Nursing Charges'!$I:$I,'Nursing Charges'!$A:$A,$A72,'Nursing Charges'!$C:$C,9))</f>
        <v/>
      </c>
      <c r="CM72" s="12" t="str">
        <f>IF($A72="","",CJ72+(CL72-SUMIFS('Nursing Charges'!$J:$J,'Nursing Charges'!$A:$A,$A72,'Nursing Charges'!$C:$C,9))+(CK72-SUMIFS('Consumable Usage'!$F:$F,'Consumable Usage'!$A:$A,$A72,'Consumable Usage'!$D:$D,9)))</f>
        <v/>
      </c>
      <c r="CN72" s="12" t="str">
        <f t="shared" si="25"/>
        <v/>
      </c>
      <c r="CO72" s="20"/>
      <c r="CP72" s="12" t="str">
        <f t="shared" si="26"/>
        <v/>
      </c>
      <c r="CQ72" s="45" t="str">
        <f t="shared" si="27"/>
        <v/>
      </c>
      <c r="CR72" s="15"/>
      <c r="CS72" s="15"/>
      <c r="CT72" s="20"/>
      <c r="CU72" s="12" t="str">
        <f>IF($A72="","",SUMIFS('Consumable Usage'!$E:$E,'Consumable Usage'!$A:$A,$A72,'Consumable Usage'!$D:$D,10))</f>
        <v/>
      </c>
      <c r="CV72" s="12" t="str">
        <f>IF($A72="","",SUMIFS('Nursing Charges'!$I:$I,'Nursing Charges'!$A:$A,$A72,'Nursing Charges'!$C:$C,10))</f>
        <v/>
      </c>
      <c r="CW72" s="12" t="str">
        <f>IF($A72="","",CT72+(CV72-SUMIFS('Nursing Charges'!$J:$J,'Nursing Charges'!$A:$A,$A72,'Nursing Charges'!$C:$C,10))+(CU72-SUMIFS('Consumable Usage'!$F:$F,'Consumable Usage'!$A:$A,$A72,'Consumable Usage'!$D:$D,10)))</f>
        <v/>
      </c>
      <c r="CX72" s="12" t="str">
        <f t="shared" si="28"/>
        <v/>
      </c>
      <c r="CY72" s="20"/>
      <c r="CZ72" s="12" t="str">
        <f t="shared" si="29"/>
        <v/>
      </c>
      <c r="DA72" s="45" t="str">
        <f t="shared" si="30"/>
        <v/>
      </c>
      <c r="DB72" s="15"/>
      <c r="DC72" s="15"/>
      <c r="DD72" s="20"/>
      <c r="DE72" s="12" t="str">
        <f>IF($A72="","",SUMIFS('Consumable Usage'!$E:$E,'Consumable Usage'!$A:$A,$A72,'Consumable Usage'!$D:$D,11))</f>
        <v/>
      </c>
      <c r="DF72" s="12" t="str">
        <f>IF($A72="","",SUMIFS('Nursing Charges'!$I:$I,'Nursing Charges'!$A:$A,$A72,'Nursing Charges'!$C:$C,11))</f>
        <v/>
      </c>
      <c r="DG72" s="12" t="str">
        <f>IF($A72="","",DD72+(DF72-SUMIFS('Nursing Charges'!$J:$J,'Nursing Charges'!$A:$A,$A72,'Nursing Charges'!$C:$C,11))+(DE72-SUMIFS('Consumable Usage'!$F:$F,'Consumable Usage'!$A:$A,$A72,'Consumable Usage'!$D:$D,11)))</f>
        <v/>
      </c>
      <c r="DH72" s="12" t="str">
        <f t="shared" si="31"/>
        <v/>
      </c>
      <c r="DI72" s="20"/>
      <c r="DJ72" s="12" t="str">
        <f t="shared" si="32"/>
        <v/>
      </c>
      <c r="DK72" s="45" t="str">
        <f t="shared" si="33"/>
        <v/>
      </c>
      <c r="DL72" s="15"/>
      <c r="DM72" s="15"/>
      <c r="DN72" s="20"/>
      <c r="DO72" s="12" t="str">
        <f>IF($A72="","",SUMIFS('Consumable Usage'!$E:$E,'Consumable Usage'!$A:$A,$A72,'Consumable Usage'!$D:$D,12))</f>
        <v/>
      </c>
      <c r="DP72" s="12" t="str">
        <f>IF($A72="","",SUMIFS('Nursing Charges'!$I:$I,'Nursing Charges'!$A:$A,$A72,'Nursing Charges'!$C:$C,12))</f>
        <v/>
      </c>
      <c r="DQ72" s="12" t="str">
        <f>IF($A72="","",DN72+(DP72-SUMIFS('Nursing Charges'!$J:$J,'Nursing Charges'!$A:$A,$A72,'Nursing Charges'!$C:$C,12))+(DO72-SUMIFS('Consumable Usage'!$F:$F,'Consumable Usage'!$A:$A,$A72,'Consumable Usage'!$D:$D,12)))</f>
        <v/>
      </c>
      <c r="DR72" s="12" t="str">
        <f t="shared" si="34"/>
        <v/>
      </c>
      <c r="DS72" s="20"/>
      <c r="DT72" s="12" t="str">
        <f t="shared" si="35"/>
        <v/>
      </c>
      <c r="DU72" s="45" t="str">
        <f t="shared" si="36"/>
        <v/>
      </c>
      <c r="DV72" s="15"/>
      <c r="DW72" s="15"/>
      <c r="DX72" s="20"/>
      <c r="DY72" s="12" t="str">
        <f>IF($A72="","",SUMIFS('Consumable Usage'!$E:$E,'Consumable Usage'!$A:$A,$A72,'Consumable Usage'!$D:$D,13))</f>
        <v/>
      </c>
      <c r="DZ72" s="12" t="str">
        <f>IF($A72="","",SUMIFS('Nursing Charges'!$I:$I,'Nursing Charges'!$A:$A,$A72,'Nursing Charges'!$C:$C,13))</f>
        <v/>
      </c>
      <c r="EA72" s="12" t="str">
        <f>IF($A72="","",DX72+(DZ72-SUMIFS('Nursing Charges'!$J:$J,'Nursing Charges'!$A:$A,$A72,'Nursing Charges'!$C:$C,13))+(DY72-SUMIFS('Consumable Usage'!$F:$F,'Consumable Usage'!$A:$A,$A72,'Consumable Usage'!$D:$D,13)))</f>
        <v/>
      </c>
      <c r="EB72" s="12" t="str">
        <f t="shared" si="37"/>
        <v/>
      </c>
      <c r="EC72" s="20"/>
      <c r="ED72" s="12" t="str">
        <f t="shared" si="38"/>
        <v/>
      </c>
      <c r="EE72" s="45" t="str">
        <f t="shared" si="39"/>
        <v/>
      </c>
      <c r="EF72" s="15"/>
      <c r="EG72" s="15"/>
      <c r="EH72" s="20"/>
      <c r="EI72" s="12" t="str">
        <f>IF($A72="","",SUMIFS('Consumable Usage'!$E:$E,'Consumable Usage'!$A:$A,$A72,'Consumable Usage'!$D:$D,14))</f>
        <v/>
      </c>
      <c r="EJ72" s="12" t="str">
        <f>IF($A72="","",SUMIFS('Nursing Charges'!$I:$I,'Nursing Charges'!$A:$A,$A72,'Nursing Charges'!$C:$C,14))</f>
        <v/>
      </c>
      <c r="EK72" s="12" t="str">
        <f>IF($A72="","",EH72+(EJ72-SUMIFS('Nursing Charges'!$J:$J,'Nursing Charges'!$A:$A,$A72,'Nursing Charges'!$C:$C,14))+(EI72-SUMIFS('Consumable Usage'!$F:$F,'Consumable Usage'!$A:$A,$A72,'Consumable Usage'!$D:$D,14)))</f>
        <v/>
      </c>
      <c r="EL72" s="12" t="str">
        <f t="shared" si="40"/>
        <v/>
      </c>
      <c r="EM72" s="20"/>
      <c r="EN72" s="12" t="str">
        <f t="shared" si="41"/>
        <v/>
      </c>
      <c r="EO72" s="45" t="str">
        <f t="shared" si="42"/>
        <v/>
      </c>
      <c r="EP72" s="15"/>
      <c r="EQ72" s="15"/>
      <c r="ER72" s="20"/>
      <c r="ES72" s="12" t="str">
        <f>IF($A72="","",SUMIFS('Consumable Usage'!$E:$E,'Consumable Usage'!$A:$A,$A72,'Consumable Usage'!$D:$D,15))</f>
        <v/>
      </c>
      <c r="ET72" s="12" t="str">
        <f>IF($A72="","",SUMIFS('Nursing Charges'!$I:$I,'Nursing Charges'!$A:$A,$A72,'Nursing Charges'!$C:$C,15))</f>
        <v/>
      </c>
      <c r="EU72" s="12" t="str">
        <f>IF($A72="","",ER72+(ET72-SUMIFS('Nursing Charges'!$J:$J,'Nursing Charges'!$A:$A,$A72,'Nursing Charges'!$C:$C,15))+(ES72-SUMIFS('Consumable Usage'!$F:$F,'Consumable Usage'!$A:$A,$A72,'Consumable Usage'!$D:$D,15)))</f>
        <v/>
      </c>
      <c r="EV72" s="12" t="str">
        <f t="shared" si="43"/>
        <v/>
      </c>
      <c r="EW72" s="20"/>
      <c r="EX72" s="12" t="str">
        <f t="shared" si="44"/>
        <v/>
      </c>
      <c r="EY72" s="45" t="str">
        <f t="shared" si="45"/>
        <v/>
      </c>
      <c r="EZ72" s="15"/>
      <c r="FA72" s="15"/>
      <c r="FB72" s="20"/>
      <c r="FC72" s="12" t="str">
        <f>IF($A72="","",SUMIFS('Consumable Usage'!$E:$E,'Consumable Usage'!$A:$A,$A72,'Consumable Usage'!$D:$D,16))</f>
        <v/>
      </c>
      <c r="FD72" s="12" t="str">
        <f>IF($A72="","",SUMIFS('Nursing Charges'!$I:$I,'Nursing Charges'!$A:$A,$A72,'Nursing Charges'!$C:$C,16))</f>
        <v/>
      </c>
      <c r="FE72" s="12" t="str">
        <f>IF($A72="","",FB72+(FD72-SUMIFS('Nursing Charges'!$J:$J,'Nursing Charges'!$A:$A,$A72,'Nursing Charges'!$C:$C,16))+(FC72-SUMIFS('Consumable Usage'!$F:$F,'Consumable Usage'!$A:$A,$A72,'Consumable Usage'!$D:$D,16)))</f>
        <v/>
      </c>
      <c r="FF72" s="12" t="str">
        <f t="shared" si="46"/>
        <v/>
      </c>
      <c r="FG72" s="20"/>
      <c r="FH72" s="12" t="str">
        <f t="shared" si="47"/>
        <v/>
      </c>
      <c r="FI72" s="45" t="str">
        <f t="shared" si="48"/>
        <v/>
      </c>
      <c r="FJ72" s="53"/>
      <c r="FK72" s="53"/>
      <c r="FL72" s="63"/>
      <c r="FM72" s="63" t="str">
        <f>IF($A72="","",SUMIFS('Consumable Usage'!$E:$E,'Consumable Usage'!$A:$A,$A72,'Consumable Usage'!$D:$D,16))</f>
        <v/>
      </c>
      <c r="FN72" s="63" t="str">
        <f>IF($A72="","",SUMIFS('Nursing Charges'!$I:$I,'Nursing Charges'!$A:$A,$A72,'Nursing Charges'!$C:$C,16))</f>
        <v/>
      </c>
      <c r="FO72" s="63" t="str">
        <f>IF($A72="","",FL72+(FN72-SUMIFS('Nursing Charges'!$J:$J,'Nursing Charges'!$A:$A,$A72,'Nursing Charges'!$C:$C,16))+(FM72-SUMIFS('Consumable Usage'!$F:$F,'Consumable Usage'!$A:$A,$A72,'Consumable Usage'!$D:$D,16)))</f>
        <v/>
      </c>
      <c r="FP72" s="63" t="str">
        <f t="shared" si="49"/>
        <v/>
      </c>
      <c r="FQ72" s="63"/>
      <c r="FR72" s="63" t="str">
        <f t="shared" si="50"/>
        <v/>
      </c>
      <c r="FS72" s="53" t="str">
        <f t="shared" si="51"/>
        <v/>
      </c>
    </row>
    <row r="73" ht="15.0" customHeight="1">
      <c r="A73" s="15"/>
      <c r="B73" s="15"/>
      <c r="C73" s="15"/>
      <c r="D73" s="15"/>
      <c r="E73" s="15"/>
      <c r="F73" s="15"/>
      <c r="G73" s="15"/>
      <c r="H73" s="20"/>
      <c r="I73" s="12" t="str">
        <f>IF($A73="","",SUMIFS('Consumable Usage'!$E:$E,'Consumable Usage'!$A:$A,$A73,'Consumable Usage'!$D:$D,1))</f>
        <v/>
      </c>
      <c r="J73" s="12" t="str">
        <f>IF($A73="","",SUMIFS('Nursing Charges'!$I:$I,'Nursing Charges'!$A:$A,$A73,'Nursing Charges'!$C:$C,1))</f>
        <v/>
      </c>
      <c r="K73" s="12" t="str">
        <f>IF($A73="","",H73+(J73-SUMIFS('Nursing Charges'!$J:$J,'Nursing Charges'!$A:$A,$A73,'Nursing Charges'!$C:$C,1))+(I73-SUMIFS('Consumable Usage'!$F:$F,'Consumable Usage'!$A:$A,$A73,'Consumable Usage'!$D:$D,1)))</f>
        <v/>
      </c>
      <c r="L73" s="12" t="str">
        <f t="shared" si="1"/>
        <v/>
      </c>
      <c r="M73" s="20"/>
      <c r="N73" s="12" t="str">
        <f t="shared" si="2"/>
        <v/>
      </c>
      <c r="O73" s="45" t="str">
        <f t="shared" si="3"/>
        <v/>
      </c>
      <c r="P73" s="15"/>
      <c r="Q73" s="15"/>
      <c r="R73" s="20"/>
      <c r="S73" s="12" t="str">
        <f>IF($A73="","",SUMIFS('Consumable Usage'!$E:$E,'Consumable Usage'!$A:$A,$A73,'Consumable Usage'!$D:$D,2))</f>
        <v/>
      </c>
      <c r="T73" s="12" t="str">
        <f>IF($A73="","",SUMIFS('Nursing Charges'!$I:$I,'Nursing Charges'!$A:$A,$A73,'Nursing Charges'!$C:$C,2))</f>
        <v/>
      </c>
      <c r="U73" s="12" t="str">
        <f>IF($A73="","",R73+(T73-SUMIFS('Nursing Charges'!$J:$J,'Nursing Charges'!$A:$A,$A73,'Nursing Charges'!$C:$C,2))+(S73-SUMIFS('Consumable Usage'!$F:$F,'Consumable Usage'!$A:$A,$A73,'Consumable Usage'!$D:$D,2)))</f>
        <v/>
      </c>
      <c r="V73" s="12" t="str">
        <f t="shared" si="4"/>
        <v/>
      </c>
      <c r="W73" s="20"/>
      <c r="X73" s="12" t="str">
        <f t="shared" si="5"/>
        <v/>
      </c>
      <c r="Y73" s="45" t="str">
        <f t="shared" si="6"/>
        <v/>
      </c>
      <c r="Z73" s="15"/>
      <c r="AA73" s="15"/>
      <c r="AB73" s="20"/>
      <c r="AC73" s="12" t="str">
        <f>IF($A73="","",SUMIFS('Consumable Usage'!$E:$E,'Consumable Usage'!$A:$A,$A73,'Consumable Usage'!$D:$D,3))</f>
        <v/>
      </c>
      <c r="AD73" s="12" t="str">
        <f>IF($A73="","",SUMIFS('Nursing Charges'!$I:$I,'Nursing Charges'!$A:$A,$A73,'Nursing Charges'!$C:$C,3))</f>
        <v/>
      </c>
      <c r="AE73" s="12" t="str">
        <f>IF($A73="","",AB73+(AD73-SUMIFS('Nursing Charges'!$J:$J,'Nursing Charges'!$A:$A,$A73,'Nursing Charges'!$C:$C,3))+(AC73-SUMIFS('Consumable Usage'!$F:$F,'Consumable Usage'!$A:$A,$A73,'Consumable Usage'!$D:$D,3)))</f>
        <v/>
      </c>
      <c r="AF73" s="12" t="str">
        <f t="shared" si="7"/>
        <v/>
      </c>
      <c r="AG73" s="20"/>
      <c r="AH73" s="12" t="str">
        <f t="shared" si="8"/>
        <v/>
      </c>
      <c r="AI73" s="45" t="str">
        <f t="shared" si="9"/>
        <v/>
      </c>
      <c r="AJ73" s="15"/>
      <c r="AK73" s="15"/>
      <c r="AL73" s="20"/>
      <c r="AM73" s="12" t="str">
        <f>IF($A73="","",SUMIFS('Consumable Usage'!$E:$E,'Consumable Usage'!$A:$A,$A73,'Consumable Usage'!$D:$D,4))</f>
        <v/>
      </c>
      <c r="AN73" s="12" t="str">
        <f>IF($A73="","",SUMIFS('Nursing Charges'!$I:$I,'Nursing Charges'!$A:$A,$A73,'Nursing Charges'!$C:$C,4))</f>
        <v/>
      </c>
      <c r="AO73" s="12" t="str">
        <f>IF($A73="","",AL73+(AN73-SUMIFS('Nursing Charges'!$J:$J,'Nursing Charges'!$A:$A,$A73,'Nursing Charges'!$C:$C,4))+(AM73-SUMIFS('Consumable Usage'!$F:$F,'Consumable Usage'!$A:$A,$A73,'Consumable Usage'!$D:$D,4)))</f>
        <v/>
      </c>
      <c r="AP73" s="12" t="str">
        <f t="shared" si="10"/>
        <v/>
      </c>
      <c r="AQ73" s="20"/>
      <c r="AR73" s="12" t="str">
        <f t="shared" si="11"/>
        <v/>
      </c>
      <c r="AS73" s="45" t="str">
        <f t="shared" si="12"/>
        <v/>
      </c>
      <c r="AT73" s="15"/>
      <c r="AU73" s="15"/>
      <c r="AV73" s="20"/>
      <c r="AW73" s="12" t="str">
        <f>IF($A73="","",SUMIFS('Consumable Usage'!$E:$E,'Consumable Usage'!$A:$A,$A73,'Consumable Usage'!$D:$D,5))</f>
        <v/>
      </c>
      <c r="AX73" s="12" t="str">
        <f>IF($A73="","",SUMIFS('Nursing Charges'!$I:$I,'Nursing Charges'!$A:$A,$A73,'Nursing Charges'!$C:$C,5))</f>
        <v/>
      </c>
      <c r="AY73" s="12" t="str">
        <f>IF($A73="","",AV73+(AX73-SUMIFS('Nursing Charges'!$J:$J,'Nursing Charges'!$A:$A,$A73,'Nursing Charges'!$C:$C,5))+(AW73-SUMIFS('Consumable Usage'!$F:$F,'Consumable Usage'!$A:$A,$A73,'Consumable Usage'!$D:$D,5)))</f>
        <v/>
      </c>
      <c r="AZ73" s="12" t="str">
        <f t="shared" si="13"/>
        <v/>
      </c>
      <c r="BA73" s="20"/>
      <c r="BB73" s="12" t="str">
        <f t="shared" si="14"/>
        <v/>
      </c>
      <c r="BC73" s="45" t="str">
        <f t="shared" si="15"/>
        <v/>
      </c>
      <c r="BD73" s="15"/>
      <c r="BE73" s="15"/>
      <c r="BF73" s="20"/>
      <c r="BG73" s="12" t="str">
        <f>IF($A73="","",SUMIFS('Consumable Usage'!$E:$E,'Consumable Usage'!$A:$A,$A73,'Consumable Usage'!$D:$D,6))</f>
        <v/>
      </c>
      <c r="BH73" s="12" t="str">
        <f>IF($A73="","",SUMIFS('Nursing Charges'!$I:$I,'Nursing Charges'!$A:$A,$A73,'Nursing Charges'!$C:$C,6))</f>
        <v/>
      </c>
      <c r="BI73" s="12" t="str">
        <f>IF($A73="","",BF73+(BH73-SUMIFS('Nursing Charges'!$J:$J,'Nursing Charges'!$A:$A,$A73,'Nursing Charges'!$C:$C,6))+(BG73-SUMIFS('Consumable Usage'!$F:$F,'Consumable Usage'!$A:$A,$A73,'Consumable Usage'!$D:$D,6)))</f>
        <v/>
      </c>
      <c r="BJ73" s="12" t="str">
        <f t="shared" si="16"/>
        <v/>
      </c>
      <c r="BK73" s="20"/>
      <c r="BL73" s="12" t="str">
        <f t="shared" si="17"/>
        <v/>
      </c>
      <c r="BM73" s="45" t="str">
        <f t="shared" si="18"/>
        <v/>
      </c>
      <c r="BN73" s="15"/>
      <c r="BO73" s="15"/>
      <c r="BP73" s="20"/>
      <c r="BQ73" s="12" t="str">
        <f>IF($A73="","",SUMIFS('Consumable Usage'!$E:$E,'Consumable Usage'!$A:$A,$A73,'Consumable Usage'!$D:$D,7))</f>
        <v/>
      </c>
      <c r="BR73" s="12" t="str">
        <f>IF($A73="","",SUMIFS('Nursing Charges'!$I:$I,'Nursing Charges'!$A:$A,$A73,'Nursing Charges'!$C:$C,7))</f>
        <v/>
      </c>
      <c r="BS73" s="12" t="str">
        <f>IF($A73="","",BP73+(BR73-SUMIFS('Nursing Charges'!$J:$J,'Nursing Charges'!$A:$A,$A73,'Nursing Charges'!$C:$C,7))+(BQ73-SUMIFS('Consumable Usage'!$F:$F,'Consumable Usage'!$A:$A,$A73,'Consumable Usage'!$D:$D,7)))</f>
        <v/>
      </c>
      <c r="BT73" s="12" t="str">
        <f t="shared" si="19"/>
        <v/>
      </c>
      <c r="BU73" s="20"/>
      <c r="BV73" s="12" t="str">
        <f t="shared" si="20"/>
        <v/>
      </c>
      <c r="BW73" s="45" t="str">
        <f t="shared" si="21"/>
        <v/>
      </c>
      <c r="BX73" s="15"/>
      <c r="BY73" s="15"/>
      <c r="BZ73" s="20"/>
      <c r="CA73" s="12" t="str">
        <f>IF($A73="","",SUMIFS('Consumable Usage'!$E:$E,'Consumable Usage'!$A:$A,$A73,'Consumable Usage'!$D:$D,8))</f>
        <v/>
      </c>
      <c r="CB73" s="12" t="str">
        <f>IF($A73="","",SUMIFS('Nursing Charges'!$I:$I,'Nursing Charges'!$A:$A,$A73,'Nursing Charges'!$C:$C,8))</f>
        <v/>
      </c>
      <c r="CC73" s="12" t="str">
        <f>IF($A73="","",BZ73+(CB73-SUMIFS('Nursing Charges'!$J:$J,'Nursing Charges'!$A:$A,$A73,'Nursing Charges'!$C:$C,8))+(CA73-SUMIFS('Consumable Usage'!$F:$F,'Consumable Usage'!$A:$A,$A73,'Consumable Usage'!$D:$D,8)))</f>
        <v/>
      </c>
      <c r="CD73" s="12" t="str">
        <f t="shared" si="22"/>
        <v/>
      </c>
      <c r="CE73" s="20"/>
      <c r="CF73" s="12" t="str">
        <f t="shared" si="23"/>
        <v/>
      </c>
      <c r="CG73" s="45" t="str">
        <f t="shared" si="24"/>
        <v/>
      </c>
      <c r="CH73" s="15"/>
      <c r="CI73" s="15"/>
      <c r="CJ73" s="20"/>
      <c r="CK73" s="12" t="str">
        <f>IF($A73="","",SUMIFS('Consumable Usage'!$E:$E,'Consumable Usage'!$A:$A,$A73,'Consumable Usage'!$D:$D,9))</f>
        <v/>
      </c>
      <c r="CL73" s="12" t="str">
        <f>IF($A73="","",SUMIFS('Nursing Charges'!$I:$I,'Nursing Charges'!$A:$A,$A73,'Nursing Charges'!$C:$C,9))</f>
        <v/>
      </c>
      <c r="CM73" s="12" t="str">
        <f>IF($A73="","",CJ73+(CL73-SUMIFS('Nursing Charges'!$J:$J,'Nursing Charges'!$A:$A,$A73,'Nursing Charges'!$C:$C,9))+(CK73-SUMIFS('Consumable Usage'!$F:$F,'Consumable Usage'!$A:$A,$A73,'Consumable Usage'!$D:$D,9)))</f>
        <v/>
      </c>
      <c r="CN73" s="12" t="str">
        <f t="shared" si="25"/>
        <v/>
      </c>
      <c r="CO73" s="20"/>
      <c r="CP73" s="12" t="str">
        <f t="shared" si="26"/>
        <v/>
      </c>
      <c r="CQ73" s="45" t="str">
        <f t="shared" si="27"/>
        <v/>
      </c>
      <c r="CR73" s="15"/>
      <c r="CS73" s="15"/>
      <c r="CT73" s="20"/>
      <c r="CU73" s="12" t="str">
        <f>IF($A73="","",SUMIFS('Consumable Usage'!$E:$E,'Consumable Usage'!$A:$A,$A73,'Consumable Usage'!$D:$D,10))</f>
        <v/>
      </c>
      <c r="CV73" s="12" t="str">
        <f>IF($A73="","",SUMIFS('Nursing Charges'!$I:$I,'Nursing Charges'!$A:$A,$A73,'Nursing Charges'!$C:$C,10))</f>
        <v/>
      </c>
      <c r="CW73" s="12" t="str">
        <f>IF($A73="","",CT73+(CV73-SUMIFS('Nursing Charges'!$J:$J,'Nursing Charges'!$A:$A,$A73,'Nursing Charges'!$C:$C,10))+(CU73-SUMIFS('Consumable Usage'!$F:$F,'Consumable Usage'!$A:$A,$A73,'Consumable Usage'!$D:$D,10)))</f>
        <v/>
      </c>
      <c r="CX73" s="12" t="str">
        <f t="shared" si="28"/>
        <v/>
      </c>
      <c r="CY73" s="20"/>
      <c r="CZ73" s="12" t="str">
        <f t="shared" si="29"/>
        <v/>
      </c>
      <c r="DA73" s="45" t="str">
        <f t="shared" si="30"/>
        <v/>
      </c>
      <c r="DB73" s="15"/>
      <c r="DC73" s="15"/>
      <c r="DD73" s="20"/>
      <c r="DE73" s="12" t="str">
        <f>IF($A73="","",SUMIFS('Consumable Usage'!$E:$E,'Consumable Usage'!$A:$A,$A73,'Consumable Usage'!$D:$D,11))</f>
        <v/>
      </c>
      <c r="DF73" s="12" t="str">
        <f>IF($A73="","",SUMIFS('Nursing Charges'!$I:$I,'Nursing Charges'!$A:$A,$A73,'Nursing Charges'!$C:$C,11))</f>
        <v/>
      </c>
      <c r="DG73" s="12" t="str">
        <f>IF($A73="","",DD73+(DF73-SUMIFS('Nursing Charges'!$J:$J,'Nursing Charges'!$A:$A,$A73,'Nursing Charges'!$C:$C,11))+(DE73-SUMIFS('Consumable Usage'!$F:$F,'Consumable Usage'!$A:$A,$A73,'Consumable Usage'!$D:$D,11)))</f>
        <v/>
      </c>
      <c r="DH73" s="12" t="str">
        <f t="shared" si="31"/>
        <v/>
      </c>
      <c r="DI73" s="20"/>
      <c r="DJ73" s="12" t="str">
        <f t="shared" si="32"/>
        <v/>
      </c>
      <c r="DK73" s="45" t="str">
        <f t="shared" si="33"/>
        <v/>
      </c>
      <c r="DL73" s="15"/>
      <c r="DM73" s="15"/>
      <c r="DN73" s="20"/>
      <c r="DO73" s="12" t="str">
        <f>IF($A73="","",SUMIFS('Consumable Usage'!$E:$E,'Consumable Usage'!$A:$A,$A73,'Consumable Usage'!$D:$D,12))</f>
        <v/>
      </c>
      <c r="DP73" s="12" t="str">
        <f>IF($A73="","",SUMIFS('Nursing Charges'!$I:$I,'Nursing Charges'!$A:$A,$A73,'Nursing Charges'!$C:$C,12))</f>
        <v/>
      </c>
      <c r="DQ73" s="12" t="str">
        <f>IF($A73="","",DN73+(DP73-SUMIFS('Nursing Charges'!$J:$J,'Nursing Charges'!$A:$A,$A73,'Nursing Charges'!$C:$C,12))+(DO73-SUMIFS('Consumable Usage'!$F:$F,'Consumable Usage'!$A:$A,$A73,'Consumable Usage'!$D:$D,12)))</f>
        <v/>
      </c>
      <c r="DR73" s="12" t="str">
        <f t="shared" si="34"/>
        <v/>
      </c>
      <c r="DS73" s="20"/>
      <c r="DT73" s="12" t="str">
        <f t="shared" si="35"/>
        <v/>
      </c>
      <c r="DU73" s="45" t="str">
        <f t="shared" si="36"/>
        <v/>
      </c>
      <c r="DV73" s="15"/>
      <c r="DW73" s="15"/>
      <c r="DX73" s="20"/>
      <c r="DY73" s="12" t="str">
        <f>IF($A73="","",SUMIFS('Consumable Usage'!$E:$E,'Consumable Usage'!$A:$A,$A73,'Consumable Usage'!$D:$D,13))</f>
        <v/>
      </c>
      <c r="DZ73" s="12" t="str">
        <f>IF($A73="","",SUMIFS('Nursing Charges'!$I:$I,'Nursing Charges'!$A:$A,$A73,'Nursing Charges'!$C:$C,13))</f>
        <v/>
      </c>
      <c r="EA73" s="12" t="str">
        <f>IF($A73="","",DX73+(DZ73-SUMIFS('Nursing Charges'!$J:$J,'Nursing Charges'!$A:$A,$A73,'Nursing Charges'!$C:$C,13))+(DY73-SUMIFS('Consumable Usage'!$F:$F,'Consumable Usage'!$A:$A,$A73,'Consumable Usage'!$D:$D,13)))</f>
        <v/>
      </c>
      <c r="EB73" s="12" t="str">
        <f t="shared" si="37"/>
        <v/>
      </c>
      <c r="EC73" s="20"/>
      <c r="ED73" s="12" t="str">
        <f t="shared" si="38"/>
        <v/>
      </c>
      <c r="EE73" s="45" t="str">
        <f t="shared" si="39"/>
        <v/>
      </c>
      <c r="EF73" s="15"/>
      <c r="EG73" s="15"/>
      <c r="EH73" s="20"/>
      <c r="EI73" s="12" t="str">
        <f>IF($A73="","",SUMIFS('Consumable Usage'!$E:$E,'Consumable Usage'!$A:$A,$A73,'Consumable Usage'!$D:$D,14))</f>
        <v/>
      </c>
      <c r="EJ73" s="12" t="str">
        <f>IF($A73="","",SUMIFS('Nursing Charges'!$I:$I,'Nursing Charges'!$A:$A,$A73,'Nursing Charges'!$C:$C,14))</f>
        <v/>
      </c>
      <c r="EK73" s="12" t="str">
        <f>IF($A73="","",EH73+(EJ73-SUMIFS('Nursing Charges'!$J:$J,'Nursing Charges'!$A:$A,$A73,'Nursing Charges'!$C:$C,14))+(EI73-SUMIFS('Consumable Usage'!$F:$F,'Consumable Usage'!$A:$A,$A73,'Consumable Usage'!$D:$D,14)))</f>
        <v/>
      </c>
      <c r="EL73" s="12" t="str">
        <f t="shared" si="40"/>
        <v/>
      </c>
      <c r="EM73" s="20"/>
      <c r="EN73" s="12" t="str">
        <f t="shared" si="41"/>
        <v/>
      </c>
      <c r="EO73" s="45" t="str">
        <f t="shared" si="42"/>
        <v/>
      </c>
      <c r="EP73" s="15"/>
      <c r="EQ73" s="15"/>
      <c r="ER73" s="20"/>
      <c r="ES73" s="12" t="str">
        <f>IF($A73="","",SUMIFS('Consumable Usage'!$E:$E,'Consumable Usage'!$A:$A,$A73,'Consumable Usage'!$D:$D,15))</f>
        <v/>
      </c>
      <c r="ET73" s="12" t="str">
        <f>IF($A73="","",SUMIFS('Nursing Charges'!$I:$I,'Nursing Charges'!$A:$A,$A73,'Nursing Charges'!$C:$C,15))</f>
        <v/>
      </c>
      <c r="EU73" s="12" t="str">
        <f>IF($A73="","",ER73+(ET73-SUMIFS('Nursing Charges'!$J:$J,'Nursing Charges'!$A:$A,$A73,'Nursing Charges'!$C:$C,15))+(ES73-SUMIFS('Consumable Usage'!$F:$F,'Consumable Usage'!$A:$A,$A73,'Consumable Usage'!$D:$D,15)))</f>
        <v/>
      </c>
      <c r="EV73" s="12" t="str">
        <f t="shared" si="43"/>
        <v/>
      </c>
      <c r="EW73" s="20"/>
      <c r="EX73" s="12" t="str">
        <f t="shared" si="44"/>
        <v/>
      </c>
      <c r="EY73" s="45" t="str">
        <f t="shared" si="45"/>
        <v/>
      </c>
      <c r="EZ73" s="15"/>
      <c r="FA73" s="15"/>
      <c r="FB73" s="20"/>
      <c r="FC73" s="12" t="str">
        <f>IF($A73="","",SUMIFS('Consumable Usage'!$E:$E,'Consumable Usage'!$A:$A,$A73,'Consumable Usage'!$D:$D,16))</f>
        <v/>
      </c>
      <c r="FD73" s="12" t="str">
        <f>IF($A73="","",SUMIFS('Nursing Charges'!$I:$I,'Nursing Charges'!$A:$A,$A73,'Nursing Charges'!$C:$C,16))</f>
        <v/>
      </c>
      <c r="FE73" s="12" t="str">
        <f>IF($A73="","",FB73+(FD73-SUMIFS('Nursing Charges'!$J:$J,'Nursing Charges'!$A:$A,$A73,'Nursing Charges'!$C:$C,16))+(FC73-SUMIFS('Consumable Usage'!$F:$F,'Consumable Usage'!$A:$A,$A73,'Consumable Usage'!$D:$D,16)))</f>
        <v/>
      </c>
      <c r="FF73" s="12" t="str">
        <f t="shared" si="46"/>
        <v/>
      </c>
      <c r="FG73" s="20"/>
      <c r="FH73" s="12" t="str">
        <f t="shared" si="47"/>
        <v/>
      </c>
      <c r="FI73" s="45" t="str">
        <f t="shared" si="48"/>
        <v/>
      </c>
      <c r="FJ73" s="53"/>
      <c r="FK73" s="53"/>
      <c r="FL73" s="63"/>
      <c r="FM73" s="63" t="str">
        <f>IF($A73="","",SUMIFS('Consumable Usage'!$E:$E,'Consumable Usage'!$A:$A,$A73,'Consumable Usage'!$D:$D,16))</f>
        <v/>
      </c>
      <c r="FN73" s="63" t="str">
        <f>IF($A73="","",SUMIFS('Nursing Charges'!$I:$I,'Nursing Charges'!$A:$A,$A73,'Nursing Charges'!$C:$C,16))</f>
        <v/>
      </c>
      <c r="FO73" s="63" t="str">
        <f>IF($A73="","",FL73+(FN73-SUMIFS('Nursing Charges'!$J:$J,'Nursing Charges'!$A:$A,$A73,'Nursing Charges'!$C:$C,16))+(FM73-SUMIFS('Consumable Usage'!$F:$F,'Consumable Usage'!$A:$A,$A73,'Consumable Usage'!$D:$D,16)))</f>
        <v/>
      </c>
      <c r="FP73" s="63" t="str">
        <f t="shared" si="49"/>
        <v/>
      </c>
      <c r="FQ73" s="63"/>
      <c r="FR73" s="63" t="str">
        <f t="shared" si="50"/>
        <v/>
      </c>
      <c r="FS73" s="53" t="str">
        <f t="shared" si="51"/>
        <v/>
      </c>
    </row>
    <row r="74" ht="15.0" customHeight="1">
      <c r="A74" s="15"/>
      <c r="B74" s="15"/>
      <c r="C74" s="15"/>
      <c r="D74" s="15"/>
      <c r="E74" s="15"/>
      <c r="F74" s="15"/>
      <c r="G74" s="15"/>
      <c r="H74" s="20"/>
      <c r="I74" s="12" t="str">
        <f>IF($A74="","",SUMIFS('Consumable Usage'!$E:$E,'Consumable Usage'!$A:$A,$A74,'Consumable Usage'!$D:$D,1))</f>
        <v/>
      </c>
      <c r="J74" s="12" t="str">
        <f>IF($A74="","",SUMIFS('Nursing Charges'!$I:$I,'Nursing Charges'!$A:$A,$A74,'Nursing Charges'!$C:$C,1))</f>
        <v/>
      </c>
      <c r="K74" s="12" t="str">
        <f>IF($A74="","",H74+(J74-SUMIFS('Nursing Charges'!$J:$J,'Nursing Charges'!$A:$A,$A74,'Nursing Charges'!$C:$C,1))+(I74-SUMIFS('Consumable Usage'!$F:$F,'Consumable Usage'!$A:$A,$A74,'Consumable Usage'!$D:$D,1)))</f>
        <v/>
      </c>
      <c r="L74" s="12" t="str">
        <f t="shared" si="1"/>
        <v/>
      </c>
      <c r="M74" s="20"/>
      <c r="N74" s="12" t="str">
        <f t="shared" si="2"/>
        <v/>
      </c>
      <c r="O74" s="45" t="str">
        <f t="shared" si="3"/>
        <v/>
      </c>
      <c r="P74" s="15"/>
      <c r="Q74" s="15"/>
      <c r="R74" s="20"/>
      <c r="S74" s="12" t="str">
        <f>IF($A74="","",SUMIFS('Consumable Usage'!$E:$E,'Consumable Usage'!$A:$A,$A74,'Consumable Usage'!$D:$D,2))</f>
        <v/>
      </c>
      <c r="T74" s="12" t="str">
        <f>IF($A74="","",SUMIFS('Nursing Charges'!$I:$I,'Nursing Charges'!$A:$A,$A74,'Nursing Charges'!$C:$C,2))</f>
        <v/>
      </c>
      <c r="U74" s="12" t="str">
        <f>IF($A74="","",R74+(T74-SUMIFS('Nursing Charges'!$J:$J,'Nursing Charges'!$A:$A,$A74,'Nursing Charges'!$C:$C,2))+(S74-SUMIFS('Consumable Usage'!$F:$F,'Consumable Usage'!$A:$A,$A74,'Consumable Usage'!$D:$D,2)))</f>
        <v/>
      </c>
      <c r="V74" s="12" t="str">
        <f t="shared" si="4"/>
        <v/>
      </c>
      <c r="W74" s="20"/>
      <c r="X74" s="12" t="str">
        <f t="shared" si="5"/>
        <v/>
      </c>
      <c r="Y74" s="45" t="str">
        <f t="shared" si="6"/>
        <v/>
      </c>
      <c r="Z74" s="15"/>
      <c r="AA74" s="15"/>
      <c r="AB74" s="20"/>
      <c r="AC74" s="12" t="str">
        <f>IF($A74="","",SUMIFS('Consumable Usage'!$E:$E,'Consumable Usage'!$A:$A,$A74,'Consumable Usage'!$D:$D,3))</f>
        <v/>
      </c>
      <c r="AD74" s="12" t="str">
        <f>IF($A74="","",SUMIFS('Nursing Charges'!$I:$I,'Nursing Charges'!$A:$A,$A74,'Nursing Charges'!$C:$C,3))</f>
        <v/>
      </c>
      <c r="AE74" s="12" t="str">
        <f>IF($A74="","",AB74+(AD74-SUMIFS('Nursing Charges'!$J:$J,'Nursing Charges'!$A:$A,$A74,'Nursing Charges'!$C:$C,3))+(AC74-SUMIFS('Consumable Usage'!$F:$F,'Consumable Usage'!$A:$A,$A74,'Consumable Usage'!$D:$D,3)))</f>
        <v/>
      </c>
      <c r="AF74" s="12" t="str">
        <f t="shared" si="7"/>
        <v/>
      </c>
      <c r="AG74" s="20"/>
      <c r="AH74" s="12" t="str">
        <f t="shared" si="8"/>
        <v/>
      </c>
      <c r="AI74" s="45" t="str">
        <f t="shared" si="9"/>
        <v/>
      </c>
      <c r="AJ74" s="15"/>
      <c r="AK74" s="15"/>
      <c r="AL74" s="20"/>
      <c r="AM74" s="12" t="str">
        <f>IF($A74="","",SUMIFS('Consumable Usage'!$E:$E,'Consumable Usage'!$A:$A,$A74,'Consumable Usage'!$D:$D,4))</f>
        <v/>
      </c>
      <c r="AN74" s="12" t="str">
        <f>IF($A74="","",SUMIFS('Nursing Charges'!$I:$I,'Nursing Charges'!$A:$A,$A74,'Nursing Charges'!$C:$C,4))</f>
        <v/>
      </c>
      <c r="AO74" s="12" t="str">
        <f>IF($A74="","",AL74+(AN74-SUMIFS('Nursing Charges'!$J:$J,'Nursing Charges'!$A:$A,$A74,'Nursing Charges'!$C:$C,4))+(AM74-SUMIFS('Consumable Usage'!$F:$F,'Consumable Usage'!$A:$A,$A74,'Consumable Usage'!$D:$D,4)))</f>
        <v/>
      </c>
      <c r="AP74" s="12" t="str">
        <f t="shared" si="10"/>
        <v/>
      </c>
      <c r="AQ74" s="20"/>
      <c r="AR74" s="12" t="str">
        <f t="shared" si="11"/>
        <v/>
      </c>
      <c r="AS74" s="45" t="str">
        <f t="shared" si="12"/>
        <v/>
      </c>
      <c r="AT74" s="15"/>
      <c r="AU74" s="15"/>
      <c r="AV74" s="20"/>
      <c r="AW74" s="12" t="str">
        <f>IF($A74="","",SUMIFS('Consumable Usage'!$E:$E,'Consumable Usage'!$A:$A,$A74,'Consumable Usage'!$D:$D,5))</f>
        <v/>
      </c>
      <c r="AX74" s="12" t="str">
        <f>IF($A74="","",SUMIFS('Nursing Charges'!$I:$I,'Nursing Charges'!$A:$A,$A74,'Nursing Charges'!$C:$C,5))</f>
        <v/>
      </c>
      <c r="AY74" s="12" t="str">
        <f>IF($A74="","",AV74+(AX74-SUMIFS('Nursing Charges'!$J:$J,'Nursing Charges'!$A:$A,$A74,'Nursing Charges'!$C:$C,5))+(AW74-SUMIFS('Consumable Usage'!$F:$F,'Consumable Usage'!$A:$A,$A74,'Consumable Usage'!$D:$D,5)))</f>
        <v/>
      </c>
      <c r="AZ74" s="12" t="str">
        <f t="shared" si="13"/>
        <v/>
      </c>
      <c r="BA74" s="20"/>
      <c r="BB74" s="12" t="str">
        <f t="shared" si="14"/>
        <v/>
      </c>
      <c r="BC74" s="45" t="str">
        <f t="shared" si="15"/>
        <v/>
      </c>
      <c r="BD74" s="15"/>
      <c r="BE74" s="15"/>
      <c r="BF74" s="20"/>
      <c r="BG74" s="12" t="str">
        <f>IF($A74="","",SUMIFS('Consumable Usage'!$E:$E,'Consumable Usage'!$A:$A,$A74,'Consumable Usage'!$D:$D,6))</f>
        <v/>
      </c>
      <c r="BH74" s="12" t="str">
        <f>IF($A74="","",SUMIFS('Nursing Charges'!$I:$I,'Nursing Charges'!$A:$A,$A74,'Nursing Charges'!$C:$C,6))</f>
        <v/>
      </c>
      <c r="BI74" s="12" t="str">
        <f>IF($A74="","",BF74+(BH74-SUMIFS('Nursing Charges'!$J:$J,'Nursing Charges'!$A:$A,$A74,'Nursing Charges'!$C:$C,6))+(BG74-SUMIFS('Consumable Usage'!$F:$F,'Consumable Usage'!$A:$A,$A74,'Consumable Usage'!$D:$D,6)))</f>
        <v/>
      </c>
      <c r="BJ74" s="12" t="str">
        <f t="shared" si="16"/>
        <v/>
      </c>
      <c r="BK74" s="20"/>
      <c r="BL74" s="12" t="str">
        <f t="shared" si="17"/>
        <v/>
      </c>
      <c r="BM74" s="45" t="str">
        <f t="shared" si="18"/>
        <v/>
      </c>
      <c r="BN74" s="15"/>
      <c r="BO74" s="15"/>
      <c r="BP74" s="20"/>
      <c r="BQ74" s="12" t="str">
        <f>IF($A74="","",SUMIFS('Consumable Usage'!$E:$E,'Consumable Usage'!$A:$A,$A74,'Consumable Usage'!$D:$D,7))</f>
        <v/>
      </c>
      <c r="BR74" s="12" t="str">
        <f>IF($A74="","",SUMIFS('Nursing Charges'!$I:$I,'Nursing Charges'!$A:$A,$A74,'Nursing Charges'!$C:$C,7))</f>
        <v/>
      </c>
      <c r="BS74" s="12" t="str">
        <f>IF($A74="","",BP74+(BR74-SUMIFS('Nursing Charges'!$J:$J,'Nursing Charges'!$A:$A,$A74,'Nursing Charges'!$C:$C,7))+(BQ74-SUMIFS('Consumable Usage'!$F:$F,'Consumable Usage'!$A:$A,$A74,'Consumable Usage'!$D:$D,7)))</f>
        <v/>
      </c>
      <c r="BT74" s="12" t="str">
        <f t="shared" si="19"/>
        <v/>
      </c>
      <c r="BU74" s="20"/>
      <c r="BV74" s="12" t="str">
        <f t="shared" si="20"/>
        <v/>
      </c>
      <c r="BW74" s="45" t="str">
        <f t="shared" si="21"/>
        <v/>
      </c>
      <c r="BX74" s="15"/>
      <c r="BY74" s="15"/>
      <c r="BZ74" s="20"/>
      <c r="CA74" s="12" t="str">
        <f>IF($A74="","",SUMIFS('Consumable Usage'!$E:$E,'Consumable Usage'!$A:$A,$A74,'Consumable Usage'!$D:$D,8))</f>
        <v/>
      </c>
      <c r="CB74" s="12" t="str">
        <f>IF($A74="","",SUMIFS('Nursing Charges'!$I:$I,'Nursing Charges'!$A:$A,$A74,'Nursing Charges'!$C:$C,8))</f>
        <v/>
      </c>
      <c r="CC74" s="12" t="str">
        <f>IF($A74="","",BZ74+(CB74-SUMIFS('Nursing Charges'!$J:$J,'Nursing Charges'!$A:$A,$A74,'Nursing Charges'!$C:$C,8))+(CA74-SUMIFS('Consumable Usage'!$F:$F,'Consumable Usage'!$A:$A,$A74,'Consumable Usage'!$D:$D,8)))</f>
        <v/>
      </c>
      <c r="CD74" s="12" t="str">
        <f t="shared" si="22"/>
        <v/>
      </c>
      <c r="CE74" s="20"/>
      <c r="CF74" s="12" t="str">
        <f t="shared" si="23"/>
        <v/>
      </c>
      <c r="CG74" s="45" t="str">
        <f t="shared" si="24"/>
        <v/>
      </c>
      <c r="CH74" s="15"/>
      <c r="CI74" s="15"/>
      <c r="CJ74" s="20"/>
      <c r="CK74" s="12" t="str">
        <f>IF($A74="","",SUMIFS('Consumable Usage'!$E:$E,'Consumable Usage'!$A:$A,$A74,'Consumable Usage'!$D:$D,9))</f>
        <v/>
      </c>
      <c r="CL74" s="12" t="str">
        <f>IF($A74="","",SUMIFS('Nursing Charges'!$I:$I,'Nursing Charges'!$A:$A,$A74,'Nursing Charges'!$C:$C,9))</f>
        <v/>
      </c>
      <c r="CM74" s="12" t="str">
        <f>IF($A74="","",CJ74+(CL74-SUMIFS('Nursing Charges'!$J:$J,'Nursing Charges'!$A:$A,$A74,'Nursing Charges'!$C:$C,9))+(CK74-SUMIFS('Consumable Usage'!$F:$F,'Consumable Usage'!$A:$A,$A74,'Consumable Usage'!$D:$D,9)))</f>
        <v/>
      </c>
      <c r="CN74" s="12" t="str">
        <f t="shared" si="25"/>
        <v/>
      </c>
      <c r="CO74" s="20"/>
      <c r="CP74" s="12" t="str">
        <f t="shared" si="26"/>
        <v/>
      </c>
      <c r="CQ74" s="45" t="str">
        <f t="shared" si="27"/>
        <v/>
      </c>
      <c r="CR74" s="15"/>
      <c r="CS74" s="15"/>
      <c r="CT74" s="20"/>
      <c r="CU74" s="12" t="str">
        <f>IF($A74="","",SUMIFS('Consumable Usage'!$E:$E,'Consumable Usage'!$A:$A,$A74,'Consumable Usage'!$D:$D,10))</f>
        <v/>
      </c>
      <c r="CV74" s="12" t="str">
        <f>IF($A74="","",SUMIFS('Nursing Charges'!$I:$I,'Nursing Charges'!$A:$A,$A74,'Nursing Charges'!$C:$C,10))</f>
        <v/>
      </c>
      <c r="CW74" s="12" t="str">
        <f>IF($A74="","",CT74+(CV74-SUMIFS('Nursing Charges'!$J:$J,'Nursing Charges'!$A:$A,$A74,'Nursing Charges'!$C:$C,10))+(CU74-SUMIFS('Consumable Usage'!$F:$F,'Consumable Usage'!$A:$A,$A74,'Consumable Usage'!$D:$D,10)))</f>
        <v/>
      </c>
      <c r="CX74" s="12" t="str">
        <f t="shared" si="28"/>
        <v/>
      </c>
      <c r="CY74" s="20"/>
      <c r="CZ74" s="12" t="str">
        <f t="shared" si="29"/>
        <v/>
      </c>
      <c r="DA74" s="45" t="str">
        <f t="shared" si="30"/>
        <v/>
      </c>
      <c r="DB74" s="15"/>
      <c r="DC74" s="15"/>
      <c r="DD74" s="20"/>
      <c r="DE74" s="12" t="str">
        <f>IF($A74="","",SUMIFS('Consumable Usage'!$E:$E,'Consumable Usage'!$A:$A,$A74,'Consumable Usage'!$D:$D,11))</f>
        <v/>
      </c>
      <c r="DF74" s="12" t="str">
        <f>IF($A74="","",SUMIFS('Nursing Charges'!$I:$I,'Nursing Charges'!$A:$A,$A74,'Nursing Charges'!$C:$C,11))</f>
        <v/>
      </c>
      <c r="DG74" s="12" t="str">
        <f>IF($A74="","",DD74+(DF74-SUMIFS('Nursing Charges'!$J:$J,'Nursing Charges'!$A:$A,$A74,'Nursing Charges'!$C:$C,11))+(DE74-SUMIFS('Consumable Usage'!$F:$F,'Consumable Usage'!$A:$A,$A74,'Consumable Usage'!$D:$D,11)))</f>
        <v/>
      </c>
      <c r="DH74" s="12" t="str">
        <f t="shared" si="31"/>
        <v/>
      </c>
      <c r="DI74" s="20"/>
      <c r="DJ74" s="12" t="str">
        <f t="shared" si="32"/>
        <v/>
      </c>
      <c r="DK74" s="45" t="str">
        <f t="shared" si="33"/>
        <v/>
      </c>
      <c r="DL74" s="15"/>
      <c r="DM74" s="15"/>
      <c r="DN74" s="20"/>
      <c r="DO74" s="12" t="str">
        <f>IF($A74="","",SUMIFS('Consumable Usage'!$E:$E,'Consumable Usage'!$A:$A,$A74,'Consumable Usage'!$D:$D,12))</f>
        <v/>
      </c>
      <c r="DP74" s="12" t="str">
        <f>IF($A74="","",SUMIFS('Nursing Charges'!$I:$I,'Nursing Charges'!$A:$A,$A74,'Nursing Charges'!$C:$C,12))</f>
        <v/>
      </c>
      <c r="DQ74" s="12" t="str">
        <f>IF($A74="","",DN74+(DP74-SUMIFS('Nursing Charges'!$J:$J,'Nursing Charges'!$A:$A,$A74,'Nursing Charges'!$C:$C,12))+(DO74-SUMIFS('Consumable Usage'!$F:$F,'Consumable Usage'!$A:$A,$A74,'Consumable Usage'!$D:$D,12)))</f>
        <v/>
      </c>
      <c r="DR74" s="12" t="str">
        <f t="shared" si="34"/>
        <v/>
      </c>
      <c r="DS74" s="20"/>
      <c r="DT74" s="12" t="str">
        <f t="shared" si="35"/>
        <v/>
      </c>
      <c r="DU74" s="45" t="str">
        <f t="shared" si="36"/>
        <v/>
      </c>
      <c r="DV74" s="15"/>
      <c r="DW74" s="15"/>
      <c r="DX74" s="20"/>
      <c r="DY74" s="12" t="str">
        <f>IF($A74="","",SUMIFS('Consumable Usage'!$E:$E,'Consumable Usage'!$A:$A,$A74,'Consumable Usage'!$D:$D,13))</f>
        <v/>
      </c>
      <c r="DZ74" s="12" t="str">
        <f>IF($A74="","",SUMIFS('Nursing Charges'!$I:$I,'Nursing Charges'!$A:$A,$A74,'Nursing Charges'!$C:$C,13))</f>
        <v/>
      </c>
      <c r="EA74" s="12" t="str">
        <f>IF($A74="","",DX74+(DZ74-SUMIFS('Nursing Charges'!$J:$J,'Nursing Charges'!$A:$A,$A74,'Nursing Charges'!$C:$C,13))+(DY74-SUMIFS('Consumable Usage'!$F:$F,'Consumable Usage'!$A:$A,$A74,'Consumable Usage'!$D:$D,13)))</f>
        <v/>
      </c>
      <c r="EB74" s="12" t="str">
        <f t="shared" si="37"/>
        <v/>
      </c>
      <c r="EC74" s="20"/>
      <c r="ED74" s="12" t="str">
        <f t="shared" si="38"/>
        <v/>
      </c>
      <c r="EE74" s="45" t="str">
        <f t="shared" si="39"/>
        <v/>
      </c>
      <c r="EF74" s="15"/>
      <c r="EG74" s="15"/>
      <c r="EH74" s="20"/>
      <c r="EI74" s="12" t="str">
        <f>IF($A74="","",SUMIFS('Consumable Usage'!$E:$E,'Consumable Usage'!$A:$A,$A74,'Consumable Usage'!$D:$D,14))</f>
        <v/>
      </c>
      <c r="EJ74" s="12" t="str">
        <f>IF($A74="","",SUMIFS('Nursing Charges'!$I:$I,'Nursing Charges'!$A:$A,$A74,'Nursing Charges'!$C:$C,14))</f>
        <v/>
      </c>
      <c r="EK74" s="12" t="str">
        <f>IF($A74="","",EH74+(EJ74-SUMIFS('Nursing Charges'!$J:$J,'Nursing Charges'!$A:$A,$A74,'Nursing Charges'!$C:$C,14))+(EI74-SUMIFS('Consumable Usage'!$F:$F,'Consumable Usage'!$A:$A,$A74,'Consumable Usage'!$D:$D,14)))</f>
        <v/>
      </c>
      <c r="EL74" s="12" t="str">
        <f t="shared" si="40"/>
        <v/>
      </c>
      <c r="EM74" s="20"/>
      <c r="EN74" s="12" t="str">
        <f t="shared" si="41"/>
        <v/>
      </c>
      <c r="EO74" s="45" t="str">
        <f t="shared" si="42"/>
        <v/>
      </c>
      <c r="EP74" s="15"/>
      <c r="EQ74" s="15"/>
      <c r="ER74" s="20"/>
      <c r="ES74" s="12" t="str">
        <f>IF($A74="","",SUMIFS('Consumable Usage'!$E:$E,'Consumable Usage'!$A:$A,$A74,'Consumable Usage'!$D:$D,15))</f>
        <v/>
      </c>
      <c r="ET74" s="12" t="str">
        <f>IF($A74="","",SUMIFS('Nursing Charges'!$I:$I,'Nursing Charges'!$A:$A,$A74,'Nursing Charges'!$C:$C,15))</f>
        <v/>
      </c>
      <c r="EU74" s="12" t="str">
        <f>IF($A74="","",ER74+(ET74-SUMIFS('Nursing Charges'!$J:$J,'Nursing Charges'!$A:$A,$A74,'Nursing Charges'!$C:$C,15))+(ES74-SUMIFS('Consumable Usage'!$F:$F,'Consumable Usage'!$A:$A,$A74,'Consumable Usage'!$D:$D,15)))</f>
        <v/>
      </c>
      <c r="EV74" s="12" t="str">
        <f t="shared" si="43"/>
        <v/>
      </c>
      <c r="EW74" s="20"/>
      <c r="EX74" s="12" t="str">
        <f t="shared" si="44"/>
        <v/>
      </c>
      <c r="EY74" s="45" t="str">
        <f t="shared" si="45"/>
        <v/>
      </c>
      <c r="EZ74" s="15"/>
      <c r="FA74" s="15"/>
      <c r="FB74" s="20"/>
      <c r="FC74" s="12" t="str">
        <f>IF($A74="","",SUMIFS('Consumable Usage'!$E:$E,'Consumable Usage'!$A:$A,$A74,'Consumable Usage'!$D:$D,16))</f>
        <v/>
      </c>
      <c r="FD74" s="12" t="str">
        <f>IF($A74="","",SUMIFS('Nursing Charges'!$I:$I,'Nursing Charges'!$A:$A,$A74,'Nursing Charges'!$C:$C,16))</f>
        <v/>
      </c>
      <c r="FE74" s="12" t="str">
        <f>IF($A74="","",FB74+(FD74-SUMIFS('Nursing Charges'!$J:$J,'Nursing Charges'!$A:$A,$A74,'Nursing Charges'!$C:$C,16))+(FC74-SUMIFS('Consumable Usage'!$F:$F,'Consumable Usage'!$A:$A,$A74,'Consumable Usage'!$D:$D,16)))</f>
        <v/>
      </c>
      <c r="FF74" s="12" t="str">
        <f t="shared" si="46"/>
        <v/>
      </c>
      <c r="FG74" s="20"/>
      <c r="FH74" s="12" t="str">
        <f t="shared" si="47"/>
        <v/>
      </c>
      <c r="FI74" s="45" t="str">
        <f t="shared" si="48"/>
        <v/>
      </c>
      <c r="FJ74" s="53"/>
      <c r="FK74" s="53"/>
      <c r="FL74" s="63"/>
      <c r="FM74" s="63" t="str">
        <f>IF($A74="","",SUMIFS('Consumable Usage'!$E:$E,'Consumable Usage'!$A:$A,$A74,'Consumable Usage'!$D:$D,16))</f>
        <v/>
      </c>
      <c r="FN74" s="63" t="str">
        <f>IF($A74="","",SUMIFS('Nursing Charges'!$I:$I,'Nursing Charges'!$A:$A,$A74,'Nursing Charges'!$C:$C,16))</f>
        <v/>
      </c>
      <c r="FO74" s="63" t="str">
        <f>IF($A74="","",FL74+(FN74-SUMIFS('Nursing Charges'!$J:$J,'Nursing Charges'!$A:$A,$A74,'Nursing Charges'!$C:$C,16))+(FM74-SUMIFS('Consumable Usage'!$F:$F,'Consumable Usage'!$A:$A,$A74,'Consumable Usage'!$D:$D,16)))</f>
        <v/>
      </c>
      <c r="FP74" s="63" t="str">
        <f t="shared" si="49"/>
        <v/>
      </c>
      <c r="FQ74" s="63"/>
      <c r="FR74" s="63" t="str">
        <f t="shared" si="50"/>
        <v/>
      </c>
      <c r="FS74" s="53" t="str">
        <f t="shared" si="51"/>
        <v/>
      </c>
    </row>
    <row r="75" ht="15.0" customHeight="1">
      <c r="A75" s="15"/>
      <c r="B75" s="15"/>
      <c r="C75" s="15"/>
      <c r="D75" s="15"/>
      <c r="E75" s="15"/>
      <c r="F75" s="15"/>
      <c r="G75" s="15"/>
      <c r="H75" s="20"/>
      <c r="I75" s="12" t="str">
        <f>IF($A75="","",SUMIFS('Consumable Usage'!$E:$E,'Consumable Usage'!$A:$A,$A75,'Consumable Usage'!$D:$D,1))</f>
        <v/>
      </c>
      <c r="J75" s="12" t="str">
        <f>IF($A75="","",SUMIFS('Nursing Charges'!$I:$I,'Nursing Charges'!$A:$A,$A75,'Nursing Charges'!$C:$C,1))</f>
        <v/>
      </c>
      <c r="K75" s="12" t="str">
        <f>IF($A75="","",H75+(J75-SUMIFS('Nursing Charges'!$J:$J,'Nursing Charges'!$A:$A,$A75,'Nursing Charges'!$C:$C,1))+(I75-SUMIFS('Consumable Usage'!$F:$F,'Consumable Usage'!$A:$A,$A75,'Consumable Usage'!$D:$D,1)))</f>
        <v/>
      </c>
      <c r="L75" s="12" t="str">
        <f t="shared" si="1"/>
        <v/>
      </c>
      <c r="M75" s="20"/>
      <c r="N75" s="12" t="str">
        <f t="shared" si="2"/>
        <v/>
      </c>
      <c r="O75" s="45" t="str">
        <f t="shared" si="3"/>
        <v/>
      </c>
      <c r="P75" s="15"/>
      <c r="Q75" s="15"/>
      <c r="R75" s="20"/>
      <c r="S75" s="12" t="str">
        <f>IF($A75="","",SUMIFS('Consumable Usage'!$E:$E,'Consumable Usage'!$A:$A,$A75,'Consumable Usage'!$D:$D,2))</f>
        <v/>
      </c>
      <c r="T75" s="12" t="str">
        <f>IF($A75="","",SUMIFS('Nursing Charges'!$I:$I,'Nursing Charges'!$A:$A,$A75,'Nursing Charges'!$C:$C,2))</f>
        <v/>
      </c>
      <c r="U75" s="12" t="str">
        <f>IF($A75="","",R75+(T75-SUMIFS('Nursing Charges'!$J:$J,'Nursing Charges'!$A:$A,$A75,'Nursing Charges'!$C:$C,2))+(S75-SUMIFS('Consumable Usage'!$F:$F,'Consumable Usage'!$A:$A,$A75,'Consumable Usage'!$D:$D,2)))</f>
        <v/>
      </c>
      <c r="V75" s="12" t="str">
        <f t="shared" si="4"/>
        <v/>
      </c>
      <c r="W75" s="20"/>
      <c r="X75" s="12" t="str">
        <f t="shared" si="5"/>
        <v/>
      </c>
      <c r="Y75" s="45" t="str">
        <f t="shared" si="6"/>
        <v/>
      </c>
      <c r="Z75" s="15"/>
      <c r="AA75" s="15"/>
      <c r="AB75" s="20"/>
      <c r="AC75" s="12" t="str">
        <f>IF($A75="","",SUMIFS('Consumable Usage'!$E:$E,'Consumable Usage'!$A:$A,$A75,'Consumable Usage'!$D:$D,3))</f>
        <v/>
      </c>
      <c r="AD75" s="12" t="str">
        <f>IF($A75="","",SUMIFS('Nursing Charges'!$I:$I,'Nursing Charges'!$A:$A,$A75,'Nursing Charges'!$C:$C,3))</f>
        <v/>
      </c>
      <c r="AE75" s="12" t="str">
        <f>IF($A75="","",AB75+(AD75-SUMIFS('Nursing Charges'!$J:$J,'Nursing Charges'!$A:$A,$A75,'Nursing Charges'!$C:$C,3))+(AC75-SUMIFS('Consumable Usage'!$F:$F,'Consumable Usage'!$A:$A,$A75,'Consumable Usage'!$D:$D,3)))</f>
        <v/>
      </c>
      <c r="AF75" s="12" t="str">
        <f t="shared" si="7"/>
        <v/>
      </c>
      <c r="AG75" s="20"/>
      <c r="AH75" s="12" t="str">
        <f t="shared" si="8"/>
        <v/>
      </c>
      <c r="AI75" s="45" t="str">
        <f t="shared" si="9"/>
        <v/>
      </c>
      <c r="AJ75" s="15"/>
      <c r="AK75" s="15"/>
      <c r="AL75" s="20"/>
      <c r="AM75" s="12" t="str">
        <f>IF($A75="","",SUMIFS('Consumable Usage'!$E:$E,'Consumable Usage'!$A:$A,$A75,'Consumable Usage'!$D:$D,4))</f>
        <v/>
      </c>
      <c r="AN75" s="12" t="str">
        <f>IF($A75="","",SUMIFS('Nursing Charges'!$I:$I,'Nursing Charges'!$A:$A,$A75,'Nursing Charges'!$C:$C,4))</f>
        <v/>
      </c>
      <c r="AO75" s="12" t="str">
        <f>IF($A75="","",AL75+(AN75-SUMIFS('Nursing Charges'!$J:$J,'Nursing Charges'!$A:$A,$A75,'Nursing Charges'!$C:$C,4))+(AM75-SUMIFS('Consumable Usage'!$F:$F,'Consumable Usage'!$A:$A,$A75,'Consumable Usage'!$D:$D,4)))</f>
        <v/>
      </c>
      <c r="AP75" s="12" t="str">
        <f t="shared" si="10"/>
        <v/>
      </c>
      <c r="AQ75" s="20"/>
      <c r="AR75" s="12" t="str">
        <f t="shared" si="11"/>
        <v/>
      </c>
      <c r="AS75" s="45" t="str">
        <f t="shared" si="12"/>
        <v/>
      </c>
      <c r="AT75" s="15"/>
      <c r="AU75" s="15"/>
      <c r="AV75" s="20"/>
      <c r="AW75" s="12" t="str">
        <f>IF($A75="","",SUMIFS('Consumable Usage'!$E:$E,'Consumable Usage'!$A:$A,$A75,'Consumable Usage'!$D:$D,5))</f>
        <v/>
      </c>
      <c r="AX75" s="12" t="str">
        <f>IF($A75="","",SUMIFS('Nursing Charges'!$I:$I,'Nursing Charges'!$A:$A,$A75,'Nursing Charges'!$C:$C,5))</f>
        <v/>
      </c>
      <c r="AY75" s="12" t="str">
        <f>IF($A75="","",AV75+(AX75-SUMIFS('Nursing Charges'!$J:$J,'Nursing Charges'!$A:$A,$A75,'Nursing Charges'!$C:$C,5))+(AW75-SUMIFS('Consumable Usage'!$F:$F,'Consumable Usage'!$A:$A,$A75,'Consumable Usage'!$D:$D,5)))</f>
        <v/>
      </c>
      <c r="AZ75" s="12" t="str">
        <f t="shared" si="13"/>
        <v/>
      </c>
      <c r="BA75" s="20"/>
      <c r="BB75" s="12" t="str">
        <f t="shared" si="14"/>
        <v/>
      </c>
      <c r="BC75" s="45" t="str">
        <f t="shared" si="15"/>
        <v/>
      </c>
      <c r="BD75" s="15"/>
      <c r="BE75" s="15"/>
      <c r="BF75" s="20"/>
      <c r="BG75" s="12" t="str">
        <f>IF($A75="","",SUMIFS('Consumable Usage'!$E:$E,'Consumable Usage'!$A:$A,$A75,'Consumable Usage'!$D:$D,6))</f>
        <v/>
      </c>
      <c r="BH75" s="12" t="str">
        <f>IF($A75="","",SUMIFS('Nursing Charges'!$I:$I,'Nursing Charges'!$A:$A,$A75,'Nursing Charges'!$C:$C,6))</f>
        <v/>
      </c>
      <c r="BI75" s="12" t="str">
        <f>IF($A75="","",BF75+(BH75-SUMIFS('Nursing Charges'!$J:$J,'Nursing Charges'!$A:$A,$A75,'Nursing Charges'!$C:$C,6))+(BG75-SUMIFS('Consumable Usage'!$F:$F,'Consumable Usage'!$A:$A,$A75,'Consumable Usage'!$D:$D,6)))</f>
        <v/>
      </c>
      <c r="BJ75" s="12" t="str">
        <f t="shared" si="16"/>
        <v/>
      </c>
      <c r="BK75" s="20"/>
      <c r="BL75" s="12" t="str">
        <f t="shared" si="17"/>
        <v/>
      </c>
      <c r="BM75" s="45" t="str">
        <f t="shared" si="18"/>
        <v/>
      </c>
      <c r="BN75" s="15"/>
      <c r="BO75" s="15"/>
      <c r="BP75" s="20"/>
      <c r="BQ75" s="12" t="str">
        <f>IF($A75="","",SUMIFS('Consumable Usage'!$E:$E,'Consumable Usage'!$A:$A,$A75,'Consumable Usage'!$D:$D,7))</f>
        <v/>
      </c>
      <c r="BR75" s="12" t="str">
        <f>IF($A75="","",SUMIFS('Nursing Charges'!$I:$I,'Nursing Charges'!$A:$A,$A75,'Nursing Charges'!$C:$C,7))</f>
        <v/>
      </c>
      <c r="BS75" s="12" t="str">
        <f>IF($A75="","",BP75+(BR75-SUMIFS('Nursing Charges'!$J:$J,'Nursing Charges'!$A:$A,$A75,'Nursing Charges'!$C:$C,7))+(BQ75-SUMIFS('Consumable Usage'!$F:$F,'Consumable Usage'!$A:$A,$A75,'Consumable Usage'!$D:$D,7)))</f>
        <v/>
      </c>
      <c r="BT75" s="12" t="str">
        <f t="shared" si="19"/>
        <v/>
      </c>
      <c r="BU75" s="20"/>
      <c r="BV75" s="12" t="str">
        <f t="shared" si="20"/>
        <v/>
      </c>
      <c r="BW75" s="45" t="str">
        <f t="shared" si="21"/>
        <v/>
      </c>
      <c r="BX75" s="15"/>
      <c r="BY75" s="15"/>
      <c r="BZ75" s="20"/>
      <c r="CA75" s="12" t="str">
        <f>IF($A75="","",SUMIFS('Consumable Usage'!$E:$E,'Consumable Usage'!$A:$A,$A75,'Consumable Usage'!$D:$D,8))</f>
        <v/>
      </c>
      <c r="CB75" s="12" t="str">
        <f>IF($A75="","",SUMIFS('Nursing Charges'!$I:$I,'Nursing Charges'!$A:$A,$A75,'Nursing Charges'!$C:$C,8))</f>
        <v/>
      </c>
      <c r="CC75" s="12" t="str">
        <f>IF($A75="","",BZ75+(CB75-SUMIFS('Nursing Charges'!$J:$J,'Nursing Charges'!$A:$A,$A75,'Nursing Charges'!$C:$C,8))+(CA75-SUMIFS('Consumable Usage'!$F:$F,'Consumable Usage'!$A:$A,$A75,'Consumable Usage'!$D:$D,8)))</f>
        <v/>
      </c>
      <c r="CD75" s="12" t="str">
        <f t="shared" si="22"/>
        <v/>
      </c>
      <c r="CE75" s="20"/>
      <c r="CF75" s="12" t="str">
        <f t="shared" si="23"/>
        <v/>
      </c>
      <c r="CG75" s="45" t="str">
        <f t="shared" si="24"/>
        <v/>
      </c>
      <c r="CH75" s="15"/>
      <c r="CI75" s="15"/>
      <c r="CJ75" s="20"/>
      <c r="CK75" s="12" t="str">
        <f>IF($A75="","",SUMIFS('Consumable Usage'!$E:$E,'Consumable Usage'!$A:$A,$A75,'Consumable Usage'!$D:$D,9))</f>
        <v/>
      </c>
      <c r="CL75" s="12" t="str">
        <f>IF($A75="","",SUMIFS('Nursing Charges'!$I:$I,'Nursing Charges'!$A:$A,$A75,'Nursing Charges'!$C:$C,9))</f>
        <v/>
      </c>
      <c r="CM75" s="12" t="str">
        <f>IF($A75="","",CJ75+(CL75-SUMIFS('Nursing Charges'!$J:$J,'Nursing Charges'!$A:$A,$A75,'Nursing Charges'!$C:$C,9))+(CK75-SUMIFS('Consumable Usage'!$F:$F,'Consumable Usage'!$A:$A,$A75,'Consumable Usage'!$D:$D,9)))</f>
        <v/>
      </c>
      <c r="CN75" s="12" t="str">
        <f t="shared" si="25"/>
        <v/>
      </c>
      <c r="CO75" s="20"/>
      <c r="CP75" s="12" t="str">
        <f t="shared" si="26"/>
        <v/>
      </c>
      <c r="CQ75" s="45" t="str">
        <f t="shared" si="27"/>
        <v/>
      </c>
      <c r="CR75" s="15"/>
      <c r="CS75" s="15"/>
      <c r="CT75" s="20"/>
      <c r="CU75" s="12" t="str">
        <f>IF($A75="","",SUMIFS('Consumable Usage'!$E:$E,'Consumable Usage'!$A:$A,$A75,'Consumable Usage'!$D:$D,10))</f>
        <v/>
      </c>
      <c r="CV75" s="12" t="str">
        <f>IF($A75="","",SUMIFS('Nursing Charges'!$I:$I,'Nursing Charges'!$A:$A,$A75,'Nursing Charges'!$C:$C,10))</f>
        <v/>
      </c>
      <c r="CW75" s="12" t="str">
        <f>IF($A75="","",CT75+(CV75-SUMIFS('Nursing Charges'!$J:$J,'Nursing Charges'!$A:$A,$A75,'Nursing Charges'!$C:$C,10))+(CU75-SUMIFS('Consumable Usage'!$F:$F,'Consumable Usage'!$A:$A,$A75,'Consumable Usage'!$D:$D,10)))</f>
        <v/>
      </c>
      <c r="CX75" s="12" t="str">
        <f t="shared" si="28"/>
        <v/>
      </c>
      <c r="CY75" s="20"/>
      <c r="CZ75" s="12" t="str">
        <f t="shared" si="29"/>
        <v/>
      </c>
      <c r="DA75" s="45" t="str">
        <f t="shared" si="30"/>
        <v/>
      </c>
      <c r="DB75" s="15"/>
      <c r="DC75" s="15"/>
      <c r="DD75" s="20"/>
      <c r="DE75" s="12" t="str">
        <f>IF($A75="","",SUMIFS('Consumable Usage'!$E:$E,'Consumable Usage'!$A:$A,$A75,'Consumable Usage'!$D:$D,11))</f>
        <v/>
      </c>
      <c r="DF75" s="12" t="str">
        <f>IF($A75="","",SUMIFS('Nursing Charges'!$I:$I,'Nursing Charges'!$A:$A,$A75,'Nursing Charges'!$C:$C,11))</f>
        <v/>
      </c>
      <c r="DG75" s="12" t="str">
        <f>IF($A75="","",DD75+(DF75-SUMIFS('Nursing Charges'!$J:$J,'Nursing Charges'!$A:$A,$A75,'Nursing Charges'!$C:$C,11))+(DE75-SUMIFS('Consumable Usage'!$F:$F,'Consumable Usage'!$A:$A,$A75,'Consumable Usage'!$D:$D,11)))</f>
        <v/>
      </c>
      <c r="DH75" s="12" t="str">
        <f t="shared" si="31"/>
        <v/>
      </c>
      <c r="DI75" s="20"/>
      <c r="DJ75" s="12" t="str">
        <f t="shared" si="32"/>
        <v/>
      </c>
      <c r="DK75" s="45" t="str">
        <f t="shared" si="33"/>
        <v/>
      </c>
      <c r="DL75" s="15"/>
      <c r="DM75" s="15"/>
      <c r="DN75" s="20"/>
      <c r="DO75" s="12" t="str">
        <f>IF($A75="","",SUMIFS('Consumable Usage'!$E:$E,'Consumable Usage'!$A:$A,$A75,'Consumable Usage'!$D:$D,12))</f>
        <v/>
      </c>
      <c r="DP75" s="12" t="str">
        <f>IF($A75="","",SUMIFS('Nursing Charges'!$I:$I,'Nursing Charges'!$A:$A,$A75,'Nursing Charges'!$C:$C,12))</f>
        <v/>
      </c>
      <c r="DQ75" s="12" t="str">
        <f>IF($A75="","",DN75+(DP75-SUMIFS('Nursing Charges'!$J:$J,'Nursing Charges'!$A:$A,$A75,'Nursing Charges'!$C:$C,12))+(DO75-SUMIFS('Consumable Usage'!$F:$F,'Consumable Usage'!$A:$A,$A75,'Consumable Usage'!$D:$D,12)))</f>
        <v/>
      </c>
      <c r="DR75" s="12" t="str">
        <f t="shared" si="34"/>
        <v/>
      </c>
      <c r="DS75" s="20"/>
      <c r="DT75" s="12" t="str">
        <f t="shared" si="35"/>
        <v/>
      </c>
      <c r="DU75" s="45" t="str">
        <f t="shared" si="36"/>
        <v/>
      </c>
      <c r="DV75" s="15"/>
      <c r="DW75" s="15"/>
      <c r="DX75" s="20"/>
      <c r="DY75" s="12" t="str">
        <f>IF($A75="","",SUMIFS('Consumable Usage'!$E:$E,'Consumable Usage'!$A:$A,$A75,'Consumable Usage'!$D:$D,13))</f>
        <v/>
      </c>
      <c r="DZ75" s="12" t="str">
        <f>IF($A75="","",SUMIFS('Nursing Charges'!$I:$I,'Nursing Charges'!$A:$A,$A75,'Nursing Charges'!$C:$C,13))</f>
        <v/>
      </c>
      <c r="EA75" s="12" t="str">
        <f>IF($A75="","",DX75+(DZ75-SUMIFS('Nursing Charges'!$J:$J,'Nursing Charges'!$A:$A,$A75,'Nursing Charges'!$C:$C,13))+(DY75-SUMIFS('Consumable Usage'!$F:$F,'Consumable Usage'!$A:$A,$A75,'Consumable Usage'!$D:$D,13)))</f>
        <v/>
      </c>
      <c r="EB75" s="12" t="str">
        <f t="shared" si="37"/>
        <v/>
      </c>
      <c r="EC75" s="20"/>
      <c r="ED75" s="12" t="str">
        <f t="shared" si="38"/>
        <v/>
      </c>
      <c r="EE75" s="45" t="str">
        <f t="shared" si="39"/>
        <v/>
      </c>
      <c r="EF75" s="15"/>
      <c r="EG75" s="15"/>
      <c r="EH75" s="20"/>
      <c r="EI75" s="12" t="str">
        <f>IF($A75="","",SUMIFS('Consumable Usage'!$E:$E,'Consumable Usage'!$A:$A,$A75,'Consumable Usage'!$D:$D,14))</f>
        <v/>
      </c>
      <c r="EJ75" s="12" t="str">
        <f>IF($A75="","",SUMIFS('Nursing Charges'!$I:$I,'Nursing Charges'!$A:$A,$A75,'Nursing Charges'!$C:$C,14))</f>
        <v/>
      </c>
      <c r="EK75" s="12" t="str">
        <f>IF($A75="","",EH75+(EJ75-SUMIFS('Nursing Charges'!$J:$J,'Nursing Charges'!$A:$A,$A75,'Nursing Charges'!$C:$C,14))+(EI75-SUMIFS('Consumable Usage'!$F:$F,'Consumable Usage'!$A:$A,$A75,'Consumable Usage'!$D:$D,14)))</f>
        <v/>
      </c>
      <c r="EL75" s="12" t="str">
        <f t="shared" si="40"/>
        <v/>
      </c>
      <c r="EM75" s="20"/>
      <c r="EN75" s="12" t="str">
        <f t="shared" si="41"/>
        <v/>
      </c>
      <c r="EO75" s="45" t="str">
        <f t="shared" si="42"/>
        <v/>
      </c>
      <c r="EP75" s="15"/>
      <c r="EQ75" s="15"/>
      <c r="ER75" s="20"/>
      <c r="ES75" s="12" t="str">
        <f>IF($A75="","",SUMIFS('Consumable Usage'!$E:$E,'Consumable Usage'!$A:$A,$A75,'Consumable Usage'!$D:$D,15))</f>
        <v/>
      </c>
      <c r="ET75" s="12" t="str">
        <f>IF($A75="","",SUMIFS('Nursing Charges'!$I:$I,'Nursing Charges'!$A:$A,$A75,'Nursing Charges'!$C:$C,15))</f>
        <v/>
      </c>
      <c r="EU75" s="12" t="str">
        <f>IF($A75="","",ER75+(ET75-SUMIFS('Nursing Charges'!$J:$J,'Nursing Charges'!$A:$A,$A75,'Nursing Charges'!$C:$C,15))+(ES75-SUMIFS('Consumable Usage'!$F:$F,'Consumable Usage'!$A:$A,$A75,'Consumable Usage'!$D:$D,15)))</f>
        <v/>
      </c>
      <c r="EV75" s="12" t="str">
        <f t="shared" si="43"/>
        <v/>
      </c>
      <c r="EW75" s="20"/>
      <c r="EX75" s="12" t="str">
        <f t="shared" si="44"/>
        <v/>
      </c>
      <c r="EY75" s="45" t="str">
        <f t="shared" si="45"/>
        <v/>
      </c>
      <c r="EZ75" s="15"/>
      <c r="FA75" s="15"/>
      <c r="FB75" s="20"/>
      <c r="FC75" s="12" t="str">
        <f>IF($A75="","",SUMIFS('Consumable Usage'!$E:$E,'Consumable Usage'!$A:$A,$A75,'Consumable Usage'!$D:$D,16))</f>
        <v/>
      </c>
      <c r="FD75" s="12" t="str">
        <f>IF($A75="","",SUMIFS('Nursing Charges'!$I:$I,'Nursing Charges'!$A:$A,$A75,'Nursing Charges'!$C:$C,16))</f>
        <v/>
      </c>
      <c r="FE75" s="12" t="str">
        <f>IF($A75="","",FB75+(FD75-SUMIFS('Nursing Charges'!$J:$J,'Nursing Charges'!$A:$A,$A75,'Nursing Charges'!$C:$C,16))+(FC75-SUMIFS('Consumable Usage'!$F:$F,'Consumable Usage'!$A:$A,$A75,'Consumable Usage'!$D:$D,16)))</f>
        <v/>
      </c>
      <c r="FF75" s="12" t="str">
        <f t="shared" si="46"/>
        <v/>
      </c>
      <c r="FG75" s="20"/>
      <c r="FH75" s="12" t="str">
        <f t="shared" si="47"/>
        <v/>
      </c>
      <c r="FI75" s="45" t="str">
        <f t="shared" si="48"/>
        <v/>
      </c>
      <c r="FJ75" s="53"/>
      <c r="FK75" s="53"/>
      <c r="FL75" s="63"/>
      <c r="FM75" s="63" t="str">
        <f>IF($A75="","",SUMIFS('Consumable Usage'!$E:$E,'Consumable Usage'!$A:$A,$A75,'Consumable Usage'!$D:$D,16))</f>
        <v/>
      </c>
      <c r="FN75" s="63" t="str">
        <f>IF($A75="","",SUMIFS('Nursing Charges'!$I:$I,'Nursing Charges'!$A:$A,$A75,'Nursing Charges'!$C:$C,16))</f>
        <v/>
      </c>
      <c r="FO75" s="63" t="str">
        <f>IF($A75="","",FL75+(FN75-SUMIFS('Nursing Charges'!$J:$J,'Nursing Charges'!$A:$A,$A75,'Nursing Charges'!$C:$C,16))+(FM75-SUMIFS('Consumable Usage'!$F:$F,'Consumable Usage'!$A:$A,$A75,'Consumable Usage'!$D:$D,16)))</f>
        <v/>
      </c>
      <c r="FP75" s="63" t="str">
        <f t="shared" si="49"/>
        <v/>
      </c>
      <c r="FQ75" s="63"/>
      <c r="FR75" s="63" t="str">
        <f t="shared" si="50"/>
        <v/>
      </c>
      <c r="FS75" s="53" t="str">
        <f t="shared" si="51"/>
        <v/>
      </c>
    </row>
    <row r="76" ht="15.0" customHeight="1">
      <c r="A76" s="15"/>
      <c r="B76" s="15"/>
      <c r="C76" s="15"/>
      <c r="D76" s="15"/>
      <c r="E76" s="15"/>
      <c r="F76" s="15"/>
      <c r="G76" s="15"/>
      <c r="H76" s="20"/>
      <c r="I76" s="12" t="str">
        <f>IF($A76="","",SUMIFS('Consumable Usage'!$E:$E,'Consumable Usage'!$A:$A,$A76,'Consumable Usage'!$D:$D,1))</f>
        <v/>
      </c>
      <c r="J76" s="12" t="str">
        <f>IF($A76="","",SUMIFS('Nursing Charges'!$I:$I,'Nursing Charges'!$A:$A,$A76,'Nursing Charges'!$C:$C,1))</f>
        <v/>
      </c>
      <c r="K76" s="12" t="str">
        <f>IF($A76="","",H76+(J76-SUMIFS('Nursing Charges'!$J:$J,'Nursing Charges'!$A:$A,$A76,'Nursing Charges'!$C:$C,1))+(I76-SUMIFS('Consumable Usage'!$F:$F,'Consumable Usage'!$A:$A,$A76,'Consumable Usage'!$D:$D,1)))</f>
        <v/>
      </c>
      <c r="L76" s="12" t="str">
        <f t="shared" si="1"/>
        <v/>
      </c>
      <c r="M76" s="20"/>
      <c r="N76" s="12" t="str">
        <f t="shared" si="2"/>
        <v/>
      </c>
      <c r="O76" s="45" t="str">
        <f t="shared" si="3"/>
        <v/>
      </c>
      <c r="P76" s="15"/>
      <c r="Q76" s="15"/>
      <c r="R76" s="20"/>
      <c r="S76" s="12" t="str">
        <f>IF($A76="","",SUMIFS('Consumable Usage'!$E:$E,'Consumable Usage'!$A:$A,$A76,'Consumable Usage'!$D:$D,2))</f>
        <v/>
      </c>
      <c r="T76" s="12" t="str">
        <f>IF($A76="","",SUMIFS('Nursing Charges'!$I:$I,'Nursing Charges'!$A:$A,$A76,'Nursing Charges'!$C:$C,2))</f>
        <v/>
      </c>
      <c r="U76" s="12" t="str">
        <f>IF($A76="","",R76+(T76-SUMIFS('Nursing Charges'!$J:$J,'Nursing Charges'!$A:$A,$A76,'Nursing Charges'!$C:$C,2))+(S76-SUMIFS('Consumable Usage'!$F:$F,'Consumable Usage'!$A:$A,$A76,'Consumable Usage'!$D:$D,2)))</f>
        <v/>
      </c>
      <c r="V76" s="12" t="str">
        <f t="shared" si="4"/>
        <v/>
      </c>
      <c r="W76" s="20"/>
      <c r="X76" s="12" t="str">
        <f t="shared" si="5"/>
        <v/>
      </c>
      <c r="Y76" s="45" t="str">
        <f t="shared" si="6"/>
        <v/>
      </c>
      <c r="Z76" s="15"/>
      <c r="AA76" s="15"/>
      <c r="AB76" s="20"/>
      <c r="AC76" s="12" t="str">
        <f>IF($A76="","",SUMIFS('Consumable Usage'!$E:$E,'Consumable Usage'!$A:$A,$A76,'Consumable Usage'!$D:$D,3))</f>
        <v/>
      </c>
      <c r="AD76" s="12" t="str">
        <f>IF($A76="","",SUMIFS('Nursing Charges'!$I:$I,'Nursing Charges'!$A:$A,$A76,'Nursing Charges'!$C:$C,3))</f>
        <v/>
      </c>
      <c r="AE76" s="12" t="str">
        <f>IF($A76="","",AB76+(AD76-SUMIFS('Nursing Charges'!$J:$J,'Nursing Charges'!$A:$A,$A76,'Nursing Charges'!$C:$C,3))+(AC76-SUMIFS('Consumable Usage'!$F:$F,'Consumable Usage'!$A:$A,$A76,'Consumable Usage'!$D:$D,3)))</f>
        <v/>
      </c>
      <c r="AF76" s="12" t="str">
        <f t="shared" si="7"/>
        <v/>
      </c>
      <c r="AG76" s="20"/>
      <c r="AH76" s="12" t="str">
        <f t="shared" si="8"/>
        <v/>
      </c>
      <c r="AI76" s="45" t="str">
        <f t="shared" si="9"/>
        <v/>
      </c>
      <c r="AJ76" s="15"/>
      <c r="AK76" s="15"/>
      <c r="AL76" s="20"/>
      <c r="AM76" s="12" t="str">
        <f>IF($A76="","",SUMIFS('Consumable Usage'!$E:$E,'Consumable Usage'!$A:$A,$A76,'Consumable Usage'!$D:$D,4))</f>
        <v/>
      </c>
      <c r="AN76" s="12" t="str">
        <f>IF($A76="","",SUMIFS('Nursing Charges'!$I:$I,'Nursing Charges'!$A:$A,$A76,'Nursing Charges'!$C:$C,4))</f>
        <v/>
      </c>
      <c r="AO76" s="12" t="str">
        <f>IF($A76="","",AL76+(AN76-SUMIFS('Nursing Charges'!$J:$J,'Nursing Charges'!$A:$A,$A76,'Nursing Charges'!$C:$C,4))+(AM76-SUMIFS('Consumable Usage'!$F:$F,'Consumable Usage'!$A:$A,$A76,'Consumable Usage'!$D:$D,4)))</f>
        <v/>
      </c>
      <c r="AP76" s="12" t="str">
        <f t="shared" si="10"/>
        <v/>
      </c>
      <c r="AQ76" s="20"/>
      <c r="AR76" s="12" t="str">
        <f t="shared" si="11"/>
        <v/>
      </c>
      <c r="AS76" s="45" t="str">
        <f t="shared" si="12"/>
        <v/>
      </c>
      <c r="AT76" s="15"/>
      <c r="AU76" s="15"/>
      <c r="AV76" s="20"/>
      <c r="AW76" s="12" t="str">
        <f>IF($A76="","",SUMIFS('Consumable Usage'!$E:$E,'Consumable Usage'!$A:$A,$A76,'Consumable Usage'!$D:$D,5))</f>
        <v/>
      </c>
      <c r="AX76" s="12" t="str">
        <f>IF($A76="","",SUMIFS('Nursing Charges'!$I:$I,'Nursing Charges'!$A:$A,$A76,'Nursing Charges'!$C:$C,5))</f>
        <v/>
      </c>
      <c r="AY76" s="12" t="str">
        <f>IF($A76="","",AV76+(AX76-SUMIFS('Nursing Charges'!$J:$J,'Nursing Charges'!$A:$A,$A76,'Nursing Charges'!$C:$C,5))+(AW76-SUMIFS('Consumable Usage'!$F:$F,'Consumable Usage'!$A:$A,$A76,'Consumable Usage'!$D:$D,5)))</f>
        <v/>
      </c>
      <c r="AZ76" s="12" t="str">
        <f t="shared" si="13"/>
        <v/>
      </c>
      <c r="BA76" s="20"/>
      <c r="BB76" s="12" t="str">
        <f t="shared" si="14"/>
        <v/>
      </c>
      <c r="BC76" s="45" t="str">
        <f t="shared" si="15"/>
        <v/>
      </c>
      <c r="BD76" s="15"/>
      <c r="BE76" s="15"/>
      <c r="BF76" s="20"/>
      <c r="BG76" s="12" t="str">
        <f>IF($A76="","",SUMIFS('Consumable Usage'!$E:$E,'Consumable Usage'!$A:$A,$A76,'Consumable Usage'!$D:$D,6))</f>
        <v/>
      </c>
      <c r="BH76" s="12" t="str">
        <f>IF($A76="","",SUMIFS('Nursing Charges'!$I:$I,'Nursing Charges'!$A:$A,$A76,'Nursing Charges'!$C:$C,6))</f>
        <v/>
      </c>
      <c r="BI76" s="12" t="str">
        <f>IF($A76="","",BF76+(BH76-SUMIFS('Nursing Charges'!$J:$J,'Nursing Charges'!$A:$A,$A76,'Nursing Charges'!$C:$C,6))+(BG76-SUMIFS('Consumable Usage'!$F:$F,'Consumable Usage'!$A:$A,$A76,'Consumable Usage'!$D:$D,6)))</f>
        <v/>
      </c>
      <c r="BJ76" s="12" t="str">
        <f t="shared" si="16"/>
        <v/>
      </c>
      <c r="BK76" s="20"/>
      <c r="BL76" s="12" t="str">
        <f t="shared" si="17"/>
        <v/>
      </c>
      <c r="BM76" s="45" t="str">
        <f t="shared" si="18"/>
        <v/>
      </c>
      <c r="BN76" s="15"/>
      <c r="BO76" s="15"/>
      <c r="BP76" s="20"/>
      <c r="BQ76" s="12" t="str">
        <f>IF($A76="","",SUMIFS('Consumable Usage'!$E:$E,'Consumable Usage'!$A:$A,$A76,'Consumable Usage'!$D:$D,7))</f>
        <v/>
      </c>
      <c r="BR76" s="12" t="str">
        <f>IF($A76="","",SUMIFS('Nursing Charges'!$I:$I,'Nursing Charges'!$A:$A,$A76,'Nursing Charges'!$C:$C,7))</f>
        <v/>
      </c>
      <c r="BS76" s="12" t="str">
        <f>IF($A76="","",BP76+(BR76-SUMIFS('Nursing Charges'!$J:$J,'Nursing Charges'!$A:$A,$A76,'Nursing Charges'!$C:$C,7))+(BQ76-SUMIFS('Consumable Usage'!$F:$F,'Consumable Usage'!$A:$A,$A76,'Consumable Usage'!$D:$D,7)))</f>
        <v/>
      </c>
      <c r="BT76" s="12" t="str">
        <f t="shared" si="19"/>
        <v/>
      </c>
      <c r="BU76" s="20"/>
      <c r="BV76" s="12" t="str">
        <f t="shared" si="20"/>
        <v/>
      </c>
      <c r="BW76" s="45" t="str">
        <f t="shared" si="21"/>
        <v/>
      </c>
      <c r="BX76" s="15"/>
      <c r="BY76" s="15"/>
      <c r="BZ76" s="20"/>
      <c r="CA76" s="12" t="str">
        <f>IF($A76="","",SUMIFS('Consumable Usage'!$E:$E,'Consumable Usage'!$A:$A,$A76,'Consumable Usage'!$D:$D,8))</f>
        <v/>
      </c>
      <c r="CB76" s="12" t="str">
        <f>IF($A76="","",SUMIFS('Nursing Charges'!$I:$I,'Nursing Charges'!$A:$A,$A76,'Nursing Charges'!$C:$C,8))</f>
        <v/>
      </c>
      <c r="CC76" s="12" t="str">
        <f>IF($A76="","",BZ76+(CB76-SUMIFS('Nursing Charges'!$J:$J,'Nursing Charges'!$A:$A,$A76,'Nursing Charges'!$C:$C,8))+(CA76-SUMIFS('Consumable Usage'!$F:$F,'Consumable Usage'!$A:$A,$A76,'Consumable Usage'!$D:$D,8)))</f>
        <v/>
      </c>
      <c r="CD76" s="12" t="str">
        <f t="shared" si="22"/>
        <v/>
      </c>
      <c r="CE76" s="20"/>
      <c r="CF76" s="12" t="str">
        <f t="shared" si="23"/>
        <v/>
      </c>
      <c r="CG76" s="45" t="str">
        <f t="shared" si="24"/>
        <v/>
      </c>
      <c r="CH76" s="15"/>
      <c r="CI76" s="15"/>
      <c r="CJ76" s="20"/>
      <c r="CK76" s="12" t="str">
        <f>IF($A76="","",SUMIFS('Consumable Usage'!$E:$E,'Consumable Usage'!$A:$A,$A76,'Consumable Usage'!$D:$D,9))</f>
        <v/>
      </c>
      <c r="CL76" s="12" t="str">
        <f>IF($A76="","",SUMIFS('Nursing Charges'!$I:$I,'Nursing Charges'!$A:$A,$A76,'Nursing Charges'!$C:$C,9))</f>
        <v/>
      </c>
      <c r="CM76" s="12" t="str">
        <f>IF($A76="","",CJ76+(CL76-SUMIFS('Nursing Charges'!$J:$J,'Nursing Charges'!$A:$A,$A76,'Nursing Charges'!$C:$C,9))+(CK76-SUMIFS('Consumable Usage'!$F:$F,'Consumable Usage'!$A:$A,$A76,'Consumable Usage'!$D:$D,9)))</f>
        <v/>
      </c>
      <c r="CN76" s="12" t="str">
        <f t="shared" si="25"/>
        <v/>
      </c>
      <c r="CO76" s="20"/>
      <c r="CP76" s="12" t="str">
        <f t="shared" si="26"/>
        <v/>
      </c>
      <c r="CQ76" s="45" t="str">
        <f t="shared" si="27"/>
        <v/>
      </c>
      <c r="CR76" s="15"/>
      <c r="CS76" s="15"/>
      <c r="CT76" s="20"/>
      <c r="CU76" s="12" t="str">
        <f>IF($A76="","",SUMIFS('Consumable Usage'!$E:$E,'Consumable Usage'!$A:$A,$A76,'Consumable Usage'!$D:$D,10))</f>
        <v/>
      </c>
      <c r="CV76" s="12" t="str">
        <f>IF($A76="","",SUMIFS('Nursing Charges'!$I:$I,'Nursing Charges'!$A:$A,$A76,'Nursing Charges'!$C:$C,10))</f>
        <v/>
      </c>
      <c r="CW76" s="12" t="str">
        <f>IF($A76="","",CT76+(CV76-SUMIFS('Nursing Charges'!$J:$J,'Nursing Charges'!$A:$A,$A76,'Nursing Charges'!$C:$C,10))+(CU76-SUMIFS('Consumable Usage'!$F:$F,'Consumable Usage'!$A:$A,$A76,'Consumable Usage'!$D:$D,10)))</f>
        <v/>
      </c>
      <c r="CX76" s="12" t="str">
        <f t="shared" si="28"/>
        <v/>
      </c>
      <c r="CY76" s="20"/>
      <c r="CZ76" s="12" t="str">
        <f t="shared" si="29"/>
        <v/>
      </c>
      <c r="DA76" s="45" t="str">
        <f t="shared" si="30"/>
        <v/>
      </c>
      <c r="DB76" s="15"/>
      <c r="DC76" s="15"/>
      <c r="DD76" s="20"/>
      <c r="DE76" s="12" t="str">
        <f>IF($A76="","",SUMIFS('Consumable Usage'!$E:$E,'Consumable Usage'!$A:$A,$A76,'Consumable Usage'!$D:$D,11))</f>
        <v/>
      </c>
      <c r="DF76" s="12" t="str">
        <f>IF($A76="","",SUMIFS('Nursing Charges'!$I:$I,'Nursing Charges'!$A:$A,$A76,'Nursing Charges'!$C:$C,11))</f>
        <v/>
      </c>
      <c r="DG76" s="12" t="str">
        <f>IF($A76="","",DD76+(DF76-SUMIFS('Nursing Charges'!$J:$J,'Nursing Charges'!$A:$A,$A76,'Nursing Charges'!$C:$C,11))+(DE76-SUMIFS('Consumable Usage'!$F:$F,'Consumable Usage'!$A:$A,$A76,'Consumable Usage'!$D:$D,11)))</f>
        <v/>
      </c>
      <c r="DH76" s="12" t="str">
        <f t="shared" si="31"/>
        <v/>
      </c>
      <c r="DI76" s="20"/>
      <c r="DJ76" s="12" t="str">
        <f t="shared" si="32"/>
        <v/>
      </c>
      <c r="DK76" s="45" t="str">
        <f t="shared" si="33"/>
        <v/>
      </c>
      <c r="DL76" s="15"/>
      <c r="DM76" s="15"/>
      <c r="DN76" s="20"/>
      <c r="DO76" s="12" t="str">
        <f>IF($A76="","",SUMIFS('Consumable Usage'!$E:$E,'Consumable Usage'!$A:$A,$A76,'Consumable Usage'!$D:$D,12))</f>
        <v/>
      </c>
      <c r="DP76" s="12" t="str">
        <f>IF($A76="","",SUMIFS('Nursing Charges'!$I:$I,'Nursing Charges'!$A:$A,$A76,'Nursing Charges'!$C:$C,12))</f>
        <v/>
      </c>
      <c r="DQ76" s="12" t="str">
        <f>IF($A76="","",DN76+(DP76-SUMIFS('Nursing Charges'!$J:$J,'Nursing Charges'!$A:$A,$A76,'Nursing Charges'!$C:$C,12))+(DO76-SUMIFS('Consumable Usage'!$F:$F,'Consumable Usage'!$A:$A,$A76,'Consumable Usage'!$D:$D,12)))</f>
        <v/>
      </c>
      <c r="DR76" s="12" t="str">
        <f t="shared" si="34"/>
        <v/>
      </c>
      <c r="DS76" s="20"/>
      <c r="DT76" s="12" t="str">
        <f t="shared" si="35"/>
        <v/>
      </c>
      <c r="DU76" s="45" t="str">
        <f t="shared" si="36"/>
        <v/>
      </c>
      <c r="DV76" s="15"/>
      <c r="DW76" s="15"/>
      <c r="DX76" s="20"/>
      <c r="DY76" s="12" t="str">
        <f>IF($A76="","",SUMIFS('Consumable Usage'!$E:$E,'Consumable Usage'!$A:$A,$A76,'Consumable Usage'!$D:$D,13))</f>
        <v/>
      </c>
      <c r="DZ76" s="12" t="str">
        <f>IF($A76="","",SUMIFS('Nursing Charges'!$I:$I,'Nursing Charges'!$A:$A,$A76,'Nursing Charges'!$C:$C,13))</f>
        <v/>
      </c>
      <c r="EA76" s="12" t="str">
        <f>IF($A76="","",DX76+(DZ76-SUMIFS('Nursing Charges'!$J:$J,'Nursing Charges'!$A:$A,$A76,'Nursing Charges'!$C:$C,13))+(DY76-SUMIFS('Consumable Usage'!$F:$F,'Consumable Usage'!$A:$A,$A76,'Consumable Usage'!$D:$D,13)))</f>
        <v/>
      </c>
      <c r="EB76" s="12" t="str">
        <f t="shared" si="37"/>
        <v/>
      </c>
      <c r="EC76" s="20"/>
      <c r="ED76" s="12" t="str">
        <f t="shared" si="38"/>
        <v/>
      </c>
      <c r="EE76" s="45" t="str">
        <f t="shared" si="39"/>
        <v/>
      </c>
      <c r="EF76" s="15"/>
      <c r="EG76" s="15"/>
      <c r="EH76" s="20"/>
      <c r="EI76" s="12" t="str">
        <f>IF($A76="","",SUMIFS('Consumable Usage'!$E:$E,'Consumable Usage'!$A:$A,$A76,'Consumable Usage'!$D:$D,14))</f>
        <v/>
      </c>
      <c r="EJ76" s="12" t="str">
        <f>IF($A76="","",SUMIFS('Nursing Charges'!$I:$I,'Nursing Charges'!$A:$A,$A76,'Nursing Charges'!$C:$C,14))</f>
        <v/>
      </c>
      <c r="EK76" s="12" t="str">
        <f>IF($A76="","",EH76+(EJ76-SUMIFS('Nursing Charges'!$J:$J,'Nursing Charges'!$A:$A,$A76,'Nursing Charges'!$C:$C,14))+(EI76-SUMIFS('Consumable Usage'!$F:$F,'Consumable Usage'!$A:$A,$A76,'Consumable Usage'!$D:$D,14)))</f>
        <v/>
      </c>
      <c r="EL76" s="12" t="str">
        <f t="shared" si="40"/>
        <v/>
      </c>
      <c r="EM76" s="20"/>
      <c r="EN76" s="12" t="str">
        <f t="shared" si="41"/>
        <v/>
      </c>
      <c r="EO76" s="45" t="str">
        <f t="shared" si="42"/>
        <v/>
      </c>
      <c r="EP76" s="15"/>
      <c r="EQ76" s="15"/>
      <c r="ER76" s="20"/>
      <c r="ES76" s="12" t="str">
        <f>IF($A76="","",SUMIFS('Consumable Usage'!$E:$E,'Consumable Usage'!$A:$A,$A76,'Consumable Usage'!$D:$D,15))</f>
        <v/>
      </c>
      <c r="ET76" s="12" t="str">
        <f>IF($A76="","",SUMIFS('Nursing Charges'!$I:$I,'Nursing Charges'!$A:$A,$A76,'Nursing Charges'!$C:$C,15))</f>
        <v/>
      </c>
      <c r="EU76" s="12" t="str">
        <f>IF($A76="","",ER76+(ET76-SUMIFS('Nursing Charges'!$J:$J,'Nursing Charges'!$A:$A,$A76,'Nursing Charges'!$C:$C,15))+(ES76-SUMIFS('Consumable Usage'!$F:$F,'Consumable Usage'!$A:$A,$A76,'Consumable Usage'!$D:$D,15)))</f>
        <v/>
      </c>
      <c r="EV76" s="12" t="str">
        <f t="shared" si="43"/>
        <v/>
      </c>
      <c r="EW76" s="20"/>
      <c r="EX76" s="12" t="str">
        <f t="shared" si="44"/>
        <v/>
      </c>
      <c r="EY76" s="45" t="str">
        <f t="shared" si="45"/>
        <v/>
      </c>
      <c r="EZ76" s="15"/>
      <c r="FA76" s="15"/>
      <c r="FB76" s="20"/>
      <c r="FC76" s="12" t="str">
        <f>IF($A76="","",SUMIFS('Consumable Usage'!$E:$E,'Consumable Usage'!$A:$A,$A76,'Consumable Usage'!$D:$D,16))</f>
        <v/>
      </c>
      <c r="FD76" s="12" t="str">
        <f>IF($A76="","",SUMIFS('Nursing Charges'!$I:$I,'Nursing Charges'!$A:$A,$A76,'Nursing Charges'!$C:$C,16))</f>
        <v/>
      </c>
      <c r="FE76" s="12" t="str">
        <f>IF($A76="","",FB76+(FD76-SUMIFS('Nursing Charges'!$J:$J,'Nursing Charges'!$A:$A,$A76,'Nursing Charges'!$C:$C,16))+(FC76-SUMIFS('Consumable Usage'!$F:$F,'Consumable Usage'!$A:$A,$A76,'Consumable Usage'!$D:$D,16)))</f>
        <v/>
      </c>
      <c r="FF76" s="12" t="str">
        <f t="shared" si="46"/>
        <v/>
      </c>
      <c r="FG76" s="20"/>
      <c r="FH76" s="12" t="str">
        <f t="shared" si="47"/>
        <v/>
      </c>
      <c r="FI76" s="45" t="str">
        <f t="shared" si="48"/>
        <v/>
      </c>
      <c r="FJ76" s="53"/>
      <c r="FK76" s="53"/>
      <c r="FL76" s="63"/>
      <c r="FM76" s="63" t="str">
        <f>IF($A76="","",SUMIFS('Consumable Usage'!$E:$E,'Consumable Usage'!$A:$A,$A76,'Consumable Usage'!$D:$D,16))</f>
        <v/>
      </c>
      <c r="FN76" s="63" t="str">
        <f>IF($A76="","",SUMIFS('Nursing Charges'!$I:$I,'Nursing Charges'!$A:$A,$A76,'Nursing Charges'!$C:$C,16))</f>
        <v/>
      </c>
      <c r="FO76" s="63" t="str">
        <f>IF($A76="","",FL76+(FN76-SUMIFS('Nursing Charges'!$J:$J,'Nursing Charges'!$A:$A,$A76,'Nursing Charges'!$C:$C,16))+(FM76-SUMIFS('Consumable Usage'!$F:$F,'Consumable Usage'!$A:$A,$A76,'Consumable Usage'!$D:$D,16)))</f>
        <v/>
      </c>
      <c r="FP76" s="63" t="str">
        <f t="shared" si="49"/>
        <v/>
      </c>
      <c r="FQ76" s="63"/>
      <c r="FR76" s="63" t="str">
        <f t="shared" si="50"/>
        <v/>
      </c>
      <c r="FS76" s="53" t="str">
        <f t="shared" si="51"/>
        <v/>
      </c>
    </row>
    <row r="77" ht="15.0" customHeight="1">
      <c r="A77" s="15"/>
      <c r="B77" s="15"/>
      <c r="C77" s="15"/>
      <c r="D77" s="15"/>
      <c r="E77" s="15"/>
      <c r="F77" s="15"/>
      <c r="G77" s="15"/>
      <c r="H77" s="20"/>
      <c r="I77" s="12" t="str">
        <f>IF($A77="","",SUMIFS('Consumable Usage'!$E:$E,'Consumable Usage'!$A:$A,$A77,'Consumable Usage'!$D:$D,1))</f>
        <v/>
      </c>
      <c r="J77" s="12" t="str">
        <f>IF($A77="","",SUMIFS('Nursing Charges'!$I:$I,'Nursing Charges'!$A:$A,$A77,'Nursing Charges'!$C:$C,1))</f>
        <v/>
      </c>
      <c r="K77" s="12" t="str">
        <f>IF($A77="","",H77+(J77-SUMIFS('Nursing Charges'!$J:$J,'Nursing Charges'!$A:$A,$A77,'Nursing Charges'!$C:$C,1))+(I77-SUMIFS('Consumable Usage'!$F:$F,'Consumable Usage'!$A:$A,$A77,'Consumable Usage'!$D:$D,1)))</f>
        <v/>
      </c>
      <c r="L77" s="12" t="str">
        <f t="shared" si="1"/>
        <v/>
      </c>
      <c r="M77" s="20"/>
      <c r="N77" s="12" t="str">
        <f t="shared" si="2"/>
        <v/>
      </c>
      <c r="O77" s="45" t="str">
        <f t="shared" si="3"/>
        <v/>
      </c>
      <c r="P77" s="15"/>
      <c r="Q77" s="15"/>
      <c r="R77" s="20"/>
      <c r="S77" s="12" t="str">
        <f>IF($A77="","",SUMIFS('Consumable Usage'!$E:$E,'Consumable Usage'!$A:$A,$A77,'Consumable Usage'!$D:$D,2))</f>
        <v/>
      </c>
      <c r="T77" s="12" t="str">
        <f>IF($A77="","",SUMIFS('Nursing Charges'!$I:$I,'Nursing Charges'!$A:$A,$A77,'Nursing Charges'!$C:$C,2))</f>
        <v/>
      </c>
      <c r="U77" s="12" t="str">
        <f>IF($A77="","",R77+(T77-SUMIFS('Nursing Charges'!$J:$J,'Nursing Charges'!$A:$A,$A77,'Nursing Charges'!$C:$C,2))+(S77-SUMIFS('Consumable Usage'!$F:$F,'Consumable Usage'!$A:$A,$A77,'Consumable Usage'!$D:$D,2)))</f>
        <v/>
      </c>
      <c r="V77" s="12" t="str">
        <f t="shared" si="4"/>
        <v/>
      </c>
      <c r="W77" s="20"/>
      <c r="X77" s="12" t="str">
        <f t="shared" si="5"/>
        <v/>
      </c>
      <c r="Y77" s="45" t="str">
        <f t="shared" si="6"/>
        <v/>
      </c>
      <c r="Z77" s="15"/>
      <c r="AA77" s="15"/>
      <c r="AB77" s="20"/>
      <c r="AC77" s="12" t="str">
        <f>IF($A77="","",SUMIFS('Consumable Usage'!$E:$E,'Consumable Usage'!$A:$A,$A77,'Consumable Usage'!$D:$D,3))</f>
        <v/>
      </c>
      <c r="AD77" s="12" t="str">
        <f>IF($A77="","",SUMIFS('Nursing Charges'!$I:$I,'Nursing Charges'!$A:$A,$A77,'Nursing Charges'!$C:$C,3))</f>
        <v/>
      </c>
      <c r="AE77" s="12" t="str">
        <f>IF($A77="","",AB77+(AD77-SUMIFS('Nursing Charges'!$J:$J,'Nursing Charges'!$A:$A,$A77,'Nursing Charges'!$C:$C,3))+(AC77-SUMIFS('Consumable Usage'!$F:$F,'Consumable Usage'!$A:$A,$A77,'Consumable Usage'!$D:$D,3)))</f>
        <v/>
      </c>
      <c r="AF77" s="12" t="str">
        <f t="shared" si="7"/>
        <v/>
      </c>
      <c r="AG77" s="20"/>
      <c r="AH77" s="12" t="str">
        <f t="shared" si="8"/>
        <v/>
      </c>
      <c r="AI77" s="45" t="str">
        <f t="shared" si="9"/>
        <v/>
      </c>
      <c r="AJ77" s="15"/>
      <c r="AK77" s="15"/>
      <c r="AL77" s="20"/>
      <c r="AM77" s="12" t="str">
        <f>IF($A77="","",SUMIFS('Consumable Usage'!$E:$E,'Consumable Usage'!$A:$A,$A77,'Consumable Usage'!$D:$D,4))</f>
        <v/>
      </c>
      <c r="AN77" s="12" t="str">
        <f>IF($A77="","",SUMIFS('Nursing Charges'!$I:$I,'Nursing Charges'!$A:$A,$A77,'Nursing Charges'!$C:$C,4))</f>
        <v/>
      </c>
      <c r="AO77" s="12" t="str">
        <f>IF($A77="","",AL77+(AN77-SUMIFS('Nursing Charges'!$J:$J,'Nursing Charges'!$A:$A,$A77,'Nursing Charges'!$C:$C,4))+(AM77-SUMIFS('Consumable Usage'!$F:$F,'Consumable Usage'!$A:$A,$A77,'Consumable Usage'!$D:$D,4)))</f>
        <v/>
      </c>
      <c r="AP77" s="12" t="str">
        <f t="shared" si="10"/>
        <v/>
      </c>
      <c r="AQ77" s="20"/>
      <c r="AR77" s="12" t="str">
        <f t="shared" si="11"/>
        <v/>
      </c>
      <c r="AS77" s="45" t="str">
        <f t="shared" si="12"/>
        <v/>
      </c>
      <c r="AT77" s="15"/>
      <c r="AU77" s="15"/>
      <c r="AV77" s="20"/>
      <c r="AW77" s="12" t="str">
        <f>IF($A77="","",SUMIFS('Consumable Usage'!$E:$E,'Consumable Usage'!$A:$A,$A77,'Consumable Usage'!$D:$D,5))</f>
        <v/>
      </c>
      <c r="AX77" s="12" t="str">
        <f>IF($A77="","",SUMIFS('Nursing Charges'!$I:$I,'Nursing Charges'!$A:$A,$A77,'Nursing Charges'!$C:$C,5))</f>
        <v/>
      </c>
      <c r="AY77" s="12" t="str">
        <f>IF($A77="","",AV77+(AX77-SUMIFS('Nursing Charges'!$J:$J,'Nursing Charges'!$A:$A,$A77,'Nursing Charges'!$C:$C,5))+(AW77-SUMIFS('Consumable Usage'!$F:$F,'Consumable Usage'!$A:$A,$A77,'Consumable Usage'!$D:$D,5)))</f>
        <v/>
      </c>
      <c r="AZ77" s="12" t="str">
        <f t="shared" si="13"/>
        <v/>
      </c>
      <c r="BA77" s="20"/>
      <c r="BB77" s="12" t="str">
        <f t="shared" si="14"/>
        <v/>
      </c>
      <c r="BC77" s="45" t="str">
        <f t="shared" si="15"/>
        <v/>
      </c>
      <c r="BD77" s="15"/>
      <c r="BE77" s="15"/>
      <c r="BF77" s="20"/>
      <c r="BG77" s="12" t="str">
        <f>IF($A77="","",SUMIFS('Consumable Usage'!$E:$E,'Consumable Usage'!$A:$A,$A77,'Consumable Usage'!$D:$D,6))</f>
        <v/>
      </c>
      <c r="BH77" s="12" t="str">
        <f>IF($A77="","",SUMIFS('Nursing Charges'!$I:$I,'Nursing Charges'!$A:$A,$A77,'Nursing Charges'!$C:$C,6))</f>
        <v/>
      </c>
      <c r="BI77" s="12" t="str">
        <f>IF($A77="","",BF77+(BH77-SUMIFS('Nursing Charges'!$J:$J,'Nursing Charges'!$A:$A,$A77,'Nursing Charges'!$C:$C,6))+(BG77-SUMIFS('Consumable Usage'!$F:$F,'Consumable Usage'!$A:$A,$A77,'Consumable Usage'!$D:$D,6)))</f>
        <v/>
      </c>
      <c r="BJ77" s="12" t="str">
        <f t="shared" si="16"/>
        <v/>
      </c>
      <c r="BK77" s="20"/>
      <c r="BL77" s="12" t="str">
        <f t="shared" si="17"/>
        <v/>
      </c>
      <c r="BM77" s="45" t="str">
        <f t="shared" si="18"/>
        <v/>
      </c>
      <c r="BN77" s="15"/>
      <c r="BO77" s="15"/>
      <c r="BP77" s="20"/>
      <c r="BQ77" s="12" t="str">
        <f>IF($A77="","",SUMIFS('Consumable Usage'!$E:$E,'Consumable Usage'!$A:$A,$A77,'Consumable Usage'!$D:$D,7))</f>
        <v/>
      </c>
      <c r="BR77" s="12" t="str">
        <f>IF($A77="","",SUMIFS('Nursing Charges'!$I:$I,'Nursing Charges'!$A:$A,$A77,'Nursing Charges'!$C:$C,7))</f>
        <v/>
      </c>
      <c r="BS77" s="12" t="str">
        <f>IF($A77="","",BP77+(BR77-SUMIFS('Nursing Charges'!$J:$J,'Nursing Charges'!$A:$A,$A77,'Nursing Charges'!$C:$C,7))+(BQ77-SUMIFS('Consumable Usage'!$F:$F,'Consumable Usage'!$A:$A,$A77,'Consumable Usage'!$D:$D,7)))</f>
        <v/>
      </c>
      <c r="BT77" s="12" t="str">
        <f t="shared" si="19"/>
        <v/>
      </c>
      <c r="BU77" s="20"/>
      <c r="BV77" s="12" t="str">
        <f t="shared" si="20"/>
        <v/>
      </c>
      <c r="BW77" s="45" t="str">
        <f t="shared" si="21"/>
        <v/>
      </c>
      <c r="BX77" s="15"/>
      <c r="BY77" s="15"/>
      <c r="BZ77" s="20"/>
      <c r="CA77" s="12" t="str">
        <f>IF($A77="","",SUMIFS('Consumable Usage'!$E:$E,'Consumable Usage'!$A:$A,$A77,'Consumable Usage'!$D:$D,8))</f>
        <v/>
      </c>
      <c r="CB77" s="12" t="str">
        <f>IF($A77="","",SUMIFS('Nursing Charges'!$I:$I,'Nursing Charges'!$A:$A,$A77,'Nursing Charges'!$C:$C,8))</f>
        <v/>
      </c>
      <c r="CC77" s="12" t="str">
        <f>IF($A77="","",BZ77+(CB77-SUMIFS('Nursing Charges'!$J:$J,'Nursing Charges'!$A:$A,$A77,'Nursing Charges'!$C:$C,8))+(CA77-SUMIFS('Consumable Usage'!$F:$F,'Consumable Usage'!$A:$A,$A77,'Consumable Usage'!$D:$D,8)))</f>
        <v/>
      </c>
      <c r="CD77" s="12" t="str">
        <f t="shared" si="22"/>
        <v/>
      </c>
      <c r="CE77" s="20"/>
      <c r="CF77" s="12" t="str">
        <f t="shared" si="23"/>
        <v/>
      </c>
      <c r="CG77" s="45" t="str">
        <f t="shared" si="24"/>
        <v/>
      </c>
      <c r="CH77" s="15"/>
      <c r="CI77" s="15"/>
      <c r="CJ77" s="20"/>
      <c r="CK77" s="12" t="str">
        <f>IF($A77="","",SUMIFS('Consumable Usage'!$E:$E,'Consumable Usage'!$A:$A,$A77,'Consumable Usage'!$D:$D,9))</f>
        <v/>
      </c>
      <c r="CL77" s="12" t="str">
        <f>IF($A77="","",SUMIFS('Nursing Charges'!$I:$I,'Nursing Charges'!$A:$A,$A77,'Nursing Charges'!$C:$C,9))</f>
        <v/>
      </c>
      <c r="CM77" s="12" t="str">
        <f>IF($A77="","",CJ77+(CL77-SUMIFS('Nursing Charges'!$J:$J,'Nursing Charges'!$A:$A,$A77,'Nursing Charges'!$C:$C,9))+(CK77-SUMIFS('Consumable Usage'!$F:$F,'Consumable Usage'!$A:$A,$A77,'Consumable Usage'!$D:$D,9)))</f>
        <v/>
      </c>
      <c r="CN77" s="12" t="str">
        <f t="shared" si="25"/>
        <v/>
      </c>
      <c r="CO77" s="20"/>
      <c r="CP77" s="12" t="str">
        <f t="shared" si="26"/>
        <v/>
      </c>
      <c r="CQ77" s="45" t="str">
        <f t="shared" si="27"/>
        <v/>
      </c>
      <c r="CR77" s="15"/>
      <c r="CS77" s="15"/>
      <c r="CT77" s="20"/>
      <c r="CU77" s="12" t="str">
        <f>IF($A77="","",SUMIFS('Consumable Usage'!$E:$E,'Consumable Usage'!$A:$A,$A77,'Consumable Usage'!$D:$D,10))</f>
        <v/>
      </c>
      <c r="CV77" s="12" t="str">
        <f>IF($A77="","",SUMIFS('Nursing Charges'!$I:$I,'Nursing Charges'!$A:$A,$A77,'Nursing Charges'!$C:$C,10))</f>
        <v/>
      </c>
      <c r="CW77" s="12" t="str">
        <f>IF($A77="","",CT77+(CV77-SUMIFS('Nursing Charges'!$J:$J,'Nursing Charges'!$A:$A,$A77,'Nursing Charges'!$C:$C,10))+(CU77-SUMIFS('Consumable Usage'!$F:$F,'Consumable Usage'!$A:$A,$A77,'Consumable Usage'!$D:$D,10)))</f>
        <v/>
      </c>
      <c r="CX77" s="12" t="str">
        <f t="shared" si="28"/>
        <v/>
      </c>
      <c r="CY77" s="20"/>
      <c r="CZ77" s="12" t="str">
        <f t="shared" si="29"/>
        <v/>
      </c>
      <c r="DA77" s="45" t="str">
        <f t="shared" si="30"/>
        <v/>
      </c>
      <c r="DB77" s="15"/>
      <c r="DC77" s="15"/>
      <c r="DD77" s="20"/>
      <c r="DE77" s="12" t="str">
        <f>IF($A77="","",SUMIFS('Consumable Usage'!$E:$E,'Consumable Usage'!$A:$A,$A77,'Consumable Usage'!$D:$D,11))</f>
        <v/>
      </c>
      <c r="DF77" s="12" t="str">
        <f>IF($A77="","",SUMIFS('Nursing Charges'!$I:$I,'Nursing Charges'!$A:$A,$A77,'Nursing Charges'!$C:$C,11))</f>
        <v/>
      </c>
      <c r="DG77" s="12" t="str">
        <f>IF($A77="","",DD77+(DF77-SUMIFS('Nursing Charges'!$J:$J,'Nursing Charges'!$A:$A,$A77,'Nursing Charges'!$C:$C,11))+(DE77-SUMIFS('Consumable Usage'!$F:$F,'Consumable Usage'!$A:$A,$A77,'Consumable Usage'!$D:$D,11)))</f>
        <v/>
      </c>
      <c r="DH77" s="12" t="str">
        <f t="shared" si="31"/>
        <v/>
      </c>
      <c r="DI77" s="20"/>
      <c r="DJ77" s="12" t="str">
        <f t="shared" si="32"/>
        <v/>
      </c>
      <c r="DK77" s="45" t="str">
        <f t="shared" si="33"/>
        <v/>
      </c>
      <c r="DL77" s="15"/>
      <c r="DM77" s="15"/>
      <c r="DN77" s="20"/>
      <c r="DO77" s="12" t="str">
        <f>IF($A77="","",SUMIFS('Consumable Usage'!$E:$E,'Consumable Usage'!$A:$A,$A77,'Consumable Usage'!$D:$D,12))</f>
        <v/>
      </c>
      <c r="DP77" s="12" t="str">
        <f>IF($A77="","",SUMIFS('Nursing Charges'!$I:$I,'Nursing Charges'!$A:$A,$A77,'Nursing Charges'!$C:$C,12))</f>
        <v/>
      </c>
      <c r="DQ77" s="12" t="str">
        <f>IF($A77="","",DN77+(DP77-SUMIFS('Nursing Charges'!$J:$J,'Nursing Charges'!$A:$A,$A77,'Nursing Charges'!$C:$C,12))+(DO77-SUMIFS('Consumable Usage'!$F:$F,'Consumable Usage'!$A:$A,$A77,'Consumable Usage'!$D:$D,12)))</f>
        <v/>
      </c>
      <c r="DR77" s="12" t="str">
        <f t="shared" si="34"/>
        <v/>
      </c>
      <c r="DS77" s="20"/>
      <c r="DT77" s="12" t="str">
        <f t="shared" si="35"/>
        <v/>
      </c>
      <c r="DU77" s="45" t="str">
        <f t="shared" si="36"/>
        <v/>
      </c>
      <c r="DV77" s="15"/>
      <c r="DW77" s="15"/>
      <c r="DX77" s="20"/>
      <c r="DY77" s="12" t="str">
        <f>IF($A77="","",SUMIFS('Consumable Usage'!$E:$E,'Consumable Usage'!$A:$A,$A77,'Consumable Usage'!$D:$D,13))</f>
        <v/>
      </c>
      <c r="DZ77" s="12" t="str">
        <f>IF($A77="","",SUMIFS('Nursing Charges'!$I:$I,'Nursing Charges'!$A:$A,$A77,'Nursing Charges'!$C:$C,13))</f>
        <v/>
      </c>
      <c r="EA77" s="12" t="str">
        <f>IF($A77="","",DX77+(DZ77-SUMIFS('Nursing Charges'!$J:$J,'Nursing Charges'!$A:$A,$A77,'Nursing Charges'!$C:$C,13))+(DY77-SUMIFS('Consumable Usage'!$F:$F,'Consumable Usage'!$A:$A,$A77,'Consumable Usage'!$D:$D,13)))</f>
        <v/>
      </c>
      <c r="EB77" s="12" t="str">
        <f t="shared" si="37"/>
        <v/>
      </c>
      <c r="EC77" s="20"/>
      <c r="ED77" s="12" t="str">
        <f t="shared" si="38"/>
        <v/>
      </c>
      <c r="EE77" s="45" t="str">
        <f t="shared" si="39"/>
        <v/>
      </c>
      <c r="EF77" s="15"/>
      <c r="EG77" s="15"/>
      <c r="EH77" s="20"/>
      <c r="EI77" s="12" t="str">
        <f>IF($A77="","",SUMIFS('Consumable Usage'!$E:$E,'Consumable Usage'!$A:$A,$A77,'Consumable Usage'!$D:$D,14))</f>
        <v/>
      </c>
      <c r="EJ77" s="12" t="str">
        <f>IF($A77="","",SUMIFS('Nursing Charges'!$I:$I,'Nursing Charges'!$A:$A,$A77,'Nursing Charges'!$C:$C,14))</f>
        <v/>
      </c>
      <c r="EK77" s="12" t="str">
        <f>IF($A77="","",EH77+(EJ77-SUMIFS('Nursing Charges'!$J:$J,'Nursing Charges'!$A:$A,$A77,'Nursing Charges'!$C:$C,14))+(EI77-SUMIFS('Consumable Usage'!$F:$F,'Consumable Usage'!$A:$A,$A77,'Consumable Usage'!$D:$D,14)))</f>
        <v/>
      </c>
      <c r="EL77" s="12" t="str">
        <f t="shared" si="40"/>
        <v/>
      </c>
      <c r="EM77" s="20"/>
      <c r="EN77" s="12" t="str">
        <f t="shared" si="41"/>
        <v/>
      </c>
      <c r="EO77" s="45" t="str">
        <f t="shared" si="42"/>
        <v/>
      </c>
      <c r="EP77" s="15"/>
      <c r="EQ77" s="15"/>
      <c r="ER77" s="20"/>
      <c r="ES77" s="12" t="str">
        <f>IF($A77="","",SUMIFS('Consumable Usage'!$E:$E,'Consumable Usage'!$A:$A,$A77,'Consumable Usage'!$D:$D,15))</f>
        <v/>
      </c>
      <c r="ET77" s="12" t="str">
        <f>IF($A77="","",SUMIFS('Nursing Charges'!$I:$I,'Nursing Charges'!$A:$A,$A77,'Nursing Charges'!$C:$C,15))</f>
        <v/>
      </c>
      <c r="EU77" s="12" t="str">
        <f>IF($A77="","",ER77+(ET77-SUMIFS('Nursing Charges'!$J:$J,'Nursing Charges'!$A:$A,$A77,'Nursing Charges'!$C:$C,15))+(ES77-SUMIFS('Consumable Usage'!$F:$F,'Consumable Usage'!$A:$A,$A77,'Consumable Usage'!$D:$D,15)))</f>
        <v/>
      </c>
      <c r="EV77" s="12" t="str">
        <f t="shared" si="43"/>
        <v/>
      </c>
      <c r="EW77" s="20"/>
      <c r="EX77" s="12" t="str">
        <f t="shared" si="44"/>
        <v/>
      </c>
      <c r="EY77" s="45" t="str">
        <f t="shared" si="45"/>
        <v/>
      </c>
      <c r="EZ77" s="15"/>
      <c r="FA77" s="15"/>
      <c r="FB77" s="20"/>
      <c r="FC77" s="12" t="str">
        <f>IF($A77="","",SUMIFS('Consumable Usage'!$E:$E,'Consumable Usage'!$A:$A,$A77,'Consumable Usage'!$D:$D,16))</f>
        <v/>
      </c>
      <c r="FD77" s="12" t="str">
        <f>IF($A77="","",SUMIFS('Nursing Charges'!$I:$I,'Nursing Charges'!$A:$A,$A77,'Nursing Charges'!$C:$C,16))</f>
        <v/>
      </c>
      <c r="FE77" s="12" t="str">
        <f>IF($A77="","",FB77+(FD77-SUMIFS('Nursing Charges'!$J:$J,'Nursing Charges'!$A:$A,$A77,'Nursing Charges'!$C:$C,16))+(FC77-SUMIFS('Consumable Usage'!$F:$F,'Consumable Usage'!$A:$A,$A77,'Consumable Usage'!$D:$D,16)))</f>
        <v/>
      </c>
      <c r="FF77" s="12" t="str">
        <f t="shared" si="46"/>
        <v/>
      </c>
      <c r="FG77" s="20"/>
      <c r="FH77" s="12" t="str">
        <f t="shared" si="47"/>
        <v/>
      </c>
      <c r="FI77" s="45" t="str">
        <f t="shared" si="48"/>
        <v/>
      </c>
      <c r="FJ77" s="53"/>
      <c r="FK77" s="53"/>
      <c r="FL77" s="63"/>
      <c r="FM77" s="63" t="str">
        <f>IF($A77="","",SUMIFS('Consumable Usage'!$E:$E,'Consumable Usage'!$A:$A,$A77,'Consumable Usage'!$D:$D,16))</f>
        <v/>
      </c>
      <c r="FN77" s="63" t="str">
        <f>IF($A77="","",SUMIFS('Nursing Charges'!$I:$I,'Nursing Charges'!$A:$A,$A77,'Nursing Charges'!$C:$C,16))</f>
        <v/>
      </c>
      <c r="FO77" s="63" t="str">
        <f>IF($A77="","",FL77+(FN77-SUMIFS('Nursing Charges'!$J:$J,'Nursing Charges'!$A:$A,$A77,'Nursing Charges'!$C:$C,16))+(FM77-SUMIFS('Consumable Usage'!$F:$F,'Consumable Usage'!$A:$A,$A77,'Consumable Usage'!$D:$D,16)))</f>
        <v/>
      </c>
      <c r="FP77" s="63" t="str">
        <f t="shared" si="49"/>
        <v/>
      </c>
      <c r="FQ77" s="63"/>
      <c r="FR77" s="63" t="str">
        <f t="shared" si="50"/>
        <v/>
      </c>
      <c r="FS77" s="53" t="str">
        <f t="shared" si="51"/>
        <v/>
      </c>
    </row>
    <row r="78" ht="15.0" customHeight="1">
      <c r="A78" s="15"/>
      <c r="B78" s="15"/>
      <c r="C78" s="15"/>
      <c r="D78" s="15"/>
      <c r="E78" s="15"/>
      <c r="F78" s="15"/>
      <c r="G78" s="15"/>
      <c r="H78" s="20"/>
      <c r="I78" s="12" t="str">
        <f>IF($A78="","",SUMIFS('Consumable Usage'!$E:$E,'Consumable Usage'!$A:$A,$A78,'Consumable Usage'!$D:$D,1))</f>
        <v/>
      </c>
      <c r="J78" s="12" t="str">
        <f>IF($A78="","",SUMIFS('Nursing Charges'!$I:$I,'Nursing Charges'!$A:$A,$A78,'Nursing Charges'!$C:$C,1))</f>
        <v/>
      </c>
      <c r="K78" s="12" t="str">
        <f>IF($A78="","",H78+(J78-SUMIFS('Nursing Charges'!$J:$J,'Nursing Charges'!$A:$A,$A78,'Nursing Charges'!$C:$C,1))+(I78-SUMIFS('Consumable Usage'!$F:$F,'Consumable Usage'!$A:$A,$A78,'Consumable Usage'!$D:$D,1)))</f>
        <v/>
      </c>
      <c r="L78" s="12" t="str">
        <f t="shared" si="1"/>
        <v/>
      </c>
      <c r="M78" s="20"/>
      <c r="N78" s="12" t="str">
        <f t="shared" si="2"/>
        <v/>
      </c>
      <c r="O78" s="45" t="str">
        <f t="shared" si="3"/>
        <v/>
      </c>
      <c r="P78" s="15"/>
      <c r="Q78" s="15"/>
      <c r="R78" s="20"/>
      <c r="S78" s="12" t="str">
        <f>IF($A78="","",SUMIFS('Consumable Usage'!$E:$E,'Consumable Usage'!$A:$A,$A78,'Consumable Usage'!$D:$D,2))</f>
        <v/>
      </c>
      <c r="T78" s="12" t="str">
        <f>IF($A78="","",SUMIFS('Nursing Charges'!$I:$I,'Nursing Charges'!$A:$A,$A78,'Nursing Charges'!$C:$C,2))</f>
        <v/>
      </c>
      <c r="U78" s="12" t="str">
        <f>IF($A78="","",R78+(T78-SUMIFS('Nursing Charges'!$J:$J,'Nursing Charges'!$A:$A,$A78,'Nursing Charges'!$C:$C,2))+(S78-SUMIFS('Consumable Usage'!$F:$F,'Consumable Usage'!$A:$A,$A78,'Consumable Usage'!$D:$D,2)))</f>
        <v/>
      </c>
      <c r="V78" s="12" t="str">
        <f t="shared" si="4"/>
        <v/>
      </c>
      <c r="W78" s="20"/>
      <c r="X78" s="12" t="str">
        <f t="shared" si="5"/>
        <v/>
      </c>
      <c r="Y78" s="45" t="str">
        <f t="shared" si="6"/>
        <v/>
      </c>
      <c r="Z78" s="15"/>
      <c r="AA78" s="15"/>
      <c r="AB78" s="20"/>
      <c r="AC78" s="12" t="str">
        <f>IF($A78="","",SUMIFS('Consumable Usage'!$E:$E,'Consumable Usage'!$A:$A,$A78,'Consumable Usage'!$D:$D,3))</f>
        <v/>
      </c>
      <c r="AD78" s="12" t="str">
        <f>IF($A78="","",SUMIFS('Nursing Charges'!$I:$I,'Nursing Charges'!$A:$A,$A78,'Nursing Charges'!$C:$C,3))</f>
        <v/>
      </c>
      <c r="AE78" s="12" t="str">
        <f>IF($A78="","",AB78+(AD78-SUMIFS('Nursing Charges'!$J:$J,'Nursing Charges'!$A:$A,$A78,'Nursing Charges'!$C:$C,3))+(AC78-SUMIFS('Consumable Usage'!$F:$F,'Consumable Usage'!$A:$A,$A78,'Consumable Usage'!$D:$D,3)))</f>
        <v/>
      </c>
      <c r="AF78" s="12" t="str">
        <f t="shared" si="7"/>
        <v/>
      </c>
      <c r="AG78" s="20"/>
      <c r="AH78" s="12" t="str">
        <f t="shared" si="8"/>
        <v/>
      </c>
      <c r="AI78" s="45" t="str">
        <f t="shared" si="9"/>
        <v/>
      </c>
      <c r="AJ78" s="15"/>
      <c r="AK78" s="15"/>
      <c r="AL78" s="20"/>
      <c r="AM78" s="12" t="str">
        <f>IF($A78="","",SUMIFS('Consumable Usage'!$E:$E,'Consumable Usage'!$A:$A,$A78,'Consumable Usage'!$D:$D,4))</f>
        <v/>
      </c>
      <c r="AN78" s="12" t="str">
        <f>IF($A78="","",SUMIFS('Nursing Charges'!$I:$I,'Nursing Charges'!$A:$A,$A78,'Nursing Charges'!$C:$C,4))</f>
        <v/>
      </c>
      <c r="AO78" s="12" t="str">
        <f>IF($A78="","",AL78+(AN78-SUMIFS('Nursing Charges'!$J:$J,'Nursing Charges'!$A:$A,$A78,'Nursing Charges'!$C:$C,4))+(AM78-SUMIFS('Consumable Usage'!$F:$F,'Consumable Usage'!$A:$A,$A78,'Consumable Usage'!$D:$D,4)))</f>
        <v/>
      </c>
      <c r="AP78" s="12" t="str">
        <f t="shared" si="10"/>
        <v/>
      </c>
      <c r="AQ78" s="20"/>
      <c r="AR78" s="12" t="str">
        <f t="shared" si="11"/>
        <v/>
      </c>
      <c r="AS78" s="45" t="str">
        <f t="shared" si="12"/>
        <v/>
      </c>
      <c r="AT78" s="15"/>
      <c r="AU78" s="15"/>
      <c r="AV78" s="20"/>
      <c r="AW78" s="12" t="str">
        <f>IF($A78="","",SUMIFS('Consumable Usage'!$E:$E,'Consumable Usage'!$A:$A,$A78,'Consumable Usage'!$D:$D,5))</f>
        <v/>
      </c>
      <c r="AX78" s="12" t="str">
        <f>IF($A78="","",SUMIFS('Nursing Charges'!$I:$I,'Nursing Charges'!$A:$A,$A78,'Nursing Charges'!$C:$C,5))</f>
        <v/>
      </c>
      <c r="AY78" s="12" t="str">
        <f>IF($A78="","",AV78+(AX78-SUMIFS('Nursing Charges'!$J:$J,'Nursing Charges'!$A:$A,$A78,'Nursing Charges'!$C:$C,5))+(AW78-SUMIFS('Consumable Usage'!$F:$F,'Consumable Usage'!$A:$A,$A78,'Consumable Usage'!$D:$D,5)))</f>
        <v/>
      </c>
      <c r="AZ78" s="12" t="str">
        <f t="shared" si="13"/>
        <v/>
      </c>
      <c r="BA78" s="20"/>
      <c r="BB78" s="12" t="str">
        <f t="shared" si="14"/>
        <v/>
      </c>
      <c r="BC78" s="45" t="str">
        <f t="shared" si="15"/>
        <v/>
      </c>
      <c r="BD78" s="15"/>
      <c r="BE78" s="15"/>
      <c r="BF78" s="20"/>
      <c r="BG78" s="12" t="str">
        <f>IF($A78="","",SUMIFS('Consumable Usage'!$E:$E,'Consumable Usage'!$A:$A,$A78,'Consumable Usage'!$D:$D,6))</f>
        <v/>
      </c>
      <c r="BH78" s="12" t="str">
        <f>IF($A78="","",SUMIFS('Nursing Charges'!$I:$I,'Nursing Charges'!$A:$A,$A78,'Nursing Charges'!$C:$C,6))</f>
        <v/>
      </c>
      <c r="BI78" s="12" t="str">
        <f>IF($A78="","",BF78+(BH78-SUMIFS('Nursing Charges'!$J:$J,'Nursing Charges'!$A:$A,$A78,'Nursing Charges'!$C:$C,6))+(BG78-SUMIFS('Consumable Usage'!$F:$F,'Consumable Usage'!$A:$A,$A78,'Consumable Usage'!$D:$D,6)))</f>
        <v/>
      </c>
      <c r="BJ78" s="12" t="str">
        <f t="shared" si="16"/>
        <v/>
      </c>
      <c r="BK78" s="20"/>
      <c r="BL78" s="12" t="str">
        <f t="shared" si="17"/>
        <v/>
      </c>
      <c r="BM78" s="45" t="str">
        <f t="shared" si="18"/>
        <v/>
      </c>
      <c r="BN78" s="15"/>
      <c r="BO78" s="15"/>
      <c r="BP78" s="20"/>
      <c r="BQ78" s="12" t="str">
        <f>IF($A78="","",SUMIFS('Consumable Usage'!$E:$E,'Consumable Usage'!$A:$A,$A78,'Consumable Usage'!$D:$D,7))</f>
        <v/>
      </c>
      <c r="BR78" s="12" t="str">
        <f>IF($A78="","",SUMIFS('Nursing Charges'!$I:$I,'Nursing Charges'!$A:$A,$A78,'Nursing Charges'!$C:$C,7))</f>
        <v/>
      </c>
      <c r="BS78" s="12" t="str">
        <f>IF($A78="","",BP78+(BR78-SUMIFS('Nursing Charges'!$J:$J,'Nursing Charges'!$A:$A,$A78,'Nursing Charges'!$C:$C,7))+(BQ78-SUMIFS('Consumable Usage'!$F:$F,'Consumable Usage'!$A:$A,$A78,'Consumable Usage'!$D:$D,7)))</f>
        <v/>
      </c>
      <c r="BT78" s="12" t="str">
        <f t="shared" si="19"/>
        <v/>
      </c>
      <c r="BU78" s="20"/>
      <c r="BV78" s="12" t="str">
        <f t="shared" si="20"/>
        <v/>
      </c>
      <c r="BW78" s="45" t="str">
        <f t="shared" si="21"/>
        <v/>
      </c>
      <c r="BX78" s="15"/>
      <c r="BY78" s="15"/>
      <c r="BZ78" s="20"/>
      <c r="CA78" s="12" t="str">
        <f>IF($A78="","",SUMIFS('Consumable Usage'!$E:$E,'Consumable Usage'!$A:$A,$A78,'Consumable Usage'!$D:$D,8))</f>
        <v/>
      </c>
      <c r="CB78" s="12" t="str">
        <f>IF($A78="","",SUMIFS('Nursing Charges'!$I:$I,'Nursing Charges'!$A:$A,$A78,'Nursing Charges'!$C:$C,8))</f>
        <v/>
      </c>
      <c r="CC78" s="12" t="str">
        <f>IF($A78="","",BZ78+(CB78-SUMIFS('Nursing Charges'!$J:$J,'Nursing Charges'!$A:$A,$A78,'Nursing Charges'!$C:$C,8))+(CA78-SUMIFS('Consumable Usage'!$F:$F,'Consumable Usage'!$A:$A,$A78,'Consumable Usage'!$D:$D,8)))</f>
        <v/>
      </c>
      <c r="CD78" s="12" t="str">
        <f t="shared" si="22"/>
        <v/>
      </c>
      <c r="CE78" s="20"/>
      <c r="CF78" s="12" t="str">
        <f t="shared" si="23"/>
        <v/>
      </c>
      <c r="CG78" s="45" t="str">
        <f t="shared" si="24"/>
        <v/>
      </c>
      <c r="CH78" s="15"/>
      <c r="CI78" s="15"/>
      <c r="CJ78" s="20"/>
      <c r="CK78" s="12" t="str">
        <f>IF($A78="","",SUMIFS('Consumable Usage'!$E:$E,'Consumable Usage'!$A:$A,$A78,'Consumable Usage'!$D:$D,9))</f>
        <v/>
      </c>
      <c r="CL78" s="12" t="str">
        <f>IF($A78="","",SUMIFS('Nursing Charges'!$I:$I,'Nursing Charges'!$A:$A,$A78,'Nursing Charges'!$C:$C,9))</f>
        <v/>
      </c>
      <c r="CM78" s="12" t="str">
        <f>IF($A78="","",CJ78+(CL78-SUMIFS('Nursing Charges'!$J:$J,'Nursing Charges'!$A:$A,$A78,'Nursing Charges'!$C:$C,9))+(CK78-SUMIFS('Consumable Usage'!$F:$F,'Consumable Usage'!$A:$A,$A78,'Consumable Usage'!$D:$D,9)))</f>
        <v/>
      </c>
      <c r="CN78" s="12" t="str">
        <f t="shared" si="25"/>
        <v/>
      </c>
      <c r="CO78" s="20"/>
      <c r="CP78" s="12" t="str">
        <f t="shared" si="26"/>
        <v/>
      </c>
      <c r="CQ78" s="45" t="str">
        <f t="shared" si="27"/>
        <v/>
      </c>
      <c r="CR78" s="15"/>
      <c r="CS78" s="15"/>
      <c r="CT78" s="20"/>
      <c r="CU78" s="12" t="str">
        <f>IF($A78="","",SUMIFS('Consumable Usage'!$E:$E,'Consumable Usage'!$A:$A,$A78,'Consumable Usage'!$D:$D,10))</f>
        <v/>
      </c>
      <c r="CV78" s="12" t="str">
        <f>IF($A78="","",SUMIFS('Nursing Charges'!$I:$I,'Nursing Charges'!$A:$A,$A78,'Nursing Charges'!$C:$C,10))</f>
        <v/>
      </c>
      <c r="CW78" s="12" t="str">
        <f>IF($A78="","",CT78+(CV78-SUMIFS('Nursing Charges'!$J:$J,'Nursing Charges'!$A:$A,$A78,'Nursing Charges'!$C:$C,10))+(CU78-SUMIFS('Consumable Usage'!$F:$F,'Consumable Usage'!$A:$A,$A78,'Consumable Usage'!$D:$D,10)))</f>
        <v/>
      </c>
      <c r="CX78" s="12" t="str">
        <f t="shared" si="28"/>
        <v/>
      </c>
      <c r="CY78" s="20"/>
      <c r="CZ78" s="12" t="str">
        <f t="shared" si="29"/>
        <v/>
      </c>
      <c r="DA78" s="45" t="str">
        <f t="shared" si="30"/>
        <v/>
      </c>
      <c r="DB78" s="15"/>
      <c r="DC78" s="15"/>
      <c r="DD78" s="20"/>
      <c r="DE78" s="12" t="str">
        <f>IF($A78="","",SUMIFS('Consumable Usage'!$E:$E,'Consumable Usage'!$A:$A,$A78,'Consumable Usage'!$D:$D,11))</f>
        <v/>
      </c>
      <c r="DF78" s="12" t="str">
        <f>IF($A78="","",SUMIFS('Nursing Charges'!$I:$I,'Nursing Charges'!$A:$A,$A78,'Nursing Charges'!$C:$C,11))</f>
        <v/>
      </c>
      <c r="DG78" s="12" t="str">
        <f>IF($A78="","",DD78+(DF78-SUMIFS('Nursing Charges'!$J:$J,'Nursing Charges'!$A:$A,$A78,'Nursing Charges'!$C:$C,11))+(DE78-SUMIFS('Consumable Usage'!$F:$F,'Consumable Usage'!$A:$A,$A78,'Consumable Usage'!$D:$D,11)))</f>
        <v/>
      </c>
      <c r="DH78" s="12" t="str">
        <f t="shared" si="31"/>
        <v/>
      </c>
      <c r="DI78" s="20"/>
      <c r="DJ78" s="12" t="str">
        <f t="shared" si="32"/>
        <v/>
      </c>
      <c r="DK78" s="45" t="str">
        <f t="shared" si="33"/>
        <v/>
      </c>
      <c r="DL78" s="15"/>
      <c r="DM78" s="15"/>
      <c r="DN78" s="20"/>
      <c r="DO78" s="12" t="str">
        <f>IF($A78="","",SUMIFS('Consumable Usage'!$E:$E,'Consumable Usage'!$A:$A,$A78,'Consumable Usage'!$D:$D,12))</f>
        <v/>
      </c>
      <c r="DP78" s="12" t="str">
        <f>IF($A78="","",SUMIFS('Nursing Charges'!$I:$I,'Nursing Charges'!$A:$A,$A78,'Nursing Charges'!$C:$C,12))</f>
        <v/>
      </c>
      <c r="DQ78" s="12" t="str">
        <f>IF($A78="","",DN78+(DP78-SUMIFS('Nursing Charges'!$J:$J,'Nursing Charges'!$A:$A,$A78,'Nursing Charges'!$C:$C,12))+(DO78-SUMIFS('Consumable Usage'!$F:$F,'Consumable Usage'!$A:$A,$A78,'Consumable Usage'!$D:$D,12)))</f>
        <v/>
      </c>
      <c r="DR78" s="12" t="str">
        <f t="shared" si="34"/>
        <v/>
      </c>
      <c r="DS78" s="20"/>
      <c r="DT78" s="12" t="str">
        <f t="shared" si="35"/>
        <v/>
      </c>
      <c r="DU78" s="45" t="str">
        <f t="shared" si="36"/>
        <v/>
      </c>
      <c r="DV78" s="15"/>
      <c r="DW78" s="15"/>
      <c r="DX78" s="20"/>
      <c r="DY78" s="12" t="str">
        <f>IF($A78="","",SUMIFS('Consumable Usage'!$E:$E,'Consumable Usage'!$A:$A,$A78,'Consumable Usage'!$D:$D,13))</f>
        <v/>
      </c>
      <c r="DZ78" s="12" t="str">
        <f>IF($A78="","",SUMIFS('Nursing Charges'!$I:$I,'Nursing Charges'!$A:$A,$A78,'Nursing Charges'!$C:$C,13))</f>
        <v/>
      </c>
      <c r="EA78" s="12" t="str">
        <f>IF($A78="","",DX78+(DZ78-SUMIFS('Nursing Charges'!$J:$J,'Nursing Charges'!$A:$A,$A78,'Nursing Charges'!$C:$C,13))+(DY78-SUMIFS('Consumable Usage'!$F:$F,'Consumable Usage'!$A:$A,$A78,'Consumable Usage'!$D:$D,13)))</f>
        <v/>
      </c>
      <c r="EB78" s="12" t="str">
        <f t="shared" si="37"/>
        <v/>
      </c>
      <c r="EC78" s="20"/>
      <c r="ED78" s="12" t="str">
        <f t="shared" si="38"/>
        <v/>
      </c>
      <c r="EE78" s="45" t="str">
        <f t="shared" si="39"/>
        <v/>
      </c>
      <c r="EF78" s="15"/>
      <c r="EG78" s="15"/>
      <c r="EH78" s="20"/>
      <c r="EI78" s="12" t="str">
        <f>IF($A78="","",SUMIFS('Consumable Usage'!$E:$E,'Consumable Usage'!$A:$A,$A78,'Consumable Usage'!$D:$D,14))</f>
        <v/>
      </c>
      <c r="EJ78" s="12" t="str">
        <f>IF($A78="","",SUMIFS('Nursing Charges'!$I:$I,'Nursing Charges'!$A:$A,$A78,'Nursing Charges'!$C:$C,14))</f>
        <v/>
      </c>
      <c r="EK78" s="12" t="str">
        <f>IF($A78="","",EH78+(EJ78-SUMIFS('Nursing Charges'!$J:$J,'Nursing Charges'!$A:$A,$A78,'Nursing Charges'!$C:$C,14))+(EI78-SUMIFS('Consumable Usage'!$F:$F,'Consumable Usage'!$A:$A,$A78,'Consumable Usage'!$D:$D,14)))</f>
        <v/>
      </c>
      <c r="EL78" s="12" t="str">
        <f t="shared" si="40"/>
        <v/>
      </c>
      <c r="EM78" s="20"/>
      <c r="EN78" s="12" t="str">
        <f t="shared" si="41"/>
        <v/>
      </c>
      <c r="EO78" s="45" t="str">
        <f t="shared" si="42"/>
        <v/>
      </c>
      <c r="EP78" s="15"/>
      <c r="EQ78" s="15"/>
      <c r="ER78" s="20"/>
      <c r="ES78" s="12" t="str">
        <f>IF($A78="","",SUMIFS('Consumable Usage'!$E:$E,'Consumable Usage'!$A:$A,$A78,'Consumable Usage'!$D:$D,15))</f>
        <v/>
      </c>
      <c r="ET78" s="12" t="str">
        <f>IF($A78="","",SUMIFS('Nursing Charges'!$I:$I,'Nursing Charges'!$A:$A,$A78,'Nursing Charges'!$C:$C,15))</f>
        <v/>
      </c>
      <c r="EU78" s="12" t="str">
        <f>IF($A78="","",ER78+(ET78-SUMIFS('Nursing Charges'!$J:$J,'Nursing Charges'!$A:$A,$A78,'Nursing Charges'!$C:$C,15))+(ES78-SUMIFS('Consumable Usage'!$F:$F,'Consumable Usage'!$A:$A,$A78,'Consumable Usage'!$D:$D,15)))</f>
        <v/>
      </c>
      <c r="EV78" s="12" t="str">
        <f t="shared" si="43"/>
        <v/>
      </c>
      <c r="EW78" s="20"/>
      <c r="EX78" s="12" t="str">
        <f t="shared" si="44"/>
        <v/>
      </c>
      <c r="EY78" s="45" t="str">
        <f t="shared" si="45"/>
        <v/>
      </c>
      <c r="EZ78" s="15"/>
      <c r="FA78" s="15"/>
      <c r="FB78" s="20"/>
      <c r="FC78" s="12" t="str">
        <f>IF($A78="","",SUMIFS('Consumable Usage'!$E:$E,'Consumable Usage'!$A:$A,$A78,'Consumable Usage'!$D:$D,16))</f>
        <v/>
      </c>
      <c r="FD78" s="12" t="str">
        <f>IF($A78="","",SUMIFS('Nursing Charges'!$I:$I,'Nursing Charges'!$A:$A,$A78,'Nursing Charges'!$C:$C,16))</f>
        <v/>
      </c>
      <c r="FE78" s="12" t="str">
        <f>IF($A78="","",FB78+(FD78-SUMIFS('Nursing Charges'!$J:$J,'Nursing Charges'!$A:$A,$A78,'Nursing Charges'!$C:$C,16))+(FC78-SUMIFS('Consumable Usage'!$F:$F,'Consumable Usage'!$A:$A,$A78,'Consumable Usage'!$D:$D,16)))</f>
        <v/>
      </c>
      <c r="FF78" s="12" t="str">
        <f t="shared" si="46"/>
        <v/>
      </c>
      <c r="FG78" s="20"/>
      <c r="FH78" s="12" t="str">
        <f t="shared" si="47"/>
        <v/>
      </c>
      <c r="FI78" s="45" t="str">
        <f t="shared" si="48"/>
        <v/>
      </c>
      <c r="FJ78" s="53"/>
      <c r="FK78" s="53"/>
      <c r="FL78" s="63"/>
      <c r="FM78" s="63" t="str">
        <f>IF($A78="","",SUMIFS('Consumable Usage'!$E:$E,'Consumable Usage'!$A:$A,$A78,'Consumable Usage'!$D:$D,16))</f>
        <v/>
      </c>
      <c r="FN78" s="63" t="str">
        <f>IF($A78="","",SUMIFS('Nursing Charges'!$I:$I,'Nursing Charges'!$A:$A,$A78,'Nursing Charges'!$C:$C,16))</f>
        <v/>
      </c>
      <c r="FO78" s="63" t="str">
        <f>IF($A78="","",FL78+(FN78-SUMIFS('Nursing Charges'!$J:$J,'Nursing Charges'!$A:$A,$A78,'Nursing Charges'!$C:$C,16))+(FM78-SUMIFS('Consumable Usage'!$F:$F,'Consumable Usage'!$A:$A,$A78,'Consumable Usage'!$D:$D,16)))</f>
        <v/>
      </c>
      <c r="FP78" s="63" t="str">
        <f t="shared" si="49"/>
        <v/>
      </c>
      <c r="FQ78" s="63"/>
      <c r="FR78" s="63" t="str">
        <f t="shared" si="50"/>
        <v/>
      </c>
      <c r="FS78" s="53" t="str">
        <f t="shared" si="51"/>
        <v/>
      </c>
    </row>
    <row r="79" ht="15.0" customHeight="1">
      <c r="A79" s="15"/>
      <c r="B79" s="15"/>
      <c r="C79" s="15"/>
      <c r="D79" s="15"/>
      <c r="E79" s="15"/>
      <c r="F79" s="15"/>
      <c r="G79" s="15"/>
      <c r="H79" s="20"/>
      <c r="I79" s="12" t="str">
        <f>IF($A79="","",SUMIFS('Consumable Usage'!$E:$E,'Consumable Usage'!$A:$A,$A79,'Consumable Usage'!$D:$D,1))</f>
        <v/>
      </c>
      <c r="J79" s="12" t="str">
        <f>IF($A79="","",SUMIFS('Nursing Charges'!$I:$I,'Nursing Charges'!$A:$A,$A79,'Nursing Charges'!$C:$C,1))</f>
        <v/>
      </c>
      <c r="K79" s="12" t="str">
        <f>IF($A79="","",H79+(J79-SUMIFS('Nursing Charges'!$J:$J,'Nursing Charges'!$A:$A,$A79,'Nursing Charges'!$C:$C,1))+(I79-SUMIFS('Consumable Usage'!$F:$F,'Consumable Usage'!$A:$A,$A79,'Consumable Usage'!$D:$D,1)))</f>
        <v/>
      </c>
      <c r="L79" s="12" t="str">
        <f t="shared" si="1"/>
        <v/>
      </c>
      <c r="M79" s="20"/>
      <c r="N79" s="12" t="str">
        <f t="shared" si="2"/>
        <v/>
      </c>
      <c r="O79" s="45" t="str">
        <f t="shared" si="3"/>
        <v/>
      </c>
      <c r="P79" s="15"/>
      <c r="Q79" s="15"/>
      <c r="R79" s="20"/>
      <c r="S79" s="12" t="str">
        <f>IF($A79="","",SUMIFS('Consumable Usage'!$E:$E,'Consumable Usage'!$A:$A,$A79,'Consumable Usage'!$D:$D,2))</f>
        <v/>
      </c>
      <c r="T79" s="12" t="str">
        <f>IF($A79="","",SUMIFS('Nursing Charges'!$I:$I,'Nursing Charges'!$A:$A,$A79,'Nursing Charges'!$C:$C,2))</f>
        <v/>
      </c>
      <c r="U79" s="12" t="str">
        <f>IF($A79="","",R79+(T79-SUMIFS('Nursing Charges'!$J:$J,'Nursing Charges'!$A:$A,$A79,'Nursing Charges'!$C:$C,2))+(S79-SUMIFS('Consumable Usage'!$F:$F,'Consumable Usage'!$A:$A,$A79,'Consumable Usage'!$D:$D,2)))</f>
        <v/>
      </c>
      <c r="V79" s="12" t="str">
        <f t="shared" si="4"/>
        <v/>
      </c>
      <c r="W79" s="20"/>
      <c r="X79" s="12" t="str">
        <f t="shared" si="5"/>
        <v/>
      </c>
      <c r="Y79" s="45" t="str">
        <f t="shared" si="6"/>
        <v/>
      </c>
      <c r="Z79" s="15"/>
      <c r="AA79" s="15"/>
      <c r="AB79" s="20"/>
      <c r="AC79" s="12" t="str">
        <f>IF($A79="","",SUMIFS('Consumable Usage'!$E:$E,'Consumable Usage'!$A:$A,$A79,'Consumable Usage'!$D:$D,3))</f>
        <v/>
      </c>
      <c r="AD79" s="12" t="str">
        <f>IF($A79="","",SUMIFS('Nursing Charges'!$I:$I,'Nursing Charges'!$A:$A,$A79,'Nursing Charges'!$C:$C,3))</f>
        <v/>
      </c>
      <c r="AE79" s="12" t="str">
        <f>IF($A79="","",AB79+(AD79-SUMIFS('Nursing Charges'!$J:$J,'Nursing Charges'!$A:$A,$A79,'Nursing Charges'!$C:$C,3))+(AC79-SUMIFS('Consumable Usage'!$F:$F,'Consumable Usage'!$A:$A,$A79,'Consumable Usage'!$D:$D,3)))</f>
        <v/>
      </c>
      <c r="AF79" s="12" t="str">
        <f t="shared" si="7"/>
        <v/>
      </c>
      <c r="AG79" s="20"/>
      <c r="AH79" s="12" t="str">
        <f t="shared" si="8"/>
        <v/>
      </c>
      <c r="AI79" s="45" t="str">
        <f t="shared" si="9"/>
        <v/>
      </c>
      <c r="AJ79" s="15"/>
      <c r="AK79" s="15"/>
      <c r="AL79" s="20"/>
      <c r="AM79" s="12" t="str">
        <f>IF($A79="","",SUMIFS('Consumable Usage'!$E:$E,'Consumable Usage'!$A:$A,$A79,'Consumable Usage'!$D:$D,4))</f>
        <v/>
      </c>
      <c r="AN79" s="12" t="str">
        <f>IF($A79="","",SUMIFS('Nursing Charges'!$I:$I,'Nursing Charges'!$A:$A,$A79,'Nursing Charges'!$C:$C,4))</f>
        <v/>
      </c>
      <c r="AO79" s="12" t="str">
        <f>IF($A79="","",AL79+(AN79-SUMIFS('Nursing Charges'!$J:$J,'Nursing Charges'!$A:$A,$A79,'Nursing Charges'!$C:$C,4))+(AM79-SUMIFS('Consumable Usage'!$F:$F,'Consumable Usage'!$A:$A,$A79,'Consumable Usage'!$D:$D,4)))</f>
        <v/>
      </c>
      <c r="AP79" s="12" t="str">
        <f t="shared" si="10"/>
        <v/>
      </c>
      <c r="AQ79" s="20"/>
      <c r="AR79" s="12" t="str">
        <f t="shared" si="11"/>
        <v/>
      </c>
      <c r="AS79" s="45" t="str">
        <f t="shared" si="12"/>
        <v/>
      </c>
      <c r="AT79" s="15"/>
      <c r="AU79" s="15"/>
      <c r="AV79" s="20"/>
      <c r="AW79" s="12" t="str">
        <f>IF($A79="","",SUMIFS('Consumable Usage'!$E:$E,'Consumable Usage'!$A:$A,$A79,'Consumable Usage'!$D:$D,5))</f>
        <v/>
      </c>
      <c r="AX79" s="12" t="str">
        <f>IF($A79="","",SUMIFS('Nursing Charges'!$I:$I,'Nursing Charges'!$A:$A,$A79,'Nursing Charges'!$C:$C,5))</f>
        <v/>
      </c>
      <c r="AY79" s="12" t="str">
        <f>IF($A79="","",AV79+(AX79-SUMIFS('Nursing Charges'!$J:$J,'Nursing Charges'!$A:$A,$A79,'Nursing Charges'!$C:$C,5))+(AW79-SUMIFS('Consumable Usage'!$F:$F,'Consumable Usage'!$A:$A,$A79,'Consumable Usage'!$D:$D,5)))</f>
        <v/>
      </c>
      <c r="AZ79" s="12" t="str">
        <f t="shared" si="13"/>
        <v/>
      </c>
      <c r="BA79" s="20"/>
      <c r="BB79" s="12" t="str">
        <f t="shared" si="14"/>
        <v/>
      </c>
      <c r="BC79" s="45" t="str">
        <f t="shared" si="15"/>
        <v/>
      </c>
      <c r="BD79" s="15"/>
      <c r="BE79" s="15"/>
      <c r="BF79" s="20"/>
      <c r="BG79" s="12" t="str">
        <f>IF($A79="","",SUMIFS('Consumable Usage'!$E:$E,'Consumable Usage'!$A:$A,$A79,'Consumable Usage'!$D:$D,6))</f>
        <v/>
      </c>
      <c r="BH79" s="12" t="str">
        <f>IF($A79="","",SUMIFS('Nursing Charges'!$I:$I,'Nursing Charges'!$A:$A,$A79,'Nursing Charges'!$C:$C,6))</f>
        <v/>
      </c>
      <c r="BI79" s="12" t="str">
        <f>IF($A79="","",BF79+(BH79-SUMIFS('Nursing Charges'!$J:$J,'Nursing Charges'!$A:$A,$A79,'Nursing Charges'!$C:$C,6))+(BG79-SUMIFS('Consumable Usage'!$F:$F,'Consumable Usage'!$A:$A,$A79,'Consumable Usage'!$D:$D,6)))</f>
        <v/>
      </c>
      <c r="BJ79" s="12" t="str">
        <f t="shared" si="16"/>
        <v/>
      </c>
      <c r="BK79" s="20"/>
      <c r="BL79" s="12" t="str">
        <f t="shared" si="17"/>
        <v/>
      </c>
      <c r="BM79" s="45" t="str">
        <f t="shared" si="18"/>
        <v/>
      </c>
      <c r="BN79" s="15"/>
      <c r="BO79" s="15"/>
      <c r="BP79" s="20"/>
      <c r="BQ79" s="12" t="str">
        <f>IF($A79="","",SUMIFS('Consumable Usage'!$E:$E,'Consumable Usage'!$A:$A,$A79,'Consumable Usage'!$D:$D,7))</f>
        <v/>
      </c>
      <c r="BR79" s="12" t="str">
        <f>IF($A79="","",SUMIFS('Nursing Charges'!$I:$I,'Nursing Charges'!$A:$A,$A79,'Nursing Charges'!$C:$C,7))</f>
        <v/>
      </c>
      <c r="BS79" s="12" t="str">
        <f>IF($A79="","",BP79+(BR79-SUMIFS('Nursing Charges'!$J:$J,'Nursing Charges'!$A:$A,$A79,'Nursing Charges'!$C:$C,7))+(BQ79-SUMIFS('Consumable Usage'!$F:$F,'Consumable Usage'!$A:$A,$A79,'Consumable Usage'!$D:$D,7)))</f>
        <v/>
      </c>
      <c r="BT79" s="12" t="str">
        <f t="shared" si="19"/>
        <v/>
      </c>
      <c r="BU79" s="20"/>
      <c r="BV79" s="12" t="str">
        <f t="shared" si="20"/>
        <v/>
      </c>
      <c r="BW79" s="45" t="str">
        <f t="shared" si="21"/>
        <v/>
      </c>
      <c r="BX79" s="15"/>
      <c r="BY79" s="15"/>
      <c r="BZ79" s="20"/>
      <c r="CA79" s="12" t="str">
        <f>IF($A79="","",SUMIFS('Consumable Usage'!$E:$E,'Consumable Usage'!$A:$A,$A79,'Consumable Usage'!$D:$D,8))</f>
        <v/>
      </c>
      <c r="CB79" s="12" t="str">
        <f>IF($A79="","",SUMIFS('Nursing Charges'!$I:$I,'Nursing Charges'!$A:$A,$A79,'Nursing Charges'!$C:$C,8))</f>
        <v/>
      </c>
      <c r="CC79" s="12" t="str">
        <f>IF($A79="","",BZ79+(CB79-SUMIFS('Nursing Charges'!$J:$J,'Nursing Charges'!$A:$A,$A79,'Nursing Charges'!$C:$C,8))+(CA79-SUMIFS('Consumable Usage'!$F:$F,'Consumable Usage'!$A:$A,$A79,'Consumable Usage'!$D:$D,8)))</f>
        <v/>
      </c>
      <c r="CD79" s="12" t="str">
        <f t="shared" si="22"/>
        <v/>
      </c>
      <c r="CE79" s="20"/>
      <c r="CF79" s="12" t="str">
        <f t="shared" si="23"/>
        <v/>
      </c>
      <c r="CG79" s="45" t="str">
        <f t="shared" si="24"/>
        <v/>
      </c>
      <c r="CH79" s="15"/>
      <c r="CI79" s="15"/>
      <c r="CJ79" s="20"/>
      <c r="CK79" s="12" t="str">
        <f>IF($A79="","",SUMIFS('Consumable Usage'!$E:$E,'Consumable Usage'!$A:$A,$A79,'Consumable Usage'!$D:$D,9))</f>
        <v/>
      </c>
      <c r="CL79" s="12" t="str">
        <f>IF($A79="","",SUMIFS('Nursing Charges'!$I:$I,'Nursing Charges'!$A:$A,$A79,'Nursing Charges'!$C:$C,9))</f>
        <v/>
      </c>
      <c r="CM79" s="12" t="str">
        <f>IF($A79="","",CJ79+(CL79-SUMIFS('Nursing Charges'!$J:$J,'Nursing Charges'!$A:$A,$A79,'Nursing Charges'!$C:$C,9))+(CK79-SUMIFS('Consumable Usage'!$F:$F,'Consumable Usage'!$A:$A,$A79,'Consumable Usage'!$D:$D,9)))</f>
        <v/>
      </c>
      <c r="CN79" s="12" t="str">
        <f t="shared" si="25"/>
        <v/>
      </c>
      <c r="CO79" s="20"/>
      <c r="CP79" s="12" t="str">
        <f t="shared" si="26"/>
        <v/>
      </c>
      <c r="CQ79" s="45" t="str">
        <f t="shared" si="27"/>
        <v/>
      </c>
      <c r="CR79" s="15"/>
      <c r="CS79" s="15"/>
      <c r="CT79" s="20"/>
      <c r="CU79" s="12" t="str">
        <f>IF($A79="","",SUMIFS('Consumable Usage'!$E:$E,'Consumable Usage'!$A:$A,$A79,'Consumable Usage'!$D:$D,10))</f>
        <v/>
      </c>
      <c r="CV79" s="12" t="str">
        <f>IF($A79="","",SUMIFS('Nursing Charges'!$I:$I,'Nursing Charges'!$A:$A,$A79,'Nursing Charges'!$C:$C,10))</f>
        <v/>
      </c>
      <c r="CW79" s="12" t="str">
        <f>IF($A79="","",CT79+(CV79-SUMIFS('Nursing Charges'!$J:$J,'Nursing Charges'!$A:$A,$A79,'Nursing Charges'!$C:$C,10))+(CU79-SUMIFS('Consumable Usage'!$F:$F,'Consumable Usage'!$A:$A,$A79,'Consumable Usage'!$D:$D,10)))</f>
        <v/>
      </c>
      <c r="CX79" s="12" t="str">
        <f t="shared" si="28"/>
        <v/>
      </c>
      <c r="CY79" s="20"/>
      <c r="CZ79" s="12" t="str">
        <f t="shared" si="29"/>
        <v/>
      </c>
      <c r="DA79" s="45" t="str">
        <f t="shared" si="30"/>
        <v/>
      </c>
      <c r="DB79" s="15"/>
      <c r="DC79" s="15"/>
      <c r="DD79" s="20"/>
      <c r="DE79" s="12" t="str">
        <f>IF($A79="","",SUMIFS('Consumable Usage'!$E:$E,'Consumable Usage'!$A:$A,$A79,'Consumable Usage'!$D:$D,11))</f>
        <v/>
      </c>
      <c r="DF79" s="12" t="str">
        <f>IF($A79="","",SUMIFS('Nursing Charges'!$I:$I,'Nursing Charges'!$A:$A,$A79,'Nursing Charges'!$C:$C,11))</f>
        <v/>
      </c>
      <c r="DG79" s="12" t="str">
        <f>IF($A79="","",DD79+(DF79-SUMIFS('Nursing Charges'!$J:$J,'Nursing Charges'!$A:$A,$A79,'Nursing Charges'!$C:$C,11))+(DE79-SUMIFS('Consumable Usage'!$F:$F,'Consumable Usage'!$A:$A,$A79,'Consumable Usage'!$D:$D,11)))</f>
        <v/>
      </c>
      <c r="DH79" s="12" t="str">
        <f t="shared" si="31"/>
        <v/>
      </c>
      <c r="DI79" s="20"/>
      <c r="DJ79" s="12" t="str">
        <f t="shared" si="32"/>
        <v/>
      </c>
      <c r="DK79" s="45" t="str">
        <f t="shared" si="33"/>
        <v/>
      </c>
      <c r="DL79" s="15"/>
      <c r="DM79" s="15"/>
      <c r="DN79" s="20"/>
      <c r="DO79" s="12" t="str">
        <f>IF($A79="","",SUMIFS('Consumable Usage'!$E:$E,'Consumable Usage'!$A:$A,$A79,'Consumable Usage'!$D:$D,12))</f>
        <v/>
      </c>
      <c r="DP79" s="12" t="str">
        <f>IF($A79="","",SUMIFS('Nursing Charges'!$I:$I,'Nursing Charges'!$A:$A,$A79,'Nursing Charges'!$C:$C,12))</f>
        <v/>
      </c>
      <c r="DQ79" s="12" t="str">
        <f>IF($A79="","",DN79+(DP79-SUMIFS('Nursing Charges'!$J:$J,'Nursing Charges'!$A:$A,$A79,'Nursing Charges'!$C:$C,12))+(DO79-SUMIFS('Consumable Usage'!$F:$F,'Consumable Usage'!$A:$A,$A79,'Consumable Usage'!$D:$D,12)))</f>
        <v/>
      </c>
      <c r="DR79" s="12" t="str">
        <f t="shared" si="34"/>
        <v/>
      </c>
      <c r="DS79" s="20"/>
      <c r="DT79" s="12" t="str">
        <f t="shared" si="35"/>
        <v/>
      </c>
      <c r="DU79" s="45" t="str">
        <f t="shared" si="36"/>
        <v/>
      </c>
      <c r="DV79" s="15"/>
      <c r="DW79" s="15"/>
      <c r="DX79" s="20"/>
      <c r="DY79" s="12" t="str">
        <f>IF($A79="","",SUMIFS('Consumable Usage'!$E:$E,'Consumable Usage'!$A:$A,$A79,'Consumable Usage'!$D:$D,13))</f>
        <v/>
      </c>
      <c r="DZ79" s="12" t="str">
        <f>IF($A79="","",SUMIFS('Nursing Charges'!$I:$I,'Nursing Charges'!$A:$A,$A79,'Nursing Charges'!$C:$C,13))</f>
        <v/>
      </c>
      <c r="EA79" s="12" t="str">
        <f>IF($A79="","",DX79+(DZ79-SUMIFS('Nursing Charges'!$J:$J,'Nursing Charges'!$A:$A,$A79,'Nursing Charges'!$C:$C,13))+(DY79-SUMIFS('Consumable Usage'!$F:$F,'Consumable Usage'!$A:$A,$A79,'Consumable Usage'!$D:$D,13)))</f>
        <v/>
      </c>
      <c r="EB79" s="12" t="str">
        <f t="shared" si="37"/>
        <v/>
      </c>
      <c r="EC79" s="20"/>
      <c r="ED79" s="12" t="str">
        <f t="shared" si="38"/>
        <v/>
      </c>
      <c r="EE79" s="45" t="str">
        <f t="shared" si="39"/>
        <v/>
      </c>
      <c r="EF79" s="15"/>
      <c r="EG79" s="15"/>
      <c r="EH79" s="20"/>
      <c r="EI79" s="12" t="str">
        <f>IF($A79="","",SUMIFS('Consumable Usage'!$E:$E,'Consumable Usage'!$A:$A,$A79,'Consumable Usage'!$D:$D,14))</f>
        <v/>
      </c>
      <c r="EJ79" s="12" t="str">
        <f>IF($A79="","",SUMIFS('Nursing Charges'!$I:$I,'Nursing Charges'!$A:$A,$A79,'Nursing Charges'!$C:$C,14))</f>
        <v/>
      </c>
      <c r="EK79" s="12" t="str">
        <f>IF($A79="","",EH79+(EJ79-SUMIFS('Nursing Charges'!$J:$J,'Nursing Charges'!$A:$A,$A79,'Nursing Charges'!$C:$C,14))+(EI79-SUMIFS('Consumable Usage'!$F:$F,'Consumable Usage'!$A:$A,$A79,'Consumable Usage'!$D:$D,14)))</f>
        <v/>
      </c>
      <c r="EL79" s="12" t="str">
        <f t="shared" si="40"/>
        <v/>
      </c>
      <c r="EM79" s="20"/>
      <c r="EN79" s="12" t="str">
        <f t="shared" si="41"/>
        <v/>
      </c>
      <c r="EO79" s="45" t="str">
        <f t="shared" si="42"/>
        <v/>
      </c>
      <c r="EP79" s="15"/>
      <c r="EQ79" s="15"/>
      <c r="ER79" s="20"/>
      <c r="ES79" s="12" t="str">
        <f>IF($A79="","",SUMIFS('Consumable Usage'!$E:$E,'Consumable Usage'!$A:$A,$A79,'Consumable Usage'!$D:$D,15))</f>
        <v/>
      </c>
      <c r="ET79" s="12" t="str">
        <f>IF($A79="","",SUMIFS('Nursing Charges'!$I:$I,'Nursing Charges'!$A:$A,$A79,'Nursing Charges'!$C:$C,15))</f>
        <v/>
      </c>
      <c r="EU79" s="12" t="str">
        <f>IF($A79="","",ER79+(ET79-SUMIFS('Nursing Charges'!$J:$J,'Nursing Charges'!$A:$A,$A79,'Nursing Charges'!$C:$C,15))+(ES79-SUMIFS('Consumable Usage'!$F:$F,'Consumable Usage'!$A:$A,$A79,'Consumable Usage'!$D:$D,15)))</f>
        <v/>
      </c>
      <c r="EV79" s="12" t="str">
        <f t="shared" si="43"/>
        <v/>
      </c>
      <c r="EW79" s="20"/>
      <c r="EX79" s="12" t="str">
        <f t="shared" si="44"/>
        <v/>
      </c>
      <c r="EY79" s="45" t="str">
        <f t="shared" si="45"/>
        <v/>
      </c>
      <c r="EZ79" s="15"/>
      <c r="FA79" s="15"/>
      <c r="FB79" s="20"/>
      <c r="FC79" s="12" t="str">
        <f>IF($A79="","",SUMIFS('Consumable Usage'!$E:$E,'Consumable Usage'!$A:$A,$A79,'Consumable Usage'!$D:$D,16))</f>
        <v/>
      </c>
      <c r="FD79" s="12" t="str">
        <f>IF($A79="","",SUMIFS('Nursing Charges'!$I:$I,'Nursing Charges'!$A:$A,$A79,'Nursing Charges'!$C:$C,16))</f>
        <v/>
      </c>
      <c r="FE79" s="12" t="str">
        <f>IF($A79="","",FB79+(FD79-SUMIFS('Nursing Charges'!$J:$J,'Nursing Charges'!$A:$A,$A79,'Nursing Charges'!$C:$C,16))+(FC79-SUMIFS('Consumable Usage'!$F:$F,'Consumable Usage'!$A:$A,$A79,'Consumable Usage'!$D:$D,16)))</f>
        <v/>
      </c>
      <c r="FF79" s="12" t="str">
        <f t="shared" si="46"/>
        <v/>
      </c>
      <c r="FG79" s="20"/>
      <c r="FH79" s="12" t="str">
        <f t="shared" si="47"/>
        <v/>
      </c>
      <c r="FI79" s="45" t="str">
        <f t="shared" si="48"/>
        <v/>
      </c>
      <c r="FJ79" s="53"/>
      <c r="FK79" s="53"/>
      <c r="FL79" s="63"/>
      <c r="FM79" s="63" t="str">
        <f>IF($A79="","",SUMIFS('Consumable Usage'!$E:$E,'Consumable Usage'!$A:$A,$A79,'Consumable Usage'!$D:$D,16))</f>
        <v/>
      </c>
      <c r="FN79" s="63" t="str">
        <f>IF($A79="","",SUMIFS('Nursing Charges'!$I:$I,'Nursing Charges'!$A:$A,$A79,'Nursing Charges'!$C:$C,16))</f>
        <v/>
      </c>
      <c r="FO79" s="63" t="str">
        <f>IF($A79="","",FL79+(FN79-SUMIFS('Nursing Charges'!$J:$J,'Nursing Charges'!$A:$A,$A79,'Nursing Charges'!$C:$C,16))+(FM79-SUMIFS('Consumable Usage'!$F:$F,'Consumable Usage'!$A:$A,$A79,'Consumable Usage'!$D:$D,16)))</f>
        <v/>
      </c>
      <c r="FP79" s="63" t="str">
        <f t="shared" si="49"/>
        <v/>
      </c>
      <c r="FQ79" s="63"/>
      <c r="FR79" s="63" t="str">
        <f t="shared" si="50"/>
        <v/>
      </c>
      <c r="FS79" s="53" t="str">
        <f t="shared" si="51"/>
        <v/>
      </c>
    </row>
    <row r="80" ht="15.0" customHeight="1">
      <c r="A80" s="15"/>
      <c r="B80" s="15"/>
      <c r="C80" s="15"/>
      <c r="D80" s="15"/>
      <c r="E80" s="15"/>
      <c r="F80" s="15"/>
      <c r="G80" s="15"/>
      <c r="H80" s="20"/>
      <c r="I80" s="12" t="str">
        <f>IF($A80="","",SUMIFS('Consumable Usage'!$E:$E,'Consumable Usage'!$A:$A,$A80,'Consumable Usage'!$D:$D,1))</f>
        <v/>
      </c>
      <c r="J80" s="12" t="str">
        <f>IF($A80="","",SUMIFS('Nursing Charges'!$I:$I,'Nursing Charges'!$A:$A,$A80,'Nursing Charges'!$C:$C,1))</f>
        <v/>
      </c>
      <c r="K80" s="12" t="str">
        <f>IF($A80="","",H80+(J80-SUMIFS('Nursing Charges'!$J:$J,'Nursing Charges'!$A:$A,$A80,'Nursing Charges'!$C:$C,1))+(I80-SUMIFS('Consumable Usage'!$F:$F,'Consumable Usage'!$A:$A,$A80,'Consumable Usage'!$D:$D,1)))</f>
        <v/>
      </c>
      <c r="L80" s="12" t="str">
        <f t="shared" si="1"/>
        <v/>
      </c>
      <c r="M80" s="20"/>
      <c r="N80" s="12" t="str">
        <f t="shared" si="2"/>
        <v/>
      </c>
      <c r="O80" s="45" t="str">
        <f t="shared" si="3"/>
        <v/>
      </c>
      <c r="P80" s="15"/>
      <c r="Q80" s="15"/>
      <c r="R80" s="20"/>
      <c r="S80" s="12" t="str">
        <f>IF($A80="","",SUMIFS('Consumable Usage'!$E:$E,'Consumable Usage'!$A:$A,$A80,'Consumable Usage'!$D:$D,2))</f>
        <v/>
      </c>
      <c r="T80" s="12" t="str">
        <f>IF($A80="","",SUMIFS('Nursing Charges'!$I:$I,'Nursing Charges'!$A:$A,$A80,'Nursing Charges'!$C:$C,2))</f>
        <v/>
      </c>
      <c r="U80" s="12" t="str">
        <f>IF($A80="","",R80+(T80-SUMIFS('Nursing Charges'!$J:$J,'Nursing Charges'!$A:$A,$A80,'Nursing Charges'!$C:$C,2))+(S80-SUMIFS('Consumable Usage'!$F:$F,'Consumable Usage'!$A:$A,$A80,'Consumable Usage'!$D:$D,2)))</f>
        <v/>
      </c>
      <c r="V80" s="12" t="str">
        <f t="shared" si="4"/>
        <v/>
      </c>
      <c r="W80" s="20"/>
      <c r="X80" s="12" t="str">
        <f t="shared" si="5"/>
        <v/>
      </c>
      <c r="Y80" s="45" t="str">
        <f t="shared" si="6"/>
        <v/>
      </c>
      <c r="Z80" s="15"/>
      <c r="AA80" s="15"/>
      <c r="AB80" s="20"/>
      <c r="AC80" s="12" t="str">
        <f>IF($A80="","",SUMIFS('Consumable Usage'!$E:$E,'Consumable Usage'!$A:$A,$A80,'Consumable Usage'!$D:$D,3))</f>
        <v/>
      </c>
      <c r="AD80" s="12" t="str">
        <f>IF($A80="","",SUMIFS('Nursing Charges'!$I:$I,'Nursing Charges'!$A:$A,$A80,'Nursing Charges'!$C:$C,3))</f>
        <v/>
      </c>
      <c r="AE80" s="12" t="str">
        <f>IF($A80="","",AB80+(AD80-SUMIFS('Nursing Charges'!$J:$J,'Nursing Charges'!$A:$A,$A80,'Nursing Charges'!$C:$C,3))+(AC80-SUMIFS('Consumable Usage'!$F:$F,'Consumable Usage'!$A:$A,$A80,'Consumable Usage'!$D:$D,3)))</f>
        <v/>
      </c>
      <c r="AF80" s="12" t="str">
        <f t="shared" si="7"/>
        <v/>
      </c>
      <c r="AG80" s="20"/>
      <c r="AH80" s="12" t="str">
        <f t="shared" si="8"/>
        <v/>
      </c>
      <c r="AI80" s="45" t="str">
        <f t="shared" si="9"/>
        <v/>
      </c>
      <c r="AJ80" s="15"/>
      <c r="AK80" s="15"/>
      <c r="AL80" s="20"/>
      <c r="AM80" s="12" t="str">
        <f>IF($A80="","",SUMIFS('Consumable Usage'!$E:$E,'Consumable Usage'!$A:$A,$A80,'Consumable Usage'!$D:$D,4))</f>
        <v/>
      </c>
      <c r="AN80" s="12" t="str">
        <f>IF($A80="","",SUMIFS('Nursing Charges'!$I:$I,'Nursing Charges'!$A:$A,$A80,'Nursing Charges'!$C:$C,4))</f>
        <v/>
      </c>
      <c r="AO80" s="12" t="str">
        <f>IF($A80="","",AL80+(AN80-SUMIFS('Nursing Charges'!$J:$J,'Nursing Charges'!$A:$A,$A80,'Nursing Charges'!$C:$C,4))+(AM80-SUMIFS('Consumable Usage'!$F:$F,'Consumable Usage'!$A:$A,$A80,'Consumable Usage'!$D:$D,4)))</f>
        <v/>
      </c>
      <c r="AP80" s="12" t="str">
        <f t="shared" si="10"/>
        <v/>
      </c>
      <c r="AQ80" s="20"/>
      <c r="AR80" s="12" t="str">
        <f t="shared" si="11"/>
        <v/>
      </c>
      <c r="AS80" s="45" t="str">
        <f t="shared" si="12"/>
        <v/>
      </c>
      <c r="AT80" s="15"/>
      <c r="AU80" s="15"/>
      <c r="AV80" s="20"/>
      <c r="AW80" s="12" t="str">
        <f>IF($A80="","",SUMIFS('Consumable Usage'!$E:$E,'Consumable Usage'!$A:$A,$A80,'Consumable Usage'!$D:$D,5))</f>
        <v/>
      </c>
      <c r="AX80" s="12" t="str">
        <f>IF($A80="","",SUMIFS('Nursing Charges'!$I:$I,'Nursing Charges'!$A:$A,$A80,'Nursing Charges'!$C:$C,5))</f>
        <v/>
      </c>
      <c r="AY80" s="12" t="str">
        <f>IF($A80="","",AV80+(AX80-SUMIFS('Nursing Charges'!$J:$J,'Nursing Charges'!$A:$A,$A80,'Nursing Charges'!$C:$C,5))+(AW80-SUMIFS('Consumable Usage'!$F:$F,'Consumable Usage'!$A:$A,$A80,'Consumable Usage'!$D:$D,5)))</f>
        <v/>
      </c>
      <c r="AZ80" s="12" t="str">
        <f t="shared" si="13"/>
        <v/>
      </c>
      <c r="BA80" s="20"/>
      <c r="BB80" s="12" t="str">
        <f t="shared" si="14"/>
        <v/>
      </c>
      <c r="BC80" s="45" t="str">
        <f t="shared" si="15"/>
        <v/>
      </c>
      <c r="BD80" s="15"/>
      <c r="BE80" s="15"/>
      <c r="BF80" s="20"/>
      <c r="BG80" s="12" t="str">
        <f>IF($A80="","",SUMIFS('Consumable Usage'!$E:$E,'Consumable Usage'!$A:$A,$A80,'Consumable Usage'!$D:$D,6))</f>
        <v/>
      </c>
      <c r="BH80" s="12" t="str">
        <f>IF($A80="","",SUMIFS('Nursing Charges'!$I:$I,'Nursing Charges'!$A:$A,$A80,'Nursing Charges'!$C:$C,6))</f>
        <v/>
      </c>
      <c r="BI80" s="12" t="str">
        <f>IF($A80="","",BF80+(BH80-SUMIFS('Nursing Charges'!$J:$J,'Nursing Charges'!$A:$A,$A80,'Nursing Charges'!$C:$C,6))+(BG80-SUMIFS('Consumable Usage'!$F:$F,'Consumable Usage'!$A:$A,$A80,'Consumable Usage'!$D:$D,6)))</f>
        <v/>
      </c>
      <c r="BJ80" s="12" t="str">
        <f t="shared" si="16"/>
        <v/>
      </c>
      <c r="BK80" s="20"/>
      <c r="BL80" s="12" t="str">
        <f t="shared" si="17"/>
        <v/>
      </c>
      <c r="BM80" s="45" t="str">
        <f t="shared" si="18"/>
        <v/>
      </c>
      <c r="BN80" s="15"/>
      <c r="BO80" s="15"/>
      <c r="BP80" s="20"/>
      <c r="BQ80" s="12" t="str">
        <f>IF($A80="","",SUMIFS('Consumable Usage'!$E:$E,'Consumable Usage'!$A:$A,$A80,'Consumable Usage'!$D:$D,7))</f>
        <v/>
      </c>
      <c r="BR80" s="12" t="str">
        <f>IF($A80="","",SUMIFS('Nursing Charges'!$I:$I,'Nursing Charges'!$A:$A,$A80,'Nursing Charges'!$C:$C,7))</f>
        <v/>
      </c>
      <c r="BS80" s="12" t="str">
        <f>IF($A80="","",BP80+(BR80-SUMIFS('Nursing Charges'!$J:$J,'Nursing Charges'!$A:$A,$A80,'Nursing Charges'!$C:$C,7))+(BQ80-SUMIFS('Consumable Usage'!$F:$F,'Consumable Usage'!$A:$A,$A80,'Consumable Usage'!$D:$D,7)))</f>
        <v/>
      </c>
      <c r="BT80" s="12" t="str">
        <f t="shared" si="19"/>
        <v/>
      </c>
      <c r="BU80" s="20"/>
      <c r="BV80" s="12" t="str">
        <f t="shared" si="20"/>
        <v/>
      </c>
      <c r="BW80" s="45" t="str">
        <f t="shared" si="21"/>
        <v/>
      </c>
      <c r="BX80" s="15"/>
      <c r="BY80" s="15"/>
      <c r="BZ80" s="20"/>
      <c r="CA80" s="12" t="str">
        <f>IF($A80="","",SUMIFS('Consumable Usage'!$E:$E,'Consumable Usage'!$A:$A,$A80,'Consumable Usage'!$D:$D,8))</f>
        <v/>
      </c>
      <c r="CB80" s="12" t="str">
        <f>IF($A80="","",SUMIFS('Nursing Charges'!$I:$I,'Nursing Charges'!$A:$A,$A80,'Nursing Charges'!$C:$C,8))</f>
        <v/>
      </c>
      <c r="CC80" s="12" t="str">
        <f>IF($A80="","",BZ80+(CB80-SUMIFS('Nursing Charges'!$J:$J,'Nursing Charges'!$A:$A,$A80,'Nursing Charges'!$C:$C,8))+(CA80-SUMIFS('Consumable Usage'!$F:$F,'Consumable Usage'!$A:$A,$A80,'Consumable Usage'!$D:$D,8)))</f>
        <v/>
      </c>
      <c r="CD80" s="12" t="str">
        <f t="shared" si="22"/>
        <v/>
      </c>
      <c r="CE80" s="20"/>
      <c r="CF80" s="12" t="str">
        <f t="shared" si="23"/>
        <v/>
      </c>
      <c r="CG80" s="45" t="str">
        <f t="shared" si="24"/>
        <v/>
      </c>
      <c r="CH80" s="15"/>
      <c r="CI80" s="15"/>
      <c r="CJ80" s="20"/>
      <c r="CK80" s="12" t="str">
        <f>IF($A80="","",SUMIFS('Consumable Usage'!$E:$E,'Consumable Usage'!$A:$A,$A80,'Consumable Usage'!$D:$D,9))</f>
        <v/>
      </c>
      <c r="CL80" s="12" t="str">
        <f>IF($A80="","",SUMIFS('Nursing Charges'!$I:$I,'Nursing Charges'!$A:$A,$A80,'Nursing Charges'!$C:$C,9))</f>
        <v/>
      </c>
      <c r="CM80" s="12" t="str">
        <f>IF($A80="","",CJ80+(CL80-SUMIFS('Nursing Charges'!$J:$J,'Nursing Charges'!$A:$A,$A80,'Nursing Charges'!$C:$C,9))+(CK80-SUMIFS('Consumable Usage'!$F:$F,'Consumable Usage'!$A:$A,$A80,'Consumable Usage'!$D:$D,9)))</f>
        <v/>
      </c>
      <c r="CN80" s="12" t="str">
        <f t="shared" si="25"/>
        <v/>
      </c>
      <c r="CO80" s="20"/>
      <c r="CP80" s="12" t="str">
        <f t="shared" si="26"/>
        <v/>
      </c>
      <c r="CQ80" s="45" t="str">
        <f t="shared" si="27"/>
        <v/>
      </c>
      <c r="CR80" s="15"/>
      <c r="CS80" s="15"/>
      <c r="CT80" s="20"/>
      <c r="CU80" s="12" t="str">
        <f>IF($A80="","",SUMIFS('Consumable Usage'!$E:$E,'Consumable Usage'!$A:$A,$A80,'Consumable Usage'!$D:$D,10))</f>
        <v/>
      </c>
      <c r="CV80" s="12" t="str">
        <f>IF($A80="","",SUMIFS('Nursing Charges'!$I:$I,'Nursing Charges'!$A:$A,$A80,'Nursing Charges'!$C:$C,10))</f>
        <v/>
      </c>
      <c r="CW80" s="12" t="str">
        <f>IF($A80="","",CT80+(CV80-SUMIFS('Nursing Charges'!$J:$J,'Nursing Charges'!$A:$A,$A80,'Nursing Charges'!$C:$C,10))+(CU80-SUMIFS('Consumable Usage'!$F:$F,'Consumable Usage'!$A:$A,$A80,'Consumable Usage'!$D:$D,10)))</f>
        <v/>
      </c>
      <c r="CX80" s="12" t="str">
        <f t="shared" si="28"/>
        <v/>
      </c>
      <c r="CY80" s="20"/>
      <c r="CZ80" s="12" t="str">
        <f t="shared" si="29"/>
        <v/>
      </c>
      <c r="DA80" s="45" t="str">
        <f t="shared" si="30"/>
        <v/>
      </c>
      <c r="DB80" s="15"/>
      <c r="DC80" s="15"/>
      <c r="DD80" s="20"/>
      <c r="DE80" s="12" t="str">
        <f>IF($A80="","",SUMIFS('Consumable Usage'!$E:$E,'Consumable Usage'!$A:$A,$A80,'Consumable Usage'!$D:$D,11))</f>
        <v/>
      </c>
      <c r="DF80" s="12" t="str">
        <f>IF($A80="","",SUMIFS('Nursing Charges'!$I:$I,'Nursing Charges'!$A:$A,$A80,'Nursing Charges'!$C:$C,11))</f>
        <v/>
      </c>
      <c r="DG80" s="12" t="str">
        <f>IF($A80="","",DD80+(DF80-SUMIFS('Nursing Charges'!$J:$J,'Nursing Charges'!$A:$A,$A80,'Nursing Charges'!$C:$C,11))+(DE80-SUMIFS('Consumable Usage'!$F:$F,'Consumable Usage'!$A:$A,$A80,'Consumable Usage'!$D:$D,11)))</f>
        <v/>
      </c>
      <c r="DH80" s="12" t="str">
        <f t="shared" si="31"/>
        <v/>
      </c>
      <c r="DI80" s="20"/>
      <c r="DJ80" s="12" t="str">
        <f t="shared" si="32"/>
        <v/>
      </c>
      <c r="DK80" s="45" t="str">
        <f t="shared" si="33"/>
        <v/>
      </c>
      <c r="DL80" s="15"/>
      <c r="DM80" s="15"/>
      <c r="DN80" s="20"/>
      <c r="DO80" s="12" t="str">
        <f>IF($A80="","",SUMIFS('Consumable Usage'!$E:$E,'Consumable Usage'!$A:$A,$A80,'Consumable Usage'!$D:$D,12))</f>
        <v/>
      </c>
      <c r="DP80" s="12" t="str">
        <f>IF($A80="","",SUMIFS('Nursing Charges'!$I:$I,'Nursing Charges'!$A:$A,$A80,'Nursing Charges'!$C:$C,12))</f>
        <v/>
      </c>
      <c r="DQ80" s="12" t="str">
        <f>IF($A80="","",DN80+(DP80-SUMIFS('Nursing Charges'!$J:$J,'Nursing Charges'!$A:$A,$A80,'Nursing Charges'!$C:$C,12))+(DO80-SUMIFS('Consumable Usage'!$F:$F,'Consumable Usage'!$A:$A,$A80,'Consumable Usage'!$D:$D,12)))</f>
        <v/>
      </c>
      <c r="DR80" s="12" t="str">
        <f t="shared" si="34"/>
        <v/>
      </c>
      <c r="DS80" s="20"/>
      <c r="DT80" s="12" t="str">
        <f t="shared" si="35"/>
        <v/>
      </c>
      <c r="DU80" s="45" t="str">
        <f t="shared" si="36"/>
        <v/>
      </c>
      <c r="DV80" s="15"/>
      <c r="DW80" s="15"/>
      <c r="DX80" s="20"/>
      <c r="DY80" s="12" t="str">
        <f>IF($A80="","",SUMIFS('Consumable Usage'!$E:$E,'Consumable Usage'!$A:$A,$A80,'Consumable Usage'!$D:$D,13))</f>
        <v/>
      </c>
      <c r="DZ80" s="12" t="str">
        <f>IF($A80="","",SUMIFS('Nursing Charges'!$I:$I,'Nursing Charges'!$A:$A,$A80,'Nursing Charges'!$C:$C,13))</f>
        <v/>
      </c>
      <c r="EA80" s="12" t="str">
        <f>IF($A80="","",DX80+(DZ80-SUMIFS('Nursing Charges'!$J:$J,'Nursing Charges'!$A:$A,$A80,'Nursing Charges'!$C:$C,13))+(DY80-SUMIFS('Consumable Usage'!$F:$F,'Consumable Usage'!$A:$A,$A80,'Consumable Usage'!$D:$D,13)))</f>
        <v/>
      </c>
      <c r="EB80" s="12" t="str">
        <f t="shared" si="37"/>
        <v/>
      </c>
      <c r="EC80" s="20"/>
      <c r="ED80" s="12" t="str">
        <f t="shared" si="38"/>
        <v/>
      </c>
      <c r="EE80" s="45" t="str">
        <f t="shared" si="39"/>
        <v/>
      </c>
      <c r="EF80" s="15"/>
      <c r="EG80" s="15"/>
      <c r="EH80" s="20"/>
      <c r="EI80" s="12" t="str">
        <f>IF($A80="","",SUMIFS('Consumable Usage'!$E:$E,'Consumable Usage'!$A:$A,$A80,'Consumable Usage'!$D:$D,14))</f>
        <v/>
      </c>
      <c r="EJ80" s="12" t="str">
        <f>IF($A80="","",SUMIFS('Nursing Charges'!$I:$I,'Nursing Charges'!$A:$A,$A80,'Nursing Charges'!$C:$C,14))</f>
        <v/>
      </c>
      <c r="EK80" s="12" t="str">
        <f>IF($A80="","",EH80+(EJ80-SUMIFS('Nursing Charges'!$J:$J,'Nursing Charges'!$A:$A,$A80,'Nursing Charges'!$C:$C,14))+(EI80-SUMIFS('Consumable Usage'!$F:$F,'Consumable Usage'!$A:$A,$A80,'Consumable Usage'!$D:$D,14)))</f>
        <v/>
      </c>
      <c r="EL80" s="12" t="str">
        <f t="shared" si="40"/>
        <v/>
      </c>
      <c r="EM80" s="20"/>
      <c r="EN80" s="12" t="str">
        <f t="shared" si="41"/>
        <v/>
      </c>
      <c r="EO80" s="45" t="str">
        <f t="shared" si="42"/>
        <v/>
      </c>
      <c r="EP80" s="15"/>
      <c r="EQ80" s="15"/>
      <c r="ER80" s="20"/>
      <c r="ES80" s="12" t="str">
        <f>IF($A80="","",SUMIFS('Consumable Usage'!$E:$E,'Consumable Usage'!$A:$A,$A80,'Consumable Usage'!$D:$D,15))</f>
        <v/>
      </c>
      <c r="ET80" s="12" t="str">
        <f>IF($A80="","",SUMIFS('Nursing Charges'!$I:$I,'Nursing Charges'!$A:$A,$A80,'Nursing Charges'!$C:$C,15))</f>
        <v/>
      </c>
      <c r="EU80" s="12" t="str">
        <f>IF($A80="","",ER80+(ET80-SUMIFS('Nursing Charges'!$J:$J,'Nursing Charges'!$A:$A,$A80,'Nursing Charges'!$C:$C,15))+(ES80-SUMIFS('Consumable Usage'!$F:$F,'Consumable Usage'!$A:$A,$A80,'Consumable Usage'!$D:$D,15)))</f>
        <v/>
      </c>
      <c r="EV80" s="12" t="str">
        <f t="shared" si="43"/>
        <v/>
      </c>
      <c r="EW80" s="20"/>
      <c r="EX80" s="12" t="str">
        <f t="shared" si="44"/>
        <v/>
      </c>
      <c r="EY80" s="45" t="str">
        <f t="shared" si="45"/>
        <v/>
      </c>
      <c r="EZ80" s="15"/>
      <c r="FA80" s="15"/>
      <c r="FB80" s="20"/>
      <c r="FC80" s="12" t="str">
        <f>IF($A80="","",SUMIFS('Consumable Usage'!$E:$E,'Consumable Usage'!$A:$A,$A80,'Consumable Usage'!$D:$D,16))</f>
        <v/>
      </c>
      <c r="FD80" s="12" t="str">
        <f>IF($A80="","",SUMIFS('Nursing Charges'!$I:$I,'Nursing Charges'!$A:$A,$A80,'Nursing Charges'!$C:$C,16))</f>
        <v/>
      </c>
      <c r="FE80" s="12" t="str">
        <f>IF($A80="","",FB80+(FD80-SUMIFS('Nursing Charges'!$J:$J,'Nursing Charges'!$A:$A,$A80,'Nursing Charges'!$C:$C,16))+(FC80-SUMIFS('Consumable Usage'!$F:$F,'Consumable Usage'!$A:$A,$A80,'Consumable Usage'!$D:$D,16)))</f>
        <v/>
      </c>
      <c r="FF80" s="12" t="str">
        <f t="shared" si="46"/>
        <v/>
      </c>
      <c r="FG80" s="20"/>
      <c r="FH80" s="12" t="str">
        <f t="shared" si="47"/>
        <v/>
      </c>
      <c r="FI80" s="45" t="str">
        <f t="shared" si="48"/>
        <v/>
      </c>
      <c r="FJ80" s="53"/>
      <c r="FK80" s="53"/>
      <c r="FL80" s="63"/>
      <c r="FM80" s="63" t="str">
        <f>IF($A80="","",SUMIFS('Consumable Usage'!$E:$E,'Consumable Usage'!$A:$A,$A80,'Consumable Usage'!$D:$D,16))</f>
        <v/>
      </c>
      <c r="FN80" s="63" t="str">
        <f>IF($A80="","",SUMIFS('Nursing Charges'!$I:$I,'Nursing Charges'!$A:$A,$A80,'Nursing Charges'!$C:$C,16))</f>
        <v/>
      </c>
      <c r="FO80" s="63" t="str">
        <f>IF($A80="","",FL80+(FN80-SUMIFS('Nursing Charges'!$J:$J,'Nursing Charges'!$A:$A,$A80,'Nursing Charges'!$C:$C,16))+(FM80-SUMIFS('Consumable Usage'!$F:$F,'Consumable Usage'!$A:$A,$A80,'Consumable Usage'!$D:$D,16)))</f>
        <v/>
      </c>
      <c r="FP80" s="63" t="str">
        <f t="shared" si="49"/>
        <v/>
      </c>
      <c r="FQ80" s="63"/>
      <c r="FR80" s="63" t="str">
        <f t="shared" si="50"/>
        <v/>
      </c>
      <c r="FS80" s="53" t="str">
        <f t="shared" si="51"/>
        <v/>
      </c>
    </row>
    <row r="81" ht="15.0" customHeight="1">
      <c r="A81" s="15"/>
      <c r="B81" s="15"/>
      <c r="C81" s="15"/>
      <c r="D81" s="15"/>
      <c r="E81" s="15"/>
      <c r="F81" s="15"/>
      <c r="G81" s="15"/>
      <c r="H81" s="20"/>
      <c r="I81" s="12" t="str">
        <f>IF($A81="","",SUMIFS('Consumable Usage'!$E:$E,'Consumable Usage'!$A:$A,$A81,'Consumable Usage'!$D:$D,1))</f>
        <v/>
      </c>
      <c r="J81" s="12" t="str">
        <f>IF($A81="","",SUMIFS('Nursing Charges'!$I:$I,'Nursing Charges'!$A:$A,$A81,'Nursing Charges'!$C:$C,1))</f>
        <v/>
      </c>
      <c r="K81" s="12" t="str">
        <f>IF($A81="","",H81+(J81-SUMIFS('Nursing Charges'!$J:$J,'Nursing Charges'!$A:$A,$A81,'Nursing Charges'!$C:$C,1))+(I81-SUMIFS('Consumable Usage'!$F:$F,'Consumable Usage'!$A:$A,$A81,'Consumable Usage'!$D:$D,1)))</f>
        <v/>
      </c>
      <c r="L81" s="12" t="str">
        <f t="shared" si="1"/>
        <v/>
      </c>
      <c r="M81" s="20"/>
      <c r="N81" s="12" t="str">
        <f t="shared" si="2"/>
        <v/>
      </c>
      <c r="O81" s="45" t="str">
        <f t="shared" si="3"/>
        <v/>
      </c>
      <c r="P81" s="15"/>
      <c r="Q81" s="15"/>
      <c r="R81" s="20"/>
      <c r="S81" s="12" t="str">
        <f>IF($A81="","",SUMIFS('Consumable Usage'!$E:$E,'Consumable Usage'!$A:$A,$A81,'Consumable Usage'!$D:$D,2))</f>
        <v/>
      </c>
      <c r="T81" s="12" t="str">
        <f>IF($A81="","",SUMIFS('Nursing Charges'!$I:$I,'Nursing Charges'!$A:$A,$A81,'Nursing Charges'!$C:$C,2))</f>
        <v/>
      </c>
      <c r="U81" s="12" t="str">
        <f>IF($A81="","",R81+(T81-SUMIFS('Nursing Charges'!$J:$J,'Nursing Charges'!$A:$A,$A81,'Nursing Charges'!$C:$C,2))+(S81-SUMIFS('Consumable Usage'!$F:$F,'Consumable Usage'!$A:$A,$A81,'Consumable Usage'!$D:$D,2)))</f>
        <v/>
      </c>
      <c r="V81" s="12" t="str">
        <f t="shared" si="4"/>
        <v/>
      </c>
      <c r="W81" s="20"/>
      <c r="X81" s="12" t="str">
        <f t="shared" si="5"/>
        <v/>
      </c>
      <c r="Y81" s="45" t="str">
        <f t="shared" si="6"/>
        <v/>
      </c>
      <c r="Z81" s="15"/>
      <c r="AA81" s="15"/>
      <c r="AB81" s="20"/>
      <c r="AC81" s="12" t="str">
        <f>IF($A81="","",SUMIFS('Consumable Usage'!$E:$E,'Consumable Usage'!$A:$A,$A81,'Consumable Usage'!$D:$D,3))</f>
        <v/>
      </c>
      <c r="AD81" s="12" t="str">
        <f>IF($A81="","",SUMIFS('Nursing Charges'!$I:$I,'Nursing Charges'!$A:$A,$A81,'Nursing Charges'!$C:$C,3))</f>
        <v/>
      </c>
      <c r="AE81" s="12" t="str">
        <f>IF($A81="","",AB81+(AD81-SUMIFS('Nursing Charges'!$J:$J,'Nursing Charges'!$A:$A,$A81,'Nursing Charges'!$C:$C,3))+(AC81-SUMIFS('Consumable Usage'!$F:$F,'Consumable Usage'!$A:$A,$A81,'Consumable Usage'!$D:$D,3)))</f>
        <v/>
      </c>
      <c r="AF81" s="12" t="str">
        <f t="shared" si="7"/>
        <v/>
      </c>
      <c r="AG81" s="20"/>
      <c r="AH81" s="12" t="str">
        <f t="shared" si="8"/>
        <v/>
      </c>
      <c r="AI81" s="45" t="str">
        <f t="shared" si="9"/>
        <v/>
      </c>
      <c r="AJ81" s="15"/>
      <c r="AK81" s="15"/>
      <c r="AL81" s="20"/>
      <c r="AM81" s="12" t="str">
        <f>IF($A81="","",SUMIFS('Consumable Usage'!$E:$E,'Consumable Usage'!$A:$A,$A81,'Consumable Usage'!$D:$D,4))</f>
        <v/>
      </c>
      <c r="AN81" s="12" t="str">
        <f>IF($A81="","",SUMIFS('Nursing Charges'!$I:$I,'Nursing Charges'!$A:$A,$A81,'Nursing Charges'!$C:$C,4))</f>
        <v/>
      </c>
      <c r="AO81" s="12" t="str">
        <f>IF($A81="","",AL81+(AN81-SUMIFS('Nursing Charges'!$J:$J,'Nursing Charges'!$A:$A,$A81,'Nursing Charges'!$C:$C,4))+(AM81-SUMIFS('Consumable Usage'!$F:$F,'Consumable Usage'!$A:$A,$A81,'Consumable Usage'!$D:$D,4)))</f>
        <v/>
      </c>
      <c r="AP81" s="12" t="str">
        <f t="shared" si="10"/>
        <v/>
      </c>
      <c r="AQ81" s="20"/>
      <c r="AR81" s="12" t="str">
        <f t="shared" si="11"/>
        <v/>
      </c>
      <c r="AS81" s="45" t="str">
        <f t="shared" si="12"/>
        <v/>
      </c>
      <c r="AT81" s="15"/>
      <c r="AU81" s="15"/>
      <c r="AV81" s="20"/>
      <c r="AW81" s="12" t="str">
        <f>IF($A81="","",SUMIFS('Consumable Usage'!$E:$E,'Consumable Usage'!$A:$A,$A81,'Consumable Usage'!$D:$D,5))</f>
        <v/>
      </c>
      <c r="AX81" s="12" t="str">
        <f>IF($A81="","",SUMIFS('Nursing Charges'!$I:$I,'Nursing Charges'!$A:$A,$A81,'Nursing Charges'!$C:$C,5))</f>
        <v/>
      </c>
      <c r="AY81" s="12" t="str">
        <f>IF($A81="","",AV81+(AX81-SUMIFS('Nursing Charges'!$J:$J,'Nursing Charges'!$A:$A,$A81,'Nursing Charges'!$C:$C,5))+(AW81-SUMIFS('Consumable Usage'!$F:$F,'Consumable Usage'!$A:$A,$A81,'Consumable Usage'!$D:$D,5)))</f>
        <v/>
      </c>
      <c r="AZ81" s="12" t="str">
        <f t="shared" si="13"/>
        <v/>
      </c>
      <c r="BA81" s="20"/>
      <c r="BB81" s="12" t="str">
        <f t="shared" si="14"/>
        <v/>
      </c>
      <c r="BC81" s="45" t="str">
        <f t="shared" si="15"/>
        <v/>
      </c>
      <c r="BD81" s="15"/>
      <c r="BE81" s="15"/>
      <c r="BF81" s="20"/>
      <c r="BG81" s="12" t="str">
        <f>IF($A81="","",SUMIFS('Consumable Usage'!$E:$E,'Consumable Usage'!$A:$A,$A81,'Consumable Usage'!$D:$D,6))</f>
        <v/>
      </c>
      <c r="BH81" s="12" t="str">
        <f>IF($A81="","",SUMIFS('Nursing Charges'!$I:$I,'Nursing Charges'!$A:$A,$A81,'Nursing Charges'!$C:$C,6))</f>
        <v/>
      </c>
      <c r="BI81" s="12" t="str">
        <f>IF($A81="","",BF81+(BH81-SUMIFS('Nursing Charges'!$J:$J,'Nursing Charges'!$A:$A,$A81,'Nursing Charges'!$C:$C,6))+(BG81-SUMIFS('Consumable Usage'!$F:$F,'Consumable Usage'!$A:$A,$A81,'Consumable Usage'!$D:$D,6)))</f>
        <v/>
      </c>
      <c r="BJ81" s="12" t="str">
        <f t="shared" si="16"/>
        <v/>
      </c>
      <c r="BK81" s="20"/>
      <c r="BL81" s="12" t="str">
        <f t="shared" si="17"/>
        <v/>
      </c>
      <c r="BM81" s="45" t="str">
        <f t="shared" si="18"/>
        <v/>
      </c>
      <c r="BN81" s="15"/>
      <c r="BO81" s="15"/>
      <c r="BP81" s="20"/>
      <c r="BQ81" s="12" t="str">
        <f>IF($A81="","",SUMIFS('Consumable Usage'!$E:$E,'Consumable Usage'!$A:$A,$A81,'Consumable Usage'!$D:$D,7))</f>
        <v/>
      </c>
      <c r="BR81" s="12" t="str">
        <f>IF($A81="","",SUMIFS('Nursing Charges'!$I:$I,'Nursing Charges'!$A:$A,$A81,'Nursing Charges'!$C:$C,7))</f>
        <v/>
      </c>
      <c r="BS81" s="12" t="str">
        <f>IF($A81="","",BP81+(BR81-SUMIFS('Nursing Charges'!$J:$J,'Nursing Charges'!$A:$A,$A81,'Nursing Charges'!$C:$C,7))+(BQ81-SUMIFS('Consumable Usage'!$F:$F,'Consumable Usage'!$A:$A,$A81,'Consumable Usage'!$D:$D,7)))</f>
        <v/>
      </c>
      <c r="BT81" s="12" t="str">
        <f t="shared" si="19"/>
        <v/>
      </c>
      <c r="BU81" s="20"/>
      <c r="BV81" s="12" t="str">
        <f t="shared" si="20"/>
        <v/>
      </c>
      <c r="BW81" s="45" t="str">
        <f t="shared" si="21"/>
        <v/>
      </c>
      <c r="BX81" s="15"/>
      <c r="BY81" s="15"/>
      <c r="BZ81" s="20"/>
      <c r="CA81" s="12" t="str">
        <f>IF($A81="","",SUMIFS('Consumable Usage'!$E:$E,'Consumable Usage'!$A:$A,$A81,'Consumable Usage'!$D:$D,8))</f>
        <v/>
      </c>
      <c r="CB81" s="12" t="str">
        <f>IF($A81="","",SUMIFS('Nursing Charges'!$I:$I,'Nursing Charges'!$A:$A,$A81,'Nursing Charges'!$C:$C,8))</f>
        <v/>
      </c>
      <c r="CC81" s="12" t="str">
        <f>IF($A81="","",BZ81+(CB81-SUMIFS('Nursing Charges'!$J:$J,'Nursing Charges'!$A:$A,$A81,'Nursing Charges'!$C:$C,8))+(CA81-SUMIFS('Consumable Usage'!$F:$F,'Consumable Usage'!$A:$A,$A81,'Consumable Usage'!$D:$D,8)))</f>
        <v/>
      </c>
      <c r="CD81" s="12" t="str">
        <f t="shared" si="22"/>
        <v/>
      </c>
      <c r="CE81" s="20"/>
      <c r="CF81" s="12" t="str">
        <f t="shared" si="23"/>
        <v/>
      </c>
      <c r="CG81" s="45" t="str">
        <f t="shared" si="24"/>
        <v/>
      </c>
      <c r="CH81" s="15"/>
      <c r="CI81" s="15"/>
      <c r="CJ81" s="20"/>
      <c r="CK81" s="12" t="str">
        <f>IF($A81="","",SUMIFS('Consumable Usage'!$E:$E,'Consumable Usage'!$A:$A,$A81,'Consumable Usage'!$D:$D,9))</f>
        <v/>
      </c>
      <c r="CL81" s="12" t="str">
        <f>IF($A81="","",SUMIFS('Nursing Charges'!$I:$I,'Nursing Charges'!$A:$A,$A81,'Nursing Charges'!$C:$C,9))</f>
        <v/>
      </c>
      <c r="CM81" s="12" t="str">
        <f>IF($A81="","",CJ81+(CL81-SUMIFS('Nursing Charges'!$J:$J,'Nursing Charges'!$A:$A,$A81,'Nursing Charges'!$C:$C,9))+(CK81-SUMIFS('Consumable Usage'!$F:$F,'Consumable Usage'!$A:$A,$A81,'Consumable Usage'!$D:$D,9)))</f>
        <v/>
      </c>
      <c r="CN81" s="12" t="str">
        <f t="shared" si="25"/>
        <v/>
      </c>
      <c r="CO81" s="20"/>
      <c r="CP81" s="12" t="str">
        <f t="shared" si="26"/>
        <v/>
      </c>
      <c r="CQ81" s="45" t="str">
        <f t="shared" si="27"/>
        <v/>
      </c>
      <c r="CR81" s="15"/>
      <c r="CS81" s="15"/>
      <c r="CT81" s="20"/>
      <c r="CU81" s="12" t="str">
        <f>IF($A81="","",SUMIFS('Consumable Usage'!$E:$E,'Consumable Usage'!$A:$A,$A81,'Consumable Usage'!$D:$D,10))</f>
        <v/>
      </c>
      <c r="CV81" s="12" t="str">
        <f>IF($A81="","",SUMIFS('Nursing Charges'!$I:$I,'Nursing Charges'!$A:$A,$A81,'Nursing Charges'!$C:$C,10))</f>
        <v/>
      </c>
      <c r="CW81" s="12" t="str">
        <f>IF($A81="","",CT81+(CV81-SUMIFS('Nursing Charges'!$J:$J,'Nursing Charges'!$A:$A,$A81,'Nursing Charges'!$C:$C,10))+(CU81-SUMIFS('Consumable Usage'!$F:$F,'Consumable Usage'!$A:$A,$A81,'Consumable Usage'!$D:$D,10)))</f>
        <v/>
      </c>
      <c r="CX81" s="12" t="str">
        <f t="shared" si="28"/>
        <v/>
      </c>
      <c r="CY81" s="20"/>
      <c r="CZ81" s="12" t="str">
        <f t="shared" si="29"/>
        <v/>
      </c>
      <c r="DA81" s="45" t="str">
        <f t="shared" si="30"/>
        <v/>
      </c>
      <c r="DB81" s="15"/>
      <c r="DC81" s="15"/>
      <c r="DD81" s="20"/>
      <c r="DE81" s="12" t="str">
        <f>IF($A81="","",SUMIFS('Consumable Usage'!$E:$E,'Consumable Usage'!$A:$A,$A81,'Consumable Usage'!$D:$D,11))</f>
        <v/>
      </c>
      <c r="DF81" s="12" t="str">
        <f>IF($A81="","",SUMIFS('Nursing Charges'!$I:$I,'Nursing Charges'!$A:$A,$A81,'Nursing Charges'!$C:$C,11))</f>
        <v/>
      </c>
      <c r="DG81" s="12" t="str">
        <f>IF($A81="","",DD81+(DF81-SUMIFS('Nursing Charges'!$J:$J,'Nursing Charges'!$A:$A,$A81,'Nursing Charges'!$C:$C,11))+(DE81-SUMIFS('Consumable Usage'!$F:$F,'Consumable Usage'!$A:$A,$A81,'Consumable Usage'!$D:$D,11)))</f>
        <v/>
      </c>
      <c r="DH81" s="12" t="str">
        <f t="shared" si="31"/>
        <v/>
      </c>
      <c r="DI81" s="20"/>
      <c r="DJ81" s="12" t="str">
        <f t="shared" si="32"/>
        <v/>
      </c>
      <c r="DK81" s="45" t="str">
        <f t="shared" si="33"/>
        <v/>
      </c>
      <c r="DL81" s="15"/>
      <c r="DM81" s="15"/>
      <c r="DN81" s="20"/>
      <c r="DO81" s="12" t="str">
        <f>IF($A81="","",SUMIFS('Consumable Usage'!$E:$E,'Consumable Usage'!$A:$A,$A81,'Consumable Usage'!$D:$D,12))</f>
        <v/>
      </c>
      <c r="DP81" s="12" t="str">
        <f>IF($A81="","",SUMIFS('Nursing Charges'!$I:$I,'Nursing Charges'!$A:$A,$A81,'Nursing Charges'!$C:$C,12))</f>
        <v/>
      </c>
      <c r="DQ81" s="12" t="str">
        <f>IF($A81="","",DN81+(DP81-SUMIFS('Nursing Charges'!$J:$J,'Nursing Charges'!$A:$A,$A81,'Nursing Charges'!$C:$C,12))+(DO81-SUMIFS('Consumable Usage'!$F:$F,'Consumable Usage'!$A:$A,$A81,'Consumable Usage'!$D:$D,12)))</f>
        <v/>
      </c>
      <c r="DR81" s="12" t="str">
        <f t="shared" si="34"/>
        <v/>
      </c>
      <c r="DS81" s="20"/>
      <c r="DT81" s="12" t="str">
        <f t="shared" si="35"/>
        <v/>
      </c>
      <c r="DU81" s="45" t="str">
        <f t="shared" si="36"/>
        <v/>
      </c>
      <c r="DV81" s="15"/>
      <c r="DW81" s="15"/>
      <c r="DX81" s="20"/>
      <c r="DY81" s="12" t="str">
        <f>IF($A81="","",SUMIFS('Consumable Usage'!$E:$E,'Consumable Usage'!$A:$A,$A81,'Consumable Usage'!$D:$D,13))</f>
        <v/>
      </c>
      <c r="DZ81" s="12" t="str">
        <f>IF($A81="","",SUMIFS('Nursing Charges'!$I:$I,'Nursing Charges'!$A:$A,$A81,'Nursing Charges'!$C:$C,13))</f>
        <v/>
      </c>
      <c r="EA81" s="12" t="str">
        <f>IF($A81="","",DX81+(DZ81-SUMIFS('Nursing Charges'!$J:$J,'Nursing Charges'!$A:$A,$A81,'Nursing Charges'!$C:$C,13))+(DY81-SUMIFS('Consumable Usage'!$F:$F,'Consumable Usage'!$A:$A,$A81,'Consumable Usage'!$D:$D,13)))</f>
        <v/>
      </c>
      <c r="EB81" s="12" t="str">
        <f t="shared" si="37"/>
        <v/>
      </c>
      <c r="EC81" s="20"/>
      <c r="ED81" s="12" t="str">
        <f t="shared" si="38"/>
        <v/>
      </c>
      <c r="EE81" s="45" t="str">
        <f t="shared" si="39"/>
        <v/>
      </c>
      <c r="EF81" s="15"/>
      <c r="EG81" s="15"/>
      <c r="EH81" s="20"/>
      <c r="EI81" s="12" t="str">
        <f>IF($A81="","",SUMIFS('Consumable Usage'!$E:$E,'Consumable Usage'!$A:$A,$A81,'Consumable Usage'!$D:$D,14))</f>
        <v/>
      </c>
      <c r="EJ81" s="12" t="str">
        <f>IF($A81="","",SUMIFS('Nursing Charges'!$I:$I,'Nursing Charges'!$A:$A,$A81,'Nursing Charges'!$C:$C,14))</f>
        <v/>
      </c>
      <c r="EK81" s="12" t="str">
        <f>IF($A81="","",EH81+(EJ81-SUMIFS('Nursing Charges'!$J:$J,'Nursing Charges'!$A:$A,$A81,'Nursing Charges'!$C:$C,14))+(EI81-SUMIFS('Consumable Usage'!$F:$F,'Consumable Usage'!$A:$A,$A81,'Consumable Usage'!$D:$D,14)))</f>
        <v/>
      </c>
      <c r="EL81" s="12" t="str">
        <f t="shared" si="40"/>
        <v/>
      </c>
      <c r="EM81" s="20"/>
      <c r="EN81" s="12" t="str">
        <f t="shared" si="41"/>
        <v/>
      </c>
      <c r="EO81" s="45" t="str">
        <f t="shared" si="42"/>
        <v/>
      </c>
      <c r="EP81" s="15"/>
      <c r="EQ81" s="15"/>
      <c r="ER81" s="20"/>
      <c r="ES81" s="12" t="str">
        <f>IF($A81="","",SUMIFS('Consumable Usage'!$E:$E,'Consumable Usage'!$A:$A,$A81,'Consumable Usage'!$D:$D,15))</f>
        <v/>
      </c>
      <c r="ET81" s="12" t="str">
        <f>IF($A81="","",SUMIFS('Nursing Charges'!$I:$I,'Nursing Charges'!$A:$A,$A81,'Nursing Charges'!$C:$C,15))</f>
        <v/>
      </c>
      <c r="EU81" s="12" t="str">
        <f>IF($A81="","",ER81+(ET81-SUMIFS('Nursing Charges'!$J:$J,'Nursing Charges'!$A:$A,$A81,'Nursing Charges'!$C:$C,15))+(ES81-SUMIFS('Consumable Usage'!$F:$F,'Consumable Usage'!$A:$A,$A81,'Consumable Usage'!$D:$D,15)))</f>
        <v/>
      </c>
      <c r="EV81" s="12" t="str">
        <f t="shared" si="43"/>
        <v/>
      </c>
      <c r="EW81" s="20"/>
      <c r="EX81" s="12" t="str">
        <f t="shared" si="44"/>
        <v/>
      </c>
      <c r="EY81" s="45" t="str">
        <f t="shared" si="45"/>
        <v/>
      </c>
      <c r="EZ81" s="15"/>
      <c r="FA81" s="15"/>
      <c r="FB81" s="20"/>
      <c r="FC81" s="12" t="str">
        <f>IF($A81="","",SUMIFS('Consumable Usage'!$E:$E,'Consumable Usage'!$A:$A,$A81,'Consumable Usage'!$D:$D,16))</f>
        <v/>
      </c>
      <c r="FD81" s="12" t="str">
        <f>IF($A81="","",SUMIFS('Nursing Charges'!$I:$I,'Nursing Charges'!$A:$A,$A81,'Nursing Charges'!$C:$C,16))</f>
        <v/>
      </c>
      <c r="FE81" s="12" t="str">
        <f>IF($A81="","",FB81+(FD81-SUMIFS('Nursing Charges'!$J:$J,'Nursing Charges'!$A:$A,$A81,'Nursing Charges'!$C:$C,16))+(FC81-SUMIFS('Consumable Usage'!$F:$F,'Consumable Usage'!$A:$A,$A81,'Consumable Usage'!$D:$D,16)))</f>
        <v/>
      </c>
      <c r="FF81" s="12" t="str">
        <f t="shared" si="46"/>
        <v/>
      </c>
      <c r="FG81" s="20"/>
      <c r="FH81" s="12" t="str">
        <f t="shared" si="47"/>
        <v/>
      </c>
      <c r="FI81" s="45" t="str">
        <f t="shared" si="48"/>
        <v/>
      </c>
      <c r="FJ81" s="53"/>
      <c r="FK81" s="53"/>
      <c r="FL81" s="63"/>
      <c r="FM81" s="63" t="str">
        <f>IF($A81="","",SUMIFS('Consumable Usage'!$E:$E,'Consumable Usage'!$A:$A,$A81,'Consumable Usage'!$D:$D,16))</f>
        <v/>
      </c>
      <c r="FN81" s="63" t="str">
        <f>IF($A81="","",SUMIFS('Nursing Charges'!$I:$I,'Nursing Charges'!$A:$A,$A81,'Nursing Charges'!$C:$C,16))</f>
        <v/>
      </c>
      <c r="FO81" s="63" t="str">
        <f>IF($A81="","",FL81+(FN81-SUMIFS('Nursing Charges'!$J:$J,'Nursing Charges'!$A:$A,$A81,'Nursing Charges'!$C:$C,16))+(FM81-SUMIFS('Consumable Usage'!$F:$F,'Consumable Usage'!$A:$A,$A81,'Consumable Usage'!$D:$D,16)))</f>
        <v/>
      </c>
      <c r="FP81" s="63" t="str">
        <f t="shared" si="49"/>
        <v/>
      </c>
      <c r="FQ81" s="63"/>
      <c r="FR81" s="63" t="str">
        <f t="shared" si="50"/>
        <v/>
      </c>
      <c r="FS81" s="53" t="str">
        <f t="shared" si="51"/>
        <v/>
      </c>
    </row>
    <row r="82" ht="15.0" customHeight="1">
      <c r="A82" s="15"/>
      <c r="B82" s="15"/>
      <c r="C82" s="15"/>
      <c r="D82" s="15"/>
      <c r="E82" s="15"/>
      <c r="F82" s="15"/>
      <c r="G82" s="15"/>
      <c r="H82" s="20"/>
      <c r="I82" s="12" t="str">
        <f>IF($A82="","",SUMIFS('Consumable Usage'!$E:$E,'Consumable Usage'!$A:$A,$A82,'Consumable Usage'!$D:$D,1))</f>
        <v/>
      </c>
      <c r="J82" s="12" t="str">
        <f>IF($A82="","",SUMIFS('Nursing Charges'!$I:$I,'Nursing Charges'!$A:$A,$A82,'Nursing Charges'!$C:$C,1))</f>
        <v/>
      </c>
      <c r="K82" s="12" t="str">
        <f>IF($A82="","",H82+(J82-SUMIFS('Nursing Charges'!$J:$J,'Nursing Charges'!$A:$A,$A82,'Nursing Charges'!$C:$C,1))+(I82-SUMIFS('Consumable Usage'!$F:$F,'Consumable Usage'!$A:$A,$A82,'Consumable Usage'!$D:$D,1)))</f>
        <v/>
      </c>
      <c r="L82" s="12" t="str">
        <f t="shared" si="1"/>
        <v/>
      </c>
      <c r="M82" s="20"/>
      <c r="N82" s="12" t="str">
        <f t="shared" si="2"/>
        <v/>
      </c>
      <c r="O82" s="45" t="str">
        <f t="shared" si="3"/>
        <v/>
      </c>
      <c r="P82" s="15"/>
      <c r="Q82" s="15"/>
      <c r="R82" s="20"/>
      <c r="S82" s="12" t="str">
        <f>IF($A82="","",SUMIFS('Consumable Usage'!$E:$E,'Consumable Usage'!$A:$A,$A82,'Consumable Usage'!$D:$D,2))</f>
        <v/>
      </c>
      <c r="T82" s="12" t="str">
        <f>IF($A82="","",SUMIFS('Nursing Charges'!$I:$I,'Nursing Charges'!$A:$A,$A82,'Nursing Charges'!$C:$C,2))</f>
        <v/>
      </c>
      <c r="U82" s="12" t="str">
        <f>IF($A82="","",R82+(T82-SUMIFS('Nursing Charges'!$J:$J,'Nursing Charges'!$A:$A,$A82,'Nursing Charges'!$C:$C,2))+(S82-SUMIFS('Consumable Usage'!$F:$F,'Consumable Usage'!$A:$A,$A82,'Consumable Usage'!$D:$D,2)))</f>
        <v/>
      </c>
      <c r="V82" s="12" t="str">
        <f t="shared" si="4"/>
        <v/>
      </c>
      <c r="W82" s="20"/>
      <c r="X82" s="12" t="str">
        <f t="shared" si="5"/>
        <v/>
      </c>
      <c r="Y82" s="45" t="str">
        <f t="shared" si="6"/>
        <v/>
      </c>
      <c r="Z82" s="15"/>
      <c r="AA82" s="15"/>
      <c r="AB82" s="20"/>
      <c r="AC82" s="12" t="str">
        <f>IF($A82="","",SUMIFS('Consumable Usage'!$E:$E,'Consumable Usage'!$A:$A,$A82,'Consumable Usage'!$D:$D,3))</f>
        <v/>
      </c>
      <c r="AD82" s="12" t="str">
        <f>IF($A82="","",SUMIFS('Nursing Charges'!$I:$I,'Nursing Charges'!$A:$A,$A82,'Nursing Charges'!$C:$C,3))</f>
        <v/>
      </c>
      <c r="AE82" s="12" t="str">
        <f>IF($A82="","",AB82+(AD82-SUMIFS('Nursing Charges'!$J:$J,'Nursing Charges'!$A:$A,$A82,'Nursing Charges'!$C:$C,3))+(AC82-SUMIFS('Consumable Usage'!$F:$F,'Consumable Usage'!$A:$A,$A82,'Consumable Usage'!$D:$D,3)))</f>
        <v/>
      </c>
      <c r="AF82" s="12" t="str">
        <f t="shared" si="7"/>
        <v/>
      </c>
      <c r="AG82" s="20"/>
      <c r="AH82" s="12" t="str">
        <f t="shared" si="8"/>
        <v/>
      </c>
      <c r="AI82" s="45" t="str">
        <f t="shared" si="9"/>
        <v/>
      </c>
      <c r="AJ82" s="15"/>
      <c r="AK82" s="15"/>
      <c r="AL82" s="20"/>
      <c r="AM82" s="12" t="str">
        <f>IF($A82="","",SUMIFS('Consumable Usage'!$E:$E,'Consumable Usage'!$A:$A,$A82,'Consumable Usage'!$D:$D,4))</f>
        <v/>
      </c>
      <c r="AN82" s="12" t="str">
        <f>IF($A82="","",SUMIFS('Nursing Charges'!$I:$I,'Nursing Charges'!$A:$A,$A82,'Nursing Charges'!$C:$C,4))</f>
        <v/>
      </c>
      <c r="AO82" s="12" t="str">
        <f>IF($A82="","",AL82+(AN82-SUMIFS('Nursing Charges'!$J:$J,'Nursing Charges'!$A:$A,$A82,'Nursing Charges'!$C:$C,4))+(AM82-SUMIFS('Consumable Usage'!$F:$F,'Consumable Usage'!$A:$A,$A82,'Consumable Usage'!$D:$D,4)))</f>
        <v/>
      </c>
      <c r="AP82" s="12" t="str">
        <f t="shared" si="10"/>
        <v/>
      </c>
      <c r="AQ82" s="20"/>
      <c r="AR82" s="12" t="str">
        <f t="shared" si="11"/>
        <v/>
      </c>
      <c r="AS82" s="45" t="str">
        <f t="shared" si="12"/>
        <v/>
      </c>
      <c r="AT82" s="15"/>
      <c r="AU82" s="15"/>
      <c r="AV82" s="20"/>
      <c r="AW82" s="12" t="str">
        <f>IF($A82="","",SUMIFS('Consumable Usage'!$E:$E,'Consumable Usage'!$A:$A,$A82,'Consumable Usage'!$D:$D,5))</f>
        <v/>
      </c>
      <c r="AX82" s="12" t="str">
        <f>IF($A82="","",SUMIFS('Nursing Charges'!$I:$I,'Nursing Charges'!$A:$A,$A82,'Nursing Charges'!$C:$C,5))</f>
        <v/>
      </c>
      <c r="AY82" s="12" t="str">
        <f>IF($A82="","",AV82+(AX82-SUMIFS('Nursing Charges'!$J:$J,'Nursing Charges'!$A:$A,$A82,'Nursing Charges'!$C:$C,5))+(AW82-SUMIFS('Consumable Usage'!$F:$F,'Consumable Usage'!$A:$A,$A82,'Consumable Usage'!$D:$D,5)))</f>
        <v/>
      </c>
      <c r="AZ82" s="12" t="str">
        <f t="shared" si="13"/>
        <v/>
      </c>
      <c r="BA82" s="20"/>
      <c r="BB82" s="12" t="str">
        <f t="shared" si="14"/>
        <v/>
      </c>
      <c r="BC82" s="45" t="str">
        <f t="shared" si="15"/>
        <v/>
      </c>
      <c r="BD82" s="15"/>
      <c r="BE82" s="15"/>
      <c r="BF82" s="20"/>
      <c r="BG82" s="12" t="str">
        <f>IF($A82="","",SUMIFS('Consumable Usage'!$E:$E,'Consumable Usage'!$A:$A,$A82,'Consumable Usage'!$D:$D,6))</f>
        <v/>
      </c>
      <c r="BH82" s="12" t="str">
        <f>IF($A82="","",SUMIFS('Nursing Charges'!$I:$I,'Nursing Charges'!$A:$A,$A82,'Nursing Charges'!$C:$C,6))</f>
        <v/>
      </c>
      <c r="BI82" s="12" t="str">
        <f>IF($A82="","",BF82+(BH82-SUMIFS('Nursing Charges'!$J:$J,'Nursing Charges'!$A:$A,$A82,'Nursing Charges'!$C:$C,6))+(BG82-SUMIFS('Consumable Usage'!$F:$F,'Consumable Usage'!$A:$A,$A82,'Consumable Usage'!$D:$D,6)))</f>
        <v/>
      </c>
      <c r="BJ82" s="12" t="str">
        <f t="shared" si="16"/>
        <v/>
      </c>
      <c r="BK82" s="20"/>
      <c r="BL82" s="12" t="str">
        <f t="shared" si="17"/>
        <v/>
      </c>
      <c r="BM82" s="45" t="str">
        <f t="shared" si="18"/>
        <v/>
      </c>
      <c r="BN82" s="15"/>
      <c r="BO82" s="15"/>
      <c r="BP82" s="20"/>
      <c r="BQ82" s="12" t="str">
        <f>IF($A82="","",SUMIFS('Consumable Usage'!$E:$E,'Consumable Usage'!$A:$A,$A82,'Consumable Usage'!$D:$D,7))</f>
        <v/>
      </c>
      <c r="BR82" s="12" t="str">
        <f>IF($A82="","",SUMIFS('Nursing Charges'!$I:$I,'Nursing Charges'!$A:$A,$A82,'Nursing Charges'!$C:$C,7))</f>
        <v/>
      </c>
      <c r="BS82" s="12" t="str">
        <f>IF($A82="","",BP82+(BR82-SUMIFS('Nursing Charges'!$J:$J,'Nursing Charges'!$A:$A,$A82,'Nursing Charges'!$C:$C,7))+(BQ82-SUMIFS('Consumable Usage'!$F:$F,'Consumable Usage'!$A:$A,$A82,'Consumable Usage'!$D:$D,7)))</f>
        <v/>
      </c>
      <c r="BT82" s="12" t="str">
        <f t="shared" si="19"/>
        <v/>
      </c>
      <c r="BU82" s="20"/>
      <c r="BV82" s="12" t="str">
        <f t="shared" si="20"/>
        <v/>
      </c>
      <c r="BW82" s="45" t="str">
        <f t="shared" si="21"/>
        <v/>
      </c>
      <c r="BX82" s="15"/>
      <c r="BY82" s="15"/>
      <c r="BZ82" s="20"/>
      <c r="CA82" s="12" t="str">
        <f>IF($A82="","",SUMIFS('Consumable Usage'!$E:$E,'Consumable Usage'!$A:$A,$A82,'Consumable Usage'!$D:$D,8))</f>
        <v/>
      </c>
      <c r="CB82" s="12" t="str">
        <f>IF($A82="","",SUMIFS('Nursing Charges'!$I:$I,'Nursing Charges'!$A:$A,$A82,'Nursing Charges'!$C:$C,8))</f>
        <v/>
      </c>
      <c r="CC82" s="12" t="str">
        <f>IF($A82="","",BZ82+(CB82-SUMIFS('Nursing Charges'!$J:$J,'Nursing Charges'!$A:$A,$A82,'Nursing Charges'!$C:$C,8))+(CA82-SUMIFS('Consumable Usage'!$F:$F,'Consumable Usage'!$A:$A,$A82,'Consumable Usage'!$D:$D,8)))</f>
        <v/>
      </c>
      <c r="CD82" s="12" t="str">
        <f t="shared" si="22"/>
        <v/>
      </c>
      <c r="CE82" s="20"/>
      <c r="CF82" s="12" t="str">
        <f t="shared" si="23"/>
        <v/>
      </c>
      <c r="CG82" s="45" t="str">
        <f t="shared" si="24"/>
        <v/>
      </c>
      <c r="CH82" s="15"/>
      <c r="CI82" s="15"/>
      <c r="CJ82" s="20"/>
      <c r="CK82" s="12" t="str">
        <f>IF($A82="","",SUMIFS('Consumable Usage'!$E:$E,'Consumable Usage'!$A:$A,$A82,'Consumable Usage'!$D:$D,9))</f>
        <v/>
      </c>
      <c r="CL82" s="12" t="str">
        <f>IF($A82="","",SUMIFS('Nursing Charges'!$I:$I,'Nursing Charges'!$A:$A,$A82,'Nursing Charges'!$C:$C,9))</f>
        <v/>
      </c>
      <c r="CM82" s="12" t="str">
        <f>IF($A82="","",CJ82+(CL82-SUMIFS('Nursing Charges'!$J:$J,'Nursing Charges'!$A:$A,$A82,'Nursing Charges'!$C:$C,9))+(CK82-SUMIFS('Consumable Usage'!$F:$F,'Consumable Usage'!$A:$A,$A82,'Consumable Usage'!$D:$D,9)))</f>
        <v/>
      </c>
      <c r="CN82" s="12" t="str">
        <f t="shared" si="25"/>
        <v/>
      </c>
      <c r="CO82" s="20"/>
      <c r="CP82" s="12" t="str">
        <f t="shared" si="26"/>
        <v/>
      </c>
      <c r="CQ82" s="45" t="str">
        <f t="shared" si="27"/>
        <v/>
      </c>
      <c r="CR82" s="15"/>
      <c r="CS82" s="15"/>
      <c r="CT82" s="20"/>
      <c r="CU82" s="12" t="str">
        <f>IF($A82="","",SUMIFS('Consumable Usage'!$E:$E,'Consumable Usage'!$A:$A,$A82,'Consumable Usage'!$D:$D,10))</f>
        <v/>
      </c>
      <c r="CV82" s="12" t="str">
        <f>IF($A82="","",SUMIFS('Nursing Charges'!$I:$I,'Nursing Charges'!$A:$A,$A82,'Nursing Charges'!$C:$C,10))</f>
        <v/>
      </c>
      <c r="CW82" s="12" t="str">
        <f>IF($A82="","",CT82+(CV82-SUMIFS('Nursing Charges'!$J:$J,'Nursing Charges'!$A:$A,$A82,'Nursing Charges'!$C:$C,10))+(CU82-SUMIFS('Consumable Usage'!$F:$F,'Consumable Usage'!$A:$A,$A82,'Consumable Usage'!$D:$D,10)))</f>
        <v/>
      </c>
      <c r="CX82" s="12" t="str">
        <f t="shared" si="28"/>
        <v/>
      </c>
      <c r="CY82" s="20"/>
      <c r="CZ82" s="12" t="str">
        <f t="shared" si="29"/>
        <v/>
      </c>
      <c r="DA82" s="45" t="str">
        <f t="shared" si="30"/>
        <v/>
      </c>
      <c r="DB82" s="15"/>
      <c r="DC82" s="15"/>
      <c r="DD82" s="20"/>
      <c r="DE82" s="12" t="str">
        <f>IF($A82="","",SUMIFS('Consumable Usage'!$E:$E,'Consumable Usage'!$A:$A,$A82,'Consumable Usage'!$D:$D,11))</f>
        <v/>
      </c>
      <c r="DF82" s="12" t="str">
        <f>IF($A82="","",SUMIFS('Nursing Charges'!$I:$I,'Nursing Charges'!$A:$A,$A82,'Nursing Charges'!$C:$C,11))</f>
        <v/>
      </c>
      <c r="DG82" s="12" t="str">
        <f>IF($A82="","",DD82+(DF82-SUMIFS('Nursing Charges'!$J:$J,'Nursing Charges'!$A:$A,$A82,'Nursing Charges'!$C:$C,11))+(DE82-SUMIFS('Consumable Usage'!$F:$F,'Consumable Usage'!$A:$A,$A82,'Consumable Usage'!$D:$D,11)))</f>
        <v/>
      </c>
      <c r="DH82" s="12" t="str">
        <f t="shared" si="31"/>
        <v/>
      </c>
      <c r="DI82" s="20"/>
      <c r="DJ82" s="12" t="str">
        <f t="shared" si="32"/>
        <v/>
      </c>
      <c r="DK82" s="45" t="str">
        <f t="shared" si="33"/>
        <v/>
      </c>
      <c r="DL82" s="15"/>
      <c r="DM82" s="15"/>
      <c r="DN82" s="20"/>
      <c r="DO82" s="12" t="str">
        <f>IF($A82="","",SUMIFS('Consumable Usage'!$E:$E,'Consumable Usage'!$A:$A,$A82,'Consumable Usage'!$D:$D,12))</f>
        <v/>
      </c>
      <c r="DP82" s="12" t="str">
        <f>IF($A82="","",SUMIFS('Nursing Charges'!$I:$I,'Nursing Charges'!$A:$A,$A82,'Nursing Charges'!$C:$C,12))</f>
        <v/>
      </c>
      <c r="DQ82" s="12" t="str">
        <f>IF($A82="","",DN82+(DP82-SUMIFS('Nursing Charges'!$J:$J,'Nursing Charges'!$A:$A,$A82,'Nursing Charges'!$C:$C,12))+(DO82-SUMIFS('Consumable Usage'!$F:$F,'Consumable Usage'!$A:$A,$A82,'Consumable Usage'!$D:$D,12)))</f>
        <v/>
      </c>
      <c r="DR82" s="12" t="str">
        <f t="shared" si="34"/>
        <v/>
      </c>
      <c r="DS82" s="20"/>
      <c r="DT82" s="12" t="str">
        <f t="shared" si="35"/>
        <v/>
      </c>
      <c r="DU82" s="45" t="str">
        <f t="shared" si="36"/>
        <v/>
      </c>
      <c r="DV82" s="15"/>
      <c r="DW82" s="15"/>
      <c r="DX82" s="20"/>
      <c r="DY82" s="12" t="str">
        <f>IF($A82="","",SUMIFS('Consumable Usage'!$E:$E,'Consumable Usage'!$A:$A,$A82,'Consumable Usage'!$D:$D,13))</f>
        <v/>
      </c>
      <c r="DZ82" s="12" t="str">
        <f>IF($A82="","",SUMIFS('Nursing Charges'!$I:$I,'Nursing Charges'!$A:$A,$A82,'Nursing Charges'!$C:$C,13))</f>
        <v/>
      </c>
      <c r="EA82" s="12" t="str">
        <f>IF($A82="","",DX82+(DZ82-SUMIFS('Nursing Charges'!$J:$J,'Nursing Charges'!$A:$A,$A82,'Nursing Charges'!$C:$C,13))+(DY82-SUMIFS('Consumable Usage'!$F:$F,'Consumable Usage'!$A:$A,$A82,'Consumable Usage'!$D:$D,13)))</f>
        <v/>
      </c>
      <c r="EB82" s="12" t="str">
        <f t="shared" si="37"/>
        <v/>
      </c>
      <c r="EC82" s="20"/>
      <c r="ED82" s="12" t="str">
        <f t="shared" si="38"/>
        <v/>
      </c>
      <c r="EE82" s="45" t="str">
        <f t="shared" si="39"/>
        <v/>
      </c>
      <c r="EF82" s="15"/>
      <c r="EG82" s="15"/>
      <c r="EH82" s="20"/>
      <c r="EI82" s="12" t="str">
        <f>IF($A82="","",SUMIFS('Consumable Usage'!$E:$E,'Consumable Usage'!$A:$A,$A82,'Consumable Usage'!$D:$D,14))</f>
        <v/>
      </c>
      <c r="EJ82" s="12" t="str">
        <f>IF($A82="","",SUMIFS('Nursing Charges'!$I:$I,'Nursing Charges'!$A:$A,$A82,'Nursing Charges'!$C:$C,14))</f>
        <v/>
      </c>
      <c r="EK82" s="12" t="str">
        <f>IF($A82="","",EH82+(EJ82-SUMIFS('Nursing Charges'!$J:$J,'Nursing Charges'!$A:$A,$A82,'Nursing Charges'!$C:$C,14))+(EI82-SUMIFS('Consumable Usage'!$F:$F,'Consumable Usage'!$A:$A,$A82,'Consumable Usage'!$D:$D,14)))</f>
        <v/>
      </c>
      <c r="EL82" s="12" t="str">
        <f t="shared" si="40"/>
        <v/>
      </c>
      <c r="EM82" s="20"/>
      <c r="EN82" s="12" t="str">
        <f t="shared" si="41"/>
        <v/>
      </c>
      <c r="EO82" s="45" t="str">
        <f t="shared" si="42"/>
        <v/>
      </c>
      <c r="EP82" s="15"/>
      <c r="EQ82" s="15"/>
      <c r="ER82" s="20"/>
      <c r="ES82" s="12" t="str">
        <f>IF($A82="","",SUMIFS('Consumable Usage'!$E:$E,'Consumable Usage'!$A:$A,$A82,'Consumable Usage'!$D:$D,15))</f>
        <v/>
      </c>
      <c r="ET82" s="12" t="str">
        <f>IF($A82="","",SUMIFS('Nursing Charges'!$I:$I,'Nursing Charges'!$A:$A,$A82,'Nursing Charges'!$C:$C,15))</f>
        <v/>
      </c>
      <c r="EU82" s="12" t="str">
        <f>IF($A82="","",ER82+(ET82-SUMIFS('Nursing Charges'!$J:$J,'Nursing Charges'!$A:$A,$A82,'Nursing Charges'!$C:$C,15))+(ES82-SUMIFS('Consumable Usage'!$F:$F,'Consumable Usage'!$A:$A,$A82,'Consumable Usage'!$D:$D,15)))</f>
        <v/>
      </c>
      <c r="EV82" s="12" t="str">
        <f t="shared" si="43"/>
        <v/>
      </c>
      <c r="EW82" s="20"/>
      <c r="EX82" s="12" t="str">
        <f t="shared" si="44"/>
        <v/>
      </c>
      <c r="EY82" s="45" t="str">
        <f t="shared" si="45"/>
        <v/>
      </c>
      <c r="EZ82" s="15"/>
      <c r="FA82" s="15"/>
      <c r="FB82" s="20"/>
      <c r="FC82" s="12" t="str">
        <f>IF($A82="","",SUMIFS('Consumable Usage'!$E:$E,'Consumable Usage'!$A:$A,$A82,'Consumable Usage'!$D:$D,16))</f>
        <v/>
      </c>
      <c r="FD82" s="12" t="str">
        <f>IF($A82="","",SUMIFS('Nursing Charges'!$I:$I,'Nursing Charges'!$A:$A,$A82,'Nursing Charges'!$C:$C,16))</f>
        <v/>
      </c>
      <c r="FE82" s="12" t="str">
        <f>IF($A82="","",FB82+(FD82-SUMIFS('Nursing Charges'!$J:$J,'Nursing Charges'!$A:$A,$A82,'Nursing Charges'!$C:$C,16))+(FC82-SUMIFS('Consumable Usage'!$F:$F,'Consumable Usage'!$A:$A,$A82,'Consumable Usage'!$D:$D,16)))</f>
        <v/>
      </c>
      <c r="FF82" s="12" t="str">
        <f t="shared" si="46"/>
        <v/>
      </c>
      <c r="FG82" s="20"/>
      <c r="FH82" s="12" t="str">
        <f t="shared" si="47"/>
        <v/>
      </c>
      <c r="FI82" s="45" t="str">
        <f t="shared" si="48"/>
        <v/>
      </c>
      <c r="FJ82" s="53"/>
      <c r="FK82" s="53"/>
      <c r="FL82" s="63"/>
      <c r="FM82" s="63" t="str">
        <f>IF($A82="","",SUMIFS('Consumable Usage'!$E:$E,'Consumable Usage'!$A:$A,$A82,'Consumable Usage'!$D:$D,16))</f>
        <v/>
      </c>
      <c r="FN82" s="63" t="str">
        <f>IF($A82="","",SUMIFS('Nursing Charges'!$I:$I,'Nursing Charges'!$A:$A,$A82,'Nursing Charges'!$C:$C,16))</f>
        <v/>
      </c>
      <c r="FO82" s="63" t="str">
        <f>IF($A82="","",FL82+(FN82-SUMIFS('Nursing Charges'!$J:$J,'Nursing Charges'!$A:$A,$A82,'Nursing Charges'!$C:$C,16))+(FM82-SUMIFS('Consumable Usage'!$F:$F,'Consumable Usage'!$A:$A,$A82,'Consumable Usage'!$D:$D,16)))</f>
        <v/>
      </c>
      <c r="FP82" s="63" t="str">
        <f t="shared" si="49"/>
        <v/>
      </c>
      <c r="FQ82" s="63"/>
      <c r="FR82" s="63" t="str">
        <f t="shared" si="50"/>
        <v/>
      </c>
      <c r="FS82" s="53" t="str">
        <f t="shared" si="51"/>
        <v/>
      </c>
    </row>
    <row r="83" ht="15.0" customHeight="1">
      <c r="A83" s="15"/>
      <c r="B83" s="15"/>
      <c r="C83" s="15"/>
      <c r="D83" s="15"/>
      <c r="E83" s="15"/>
      <c r="F83" s="15"/>
      <c r="G83" s="15"/>
      <c r="H83" s="20"/>
      <c r="I83" s="12" t="str">
        <f>IF($A83="","",SUMIFS('Consumable Usage'!$E:$E,'Consumable Usage'!$A:$A,$A83,'Consumable Usage'!$D:$D,1))</f>
        <v/>
      </c>
      <c r="J83" s="12" t="str">
        <f>IF($A83="","",SUMIFS('Nursing Charges'!$I:$I,'Nursing Charges'!$A:$A,$A83,'Nursing Charges'!$C:$C,1))</f>
        <v/>
      </c>
      <c r="K83" s="12" t="str">
        <f>IF($A83="","",H83+(J83-SUMIFS('Nursing Charges'!$J:$J,'Nursing Charges'!$A:$A,$A83,'Nursing Charges'!$C:$C,1))+(I83-SUMIFS('Consumable Usage'!$F:$F,'Consumable Usage'!$A:$A,$A83,'Consumable Usage'!$D:$D,1)))</f>
        <v/>
      </c>
      <c r="L83" s="12" t="str">
        <f t="shared" si="1"/>
        <v/>
      </c>
      <c r="M83" s="20"/>
      <c r="N83" s="12" t="str">
        <f t="shared" si="2"/>
        <v/>
      </c>
      <c r="O83" s="45" t="str">
        <f t="shared" si="3"/>
        <v/>
      </c>
      <c r="P83" s="15"/>
      <c r="Q83" s="15"/>
      <c r="R83" s="20"/>
      <c r="S83" s="12" t="str">
        <f>IF($A83="","",SUMIFS('Consumable Usage'!$E:$E,'Consumable Usage'!$A:$A,$A83,'Consumable Usage'!$D:$D,2))</f>
        <v/>
      </c>
      <c r="T83" s="12" t="str">
        <f>IF($A83="","",SUMIFS('Nursing Charges'!$I:$I,'Nursing Charges'!$A:$A,$A83,'Nursing Charges'!$C:$C,2))</f>
        <v/>
      </c>
      <c r="U83" s="12" t="str">
        <f>IF($A83="","",R83+(T83-SUMIFS('Nursing Charges'!$J:$J,'Nursing Charges'!$A:$A,$A83,'Nursing Charges'!$C:$C,2))+(S83-SUMIFS('Consumable Usage'!$F:$F,'Consumable Usage'!$A:$A,$A83,'Consumable Usage'!$D:$D,2)))</f>
        <v/>
      </c>
      <c r="V83" s="12" t="str">
        <f t="shared" si="4"/>
        <v/>
      </c>
      <c r="W83" s="20"/>
      <c r="X83" s="12" t="str">
        <f t="shared" si="5"/>
        <v/>
      </c>
      <c r="Y83" s="45" t="str">
        <f t="shared" si="6"/>
        <v/>
      </c>
      <c r="Z83" s="15"/>
      <c r="AA83" s="15"/>
      <c r="AB83" s="20"/>
      <c r="AC83" s="12" t="str">
        <f>IF($A83="","",SUMIFS('Consumable Usage'!$E:$E,'Consumable Usage'!$A:$A,$A83,'Consumable Usage'!$D:$D,3))</f>
        <v/>
      </c>
      <c r="AD83" s="12" t="str">
        <f>IF($A83="","",SUMIFS('Nursing Charges'!$I:$I,'Nursing Charges'!$A:$A,$A83,'Nursing Charges'!$C:$C,3))</f>
        <v/>
      </c>
      <c r="AE83" s="12" t="str">
        <f>IF($A83="","",AB83+(AD83-SUMIFS('Nursing Charges'!$J:$J,'Nursing Charges'!$A:$A,$A83,'Nursing Charges'!$C:$C,3))+(AC83-SUMIFS('Consumable Usage'!$F:$F,'Consumable Usage'!$A:$A,$A83,'Consumable Usage'!$D:$D,3)))</f>
        <v/>
      </c>
      <c r="AF83" s="12" t="str">
        <f t="shared" si="7"/>
        <v/>
      </c>
      <c r="AG83" s="20"/>
      <c r="AH83" s="12" t="str">
        <f t="shared" si="8"/>
        <v/>
      </c>
      <c r="AI83" s="45" t="str">
        <f t="shared" si="9"/>
        <v/>
      </c>
      <c r="AJ83" s="15"/>
      <c r="AK83" s="15"/>
      <c r="AL83" s="20"/>
      <c r="AM83" s="12" t="str">
        <f>IF($A83="","",SUMIFS('Consumable Usage'!$E:$E,'Consumable Usage'!$A:$A,$A83,'Consumable Usage'!$D:$D,4))</f>
        <v/>
      </c>
      <c r="AN83" s="12" t="str">
        <f>IF($A83="","",SUMIFS('Nursing Charges'!$I:$I,'Nursing Charges'!$A:$A,$A83,'Nursing Charges'!$C:$C,4))</f>
        <v/>
      </c>
      <c r="AO83" s="12" t="str">
        <f>IF($A83="","",AL83+(AN83-SUMIFS('Nursing Charges'!$J:$J,'Nursing Charges'!$A:$A,$A83,'Nursing Charges'!$C:$C,4))+(AM83-SUMIFS('Consumable Usage'!$F:$F,'Consumable Usage'!$A:$A,$A83,'Consumable Usage'!$D:$D,4)))</f>
        <v/>
      </c>
      <c r="AP83" s="12" t="str">
        <f t="shared" si="10"/>
        <v/>
      </c>
      <c r="AQ83" s="20"/>
      <c r="AR83" s="12" t="str">
        <f t="shared" si="11"/>
        <v/>
      </c>
      <c r="AS83" s="45" t="str">
        <f t="shared" si="12"/>
        <v/>
      </c>
      <c r="AT83" s="15"/>
      <c r="AU83" s="15"/>
      <c r="AV83" s="20"/>
      <c r="AW83" s="12" t="str">
        <f>IF($A83="","",SUMIFS('Consumable Usage'!$E:$E,'Consumable Usage'!$A:$A,$A83,'Consumable Usage'!$D:$D,5))</f>
        <v/>
      </c>
      <c r="AX83" s="12" t="str">
        <f>IF($A83="","",SUMIFS('Nursing Charges'!$I:$I,'Nursing Charges'!$A:$A,$A83,'Nursing Charges'!$C:$C,5))</f>
        <v/>
      </c>
      <c r="AY83" s="12" t="str">
        <f>IF($A83="","",AV83+(AX83-SUMIFS('Nursing Charges'!$J:$J,'Nursing Charges'!$A:$A,$A83,'Nursing Charges'!$C:$C,5))+(AW83-SUMIFS('Consumable Usage'!$F:$F,'Consumable Usage'!$A:$A,$A83,'Consumable Usage'!$D:$D,5)))</f>
        <v/>
      </c>
      <c r="AZ83" s="12" t="str">
        <f t="shared" si="13"/>
        <v/>
      </c>
      <c r="BA83" s="20"/>
      <c r="BB83" s="12" t="str">
        <f t="shared" si="14"/>
        <v/>
      </c>
      <c r="BC83" s="45" t="str">
        <f t="shared" si="15"/>
        <v/>
      </c>
      <c r="BD83" s="15"/>
      <c r="BE83" s="15"/>
      <c r="BF83" s="20"/>
      <c r="BG83" s="12" t="str">
        <f>IF($A83="","",SUMIFS('Consumable Usage'!$E:$E,'Consumable Usage'!$A:$A,$A83,'Consumable Usage'!$D:$D,6))</f>
        <v/>
      </c>
      <c r="BH83" s="12" t="str">
        <f>IF($A83="","",SUMIFS('Nursing Charges'!$I:$I,'Nursing Charges'!$A:$A,$A83,'Nursing Charges'!$C:$C,6))</f>
        <v/>
      </c>
      <c r="BI83" s="12" t="str">
        <f>IF($A83="","",BF83+(BH83-SUMIFS('Nursing Charges'!$J:$J,'Nursing Charges'!$A:$A,$A83,'Nursing Charges'!$C:$C,6))+(BG83-SUMIFS('Consumable Usage'!$F:$F,'Consumable Usage'!$A:$A,$A83,'Consumable Usage'!$D:$D,6)))</f>
        <v/>
      </c>
      <c r="BJ83" s="12" t="str">
        <f t="shared" si="16"/>
        <v/>
      </c>
      <c r="BK83" s="20"/>
      <c r="BL83" s="12" t="str">
        <f t="shared" si="17"/>
        <v/>
      </c>
      <c r="BM83" s="45" t="str">
        <f t="shared" si="18"/>
        <v/>
      </c>
      <c r="BN83" s="15"/>
      <c r="BO83" s="15"/>
      <c r="BP83" s="20"/>
      <c r="BQ83" s="12" t="str">
        <f>IF($A83="","",SUMIFS('Consumable Usage'!$E:$E,'Consumable Usage'!$A:$A,$A83,'Consumable Usage'!$D:$D,7))</f>
        <v/>
      </c>
      <c r="BR83" s="12" t="str">
        <f>IF($A83="","",SUMIFS('Nursing Charges'!$I:$I,'Nursing Charges'!$A:$A,$A83,'Nursing Charges'!$C:$C,7))</f>
        <v/>
      </c>
      <c r="BS83" s="12" t="str">
        <f>IF($A83="","",BP83+(BR83-SUMIFS('Nursing Charges'!$J:$J,'Nursing Charges'!$A:$A,$A83,'Nursing Charges'!$C:$C,7))+(BQ83-SUMIFS('Consumable Usage'!$F:$F,'Consumable Usage'!$A:$A,$A83,'Consumable Usage'!$D:$D,7)))</f>
        <v/>
      </c>
      <c r="BT83" s="12" t="str">
        <f t="shared" si="19"/>
        <v/>
      </c>
      <c r="BU83" s="20"/>
      <c r="BV83" s="12" t="str">
        <f t="shared" si="20"/>
        <v/>
      </c>
      <c r="BW83" s="45" t="str">
        <f t="shared" si="21"/>
        <v/>
      </c>
      <c r="BX83" s="15"/>
      <c r="BY83" s="15"/>
      <c r="BZ83" s="20"/>
      <c r="CA83" s="12" t="str">
        <f>IF($A83="","",SUMIFS('Consumable Usage'!$E:$E,'Consumable Usage'!$A:$A,$A83,'Consumable Usage'!$D:$D,8))</f>
        <v/>
      </c>
      <c r="CB83" s="12" t="str">
        <f>IF($A83="","",SUMIFS('Nursing Charges'!$I:$I,'Nursing Charges'!$A:$A,$A83,'Nursing Charges'!$C:$C,8))</f>
        <v/>
      </c>
      <c r="CC83" s="12" t="str">
        <f>IF($A83="","",BZ83+(CB83-SUMIFS('Nursing Charges'!$J:$J,'Nursing Charges'!$A:$A,$A83,'Nursing Charges'!$C:$C,8))+(CA83-SUMIFS('Consumable Usage'!$F:$F,'Consumable Usage'!$A:$A,$A83,'Consumable Usage'!$D:$D,8)))</f>
        <v/>
      </c>
      <c r="CD83" s="12" t="str">
        <f t="shared" si="22"/>
        <v/>
      </c>
      <c r="CE83" s="20"/>
      <c r="CF83" s="12" t="str">
        <f t="shared" si="23"/>
        <v/>
      </c>
      <c r="CG83" s="45" t="str">
        <f t="shared" si="24"/>
        <v/>
      </c>
      <c r="CH83" s="15"/>
      <c r="CI83" s="15"/>
      <c r="CJ83" s="20"/>
      <c r="CK83" s="12" t="str">
        <f>IF($A83="","",SUMIFS('Consumable Usage'!$E:$E,'Consumable Usage'!$A:$A,$A83,'Consumable Usage'!$D:$D,9))</f>
        <v/>
      </c>
      <c r="CL83" s="12" t="str">
        <f>IF($A83="","",SUMIFS('Nursing Charges'!$I:$I,'Nursing Charges'!$A:$A,$A83,'Nursing Charges'!$C:$C,9))</f>
        <v/>
      </c>
      <c r="CM83" s="12" t="str">
        <f>IF($A83="","",CJ83+(CL83-SUMIFS('Nursing Charges'!$J:$J,'Nursing Charges'!$A:$A,$A83,'Nursing Charges'!$C:$C,9))+(CK83-SUMIFS('Consumable Usage'!$F:$F,'Consumable Usage'!$A:$A,$A83,'Consumable Usage'!$D:$D,9)))</f>
        <v/>
      </c>
      <c r="CN83" s="12" t="str">
        <f t="shared" si="25"/>
        <v/>
      </c>
      <c r="CO83" s="20"/>
      <c r="CP83" s="12" t="str">
        <f t="shared" si="26"/>
        <v/>
      </c>
      <c r="CQ83" s="45" t="str">
        <f t="shared" si="27"/>
        <v/>
      </c>
      <c r="CR83" s="15"/>
      <c r="CS83" s="15"/>
      <c r="CT83" s="20"/>
      <c r="CU83" s="12" t="str">
        <f>IF($A83="","",SUMIFS('Consumable Usage'!$E:$E,'Consumable Usage'!$A:$A,$A83,'Consumable Usage'!$D:$D,10))</f>
        <v/>
      </c>
      <c r="CV83" s="12" t="str">
        <f>IF($A83="","",SUMIFS('Nursing Charges'!$I:$I,'Nursing Charges'!$A:$A,$A83,'Nursing Charges'!$C:$C,10))</f>
        <v/>
      </c>
      <c r="CW83" s="12" t="str">
        <f>IF($A83="","",CT83+(CV83-SUMIFS('Nursing Charges'!$J:$J,'Nursing Charges'!$A:$A,$A83,'Nursing Charges'!$C:$C,10))+(CU83-SUMIFS('Consumable Usage'!$F:$F,'Consumable Usage'!$A:$A,$A83,'Consumable Usage'!$D:$D,10)))</f>
        <v/>
      </c>
      <c r="CX83" s="12" t="str">
        <f t="shared" si="28"/>
        <v/>
      </c>
      <c r="CY83" s="20"/>
      <c r="CZ83" s="12" t="str">
        <f t="shared" si="29"/>
        <v/>
      </c>
      <c r="DA83" s="45" t="str">
        <f t="shared" si="30"/>
        <v/>
      </c>
      <c r="DB83" s="15"/>
      <c r="DC83" s="15"/>
      <c r="DD83" s="20"/>
      <c r="DE83" s="12" t="str">
        <f>IF($A83="","",SUMIFS('Consumable Usage'!$E:$E,'Consumable Usage'!$A:$A,$A83,'Consumable Usage'!$D:$D,11))</f>
        <v/>
      </c>
      <c r="DF83" s="12" t="str">
        <f>IF($A83="","",SUMIFS('Nursing Charges'!$I:$I,'Nursing Charges'!$A:$A,$A83,'Nursing Charges'!$C:$C,11))</f>
        <v/>
      </c>
      <c r="DG83" s="12" t="str">
        <f>IF($A83="","",DD83+(DF83-SUMIFS('Nursing Charges'!$J:$J,'Nursing Charges'!$A:$A,$A83,'Nursing Charges'!$C:$C,11))+(DE83-SUMIFS('Consumable Usage'!$F:$F,'Consumable Usage'!$A:$A,$A83,'Consumable Usage'!$D:$D,11)))</f>
        <v/>
      </c>
      <c r="DH83" s="12" t="str">
        <f t="shared" si="31"/>
        <v/>
      </c>
      <c r="DI83" s="20"/>
      <c r="DJ83" s="12" t="str">
        <f t="shared" si="32"/>
        <v/>
      </c>
      <c r="DK83" s="45" t="str">
        <f t="shared" si="33"/>
        <v/>
      </c>
      <c r="DL83" s="15"/>
      <c r="DM83" s="15"/>
      <c r="DN83" s="20"/>
      <c r="DO83" s="12" t="str">
        <f>IF($A83="","",SUMIFS('Consumable Usage'!$E:$E,'Consumable Usage'!$A:$A,$A83,'Consumable Usage'!$D:$D,12))</f>
        <v/>
      </c>
      <c r="DP83" s="12" t="str">
        <f>IF($A83="","",SUMIFS('Nursing Charges'!$I:$I,'Nursing Charges'!$A:$A,$A83,'Nursing Charges'!$C:$C,12))</f>
        <v/>
      </c>
      <c r="DQ83" s="12" t="str">
        <f>IF($A83="","",DN83+(DP83-SUMIFS('Nursing Charges'!$J:$J,'Nursing Charges'!$A:$A,$A83,'Nursing Charges'!$C:$C,12))+(DO83-SUMIFS('Consumable Usage'!$F:$F,'Consumable Usage'!$A:$A,$A83,'Consumable Usage'!$D:$D,12)))</f>
        <v/>
      </c>
      <c r="DR83" s="12" t="str">
        <f t="shared" si="34"/>
        <v/>
      </c>
      <c r="DS83" s="20"/>
      <c r="DT83" s="12" t="str">
        <f t="shared" si="35"/>
        <v/>
      </c>
      <c r="DU83" s="45" t="str">
        <f t="shared" si="36"/>
        <v/>
      </c>
      <c r="DV83" s="15"/>
      <c r="DW83" s="15"/>
      <c r="DX83" s="20"/>
      <c r="DY83" s="12" t="str">
        <f>IF($A83="","",SUMIFS('Consumable Usage'!$E:$E,'Consumable Usage'!$A:$A,$A83,'Consumable Usage'!$D:$D,13))</f>
        <v/>
      </c>
      <c r="DZ83" s="12" t="str">
        <f>IF($A83="","",SUMIFS('Nursing Charges'!$I:$I,'Nursing Charges'!$A:$A,$A83,'Nursing Charges'!$C:$C,13))</f>
        <v/>
      </c>
      <c r="EA83" s="12" t="str">
        <f>IF($A83="","",DX83+(DZ83-SUMIFS('Nursing Charges'!$J:$J,'Nursing Charges'!$A:$A,$A83,'Nursing Charges'!$C:$C,13))+(DY83-SUMIFS('Consumable Usage'!$F:$F,'Consumable Usage'!$A:$A,$A83,'Consumable Usage'!$D:$D,13)))</f>
        <v/>
      </c>
      <c r="EB83" s="12" t="str">
        <f t="shared" si="37"/>
        <v/>
      </c>
      <c r="EC83" s="20"/>
      <c r="ED83" s="12" t="str">
        <f t="shared" si="38"/>
        <v/>
      </c>
      <c r="EE83" s="45" t="str">
        <f t="shared" si="39"/>
        <v/>
      </c>
      <c r="EF83" s="15"/>
      <c r="EG83" s="15"/>
      <c r="EH83" s="20"/>
      <c r="EI83" s="12" t="str">
        <f>IF($A83="","",SUMIFS('Consumable Usage'!$E:$E,'Consumable Usage'!$A:$A,$A83,'Consumable Usage'!$D:$D,14))</f>
        <v/>
      </c>
      <c r="EJ83" s="12" t="str">
        <f>IF($A83="","",SUMIFS('Nursing Charges'!$I:$I,'Nursing Charges'!$A:$A,$A83,'Nursing Charges'!$C:$C,14))</f>
        <v/>
      </c>
      <c r="EK83" s="12" t="str">
        <f>IF($A83="","",EH83+(EJ83-SUMIFS('Nursing Charges'!$J:$J,'Nursing Charges'!$A:$A,$A83,'Nursing Charges'!$C:$C,14))+(EI83-SUMIFS('Consumable Usage'!$F:$F,'Consumable Usage'!$A:$A,$A83,'Consumable Usage'!$D:$D,14)))</f>
        <v/>
      </c>
      <c r="EL83" s="12" t="str">
        <f t="shared" si="40"/>
        <v/>
      </c>
      <c r="EM83" s="20"/>
      <c r="EN83" s="12" t="str">
        <f t="shared" si="41"/>
        <v/>
      </c>
      <c r="EO83" s="45" t="str">
        <f t="shared" si="42"/>
        <v/>
      </c>
      <c r="EP83" s="15"/>
      <c r="EQ83" s="15"/>
      <c r="ER83" s="20"/>
      <c r="ES83" s="12" t="str">
        <f>IF($A83="","",SUMIFS('Consumable Usage'!$E:$E,'Consumable Usage'!$A:$A,$A83,'Consumable Usage'!$D:$D,15))</f>
        <v/>
      </c>
      <c r="ET83" s="12" t="str">
        <f>IF($A83="","",SUMIFS('Nursing Charges'!$I:$I,'Nursing Charges'!$A:$A,$A83,'Nursing Charges'!$C:$C,15))</f>
        <v/>
      </c>
      <c r="EU83" s="12" t="str">
        <f>IF($A83="","",ER83+(ET83-SUMIFS('Nursing Charges'!$J:$J,'Nursing Charges'!$A:$A,$A83,'Nursing Charges'!$C:$C,15))+(ES83-SUMIFS('Consumable Usage'!$F:$F,'Consumable Usage'!$A:$A,$A83,'Consumable Usage'!$D:$D,15)))</f>
        <v/>
      </c>
      <c r="EV83" s="12" t="str">
        <f t="shared" si="43"/>
        <v/>
      </c>
      <c r="EW83" s="20"/>
      <c r="EX83" s="12" t="str">
        <f t="shared" si="44"/>
        <v/>
      </c>
      <c r="EY83" s="45" t="str">
        <f t="shared" si="45"/>
        <v/>
      </c>
      <c r="EZ83" s="15"/>
      <c r="FA83" s="15"/>
      <c r="FB83" s="20"/>
      <c r="FC83" s="12" t="str">
        <f>IF($A83="","",SUMIFS('Consumable Usage'!$E:$E,'Consumable Usage'!$A:$A,$A83,'Consumable Usage'!$D:$D,16))</f>
        <v/>
      </c>
      <c r="FD83" s="12" t="str">
        <f>IF($A83="","",SUMIFS('Nursing Charges'!$I:$I,'Nursing Charges'!$A:$A,$A83,'Nursing Charges'!$C:$C,16))</f>
        <v/>
      </c>
      <c r="FE83" s="12" t="str">
        <f>IF($A83="","",FB83+(FD83-SUMIFS('Nursing Charges'!$J:$J,'Nursing Charges'!$A:$A,$A83,'Nursing Charges'!$C:$C,16))+(FC83-SUMIFS('Consumable Usage'!$F:$F,'Consumable Usage'!$A:$A,$A83,'Consumable Usage'!$D:$D,16)))</f>
        <v/>
      </c>
      <c r="FF83" s="12" t="str">
        <f t="shared" si="46"/>
        <v/>
      </c>
      <c r="FG83" s="20"/>
      <c r="FH83" s="12" t="str">
        <f t="shared" si="47"/>
        <v/>
      </c>
      <c r="FI83" s="45" t="str">
        <f t="shared" si="48"/>
        <v/>
      </c>
      <c r="FJ83" s="53"/>
      <c r="FK83" s="53"/>
      <c r="FL83" s="63"/>
      <c r="FM83" s="63" t="str">
        <f>IF($A83="","",SUMIFS('Consumable Usage'!$E:$E,'Consumable Usage'!$A:$A,$A83,'Consumable Usage'!$D:$D,16))</f>
        <v/>
      </c>
      <c r="FN83" s="63" t="str">
        <f>IF($A83="","",SUMIFS('Nursing Charges'!$I:$I,'Nursing Charges'!$A:$A,$A83,'Nursing Charges'!$C:$C,16))</f>
        <v/>
      </c>
      <c r="FO83" s="63" t="str">
        <f>IF($A83="","",FL83+(FN83-SUMIFS('Nursing Charges'!$J:$J,'Nursing Charges'!$A:$A,$A83,'Nursing Charges'!$C:$C,16))+(FM83-SUMIFS('Consumable Usage'!$F:$F,'Consumable Usage'!$A:$A,$A83,'Consumable Usage'!$D:$D,16)))</f>
        <v/>
      </c>
      <c r="FP83" s="63" t="str">
        <f t="shared" si="49"/>
        <v/>
      </c>
      <c r="FQ83" s="63"/>
      <c r="FR83" s="63" t="str">
        <f t="shared" si="50"/>
        <v/>
      </c>
      <c r="FS83" s="53" t="str">
        <f t="shared" si="51"/>
        <v/>
      </c>
    </row>
    <row r="84" ht="15.0" customHeight="1">
      <c r="A84" s="15"/>
      <c r="B84" s="15"/>
      <c r="C84" s="15"/>
      <c r="D84" s="15"/>
      <c r="E84" s="15"/>
      <c r="F84" s="15"/>
      <c r="G84" s="15"/>
      <c r="H84" s="20"/>
      <c r="I84" s="12" t="str">
        <f>IF($A84="","",SUMIFS('Consumable Usage'!$E:$E,'Consumable Usage'!$A:$A,$A84,'Consumable Usage'!$D:$D,1))</f>
        <v/>
      </c>
      <c r="J84" s="12" t="str">
        <f>IF($A84="","",SUMIFS('Nursing Charges'!$I:$I,'Nursing Charges'!$A:$A,$A84,'Nursing Charges'!$C:$C,1))</f>
        <v/>
      </c>
      <c r="K84" s="12" t="str">
        <f>IF($A84="","",H84+(J84-SUMIFS('Nursing Charges'!$J:$J,'Nursing Charges'!$A:$A,$A84,'Nursing Charges'!$C:$C,1))+(I84-SUMIFS('Consumable Usage'!$F:$F,'Consumable Usage'!$A:$A,$A84,'Consumable Usage'!$D:$D,1)))</f>
        <v/>
      </c>
      <c r="L84" s="12" t="str">
        <f t="shared" si="1"/>
        <v/>
      </c>
      <c r="M84" s="20"/>
      <c r="N84" s="12" t="str">
        <f t="shared" si="2"/>
        <v/>
      </c>
      <c r="O84" s="45" t="str">
        <f t="shared" si="3"/>
        <v/>
      </c>
      <c r="P84" s="15"/>
      <c r="Q84" s="15"/>
      <c r="R84" s="20"/>
      <c r="S84" s="12" t="str">
        <f>IF($A84="","",SUMIFS('Consumable Usage'!$E:$E,'Consumable Usage'!$A:$A,$A84,'Consumable Usage'!$D:$D,2))</f>
        <v/>
      </c>
      <c r="T84" s="12" t="str">
        <f>IF($A84="","",SUMIFS('Nursing Charges'!$I:$I,'Nursing Charges'!$A:$A,$A84,'Nursing Charges'!$C:$C,2))</f>
        <v/>
      </c>
      <c r="U84" s="12" t="str">
        <f>IF($A84="","",R84+(T84-SUMIFS('Nursing Charges'!$J:$J,'Nursing Charges'!$A:$A,$A84,'Nursing Charges'!$C:$C,2))+(S84-SUMIFS('Consumable Usage'!$F:$F,'Consumable Usage'!$A:$A,$A84,'Consumable Usage'!$D:$D,2)))</f>
        <v/>
      </c>
      <c r="V84" s="12" t="str">
        <f t="shared" si="4"/>
        <v/>
      </c>
      <c r="W84" s="20"/>
      <c r="X84" s="12" t="str">
        <f t="shared" si="5"/>
        <v/>
      </c>
      <c r="Y84" s="45" t="str">
        <f t="shared" si="6"/>
        <v/>
      </c>
      <c r="Z84" s="15"/>
      <c r="AA84" s="15"/>
      <c r="AB84" s="20"/>
      <c r="AC84" s="12" t="str">
        <f>IF($A84="","",SUMIFS('Consumable Usage'!$E:$E,'Consumable Usage'!$A:$A,$A84,'Consumable Usage'!$D:$D,3))</f>
        <v/>
      </c>
      <c r="AD84" s="12" t="str">
        <f>IF($A84="","",SUMIFS('Nursing Charges'!$I:$I,'Nursing Charges'!$A:$A,$A84,'Nursing Charges'!$C:$C,3))</f>
        <v/>
      </c>
      <c r="AE84" s="12" t="str">
        <f>IF($A84="","",AB84+(AD84-SUMIFS('Nursing Charges'!$J:$J,'Nursing Charges'!$A:$A,$A84,'Nursing Charges'!$C:$C,3))+(AC84-SUMIFS('Consumable Usage'!$F:$F,'Consumable Usage'!$A:$A,$A84,'Consumable Usage'!$D:$D,3)))</f>
        <v/>
      </c>
      <c r="AF84" s="12" t="str">
        <f t="shared" si="7"/>
        <v/>
      </c>
      <c r="AG84" s="20"/>
      <c r="AH84" s="12" t="str">
        <f t="shared" si="8"/>
        <v/>
      </c>
      <c r="AI84" s="45" t="str">
        <f t="shared" si="9"/>
        <v/>
      </c>
      <c r="AJ84" s="15"/>
      <c r="AK84" s="15"/>
      <c r="AL84" s="20"/>
      <c r="AM84" s="12" t="str">
        <f>IF($A84="","",SUMIFS('Consumable Usage'!$E:$E,'Consumable Usage'!$A:$A,$A84,'Consumable Usage'!$D:$D,4))</f>
        <v/>
      </c>
      <c r="AN84" s="12" t="str">
        <f>IF($A84="","",SUMIFS('Nursing Charges'!$I:$I,'Nursing Charges'!$A:$A,$A84,'Nursing Charges'!$C:$C,4))</f>
        <v/>
      </c>
      <c r="AO84" s="12" t="str">
        <f>IF($A84="","",AL84+(AN84-SUMIFS('Nursing Charges'!$J:$J,'Nursing Charges'!$A:$A,$A84,'Nursing Charges'!$C:$C,4))+(AM84-SUMIFS('Consumable Usage'!$F:$F,'Consumable Usage'!$A:$A,$A84,'Consumable Usage'!$D:$D,4)))</f>
        <v/>
      </c>
      <c r="AP84" s="12" t="str">
        <f t="shared" si="10"/>
        <v/>
      </c>
      <c r="AQ84" s="20"/>
      <c r="AR84" s="12" t="str">
        <f t="shared" si="11"/>
        <v/>
      </c>
      <c r="AS84" s="45" t="str">
        <f t="shared" si="12"/>
        <v/>
      </c>
      <c r="AT84" s="15"/>
      <c r="AU84" s="15"/>
      <c r="AV84" s="20"/>
      <c r="AW84" s="12" t="str">
        <f>IF($A84="","",SUMIFS('Consumable Usage'!$E:$E,'Consumable Usage'!$A:$A,$A84,'Consumable Usage'!$D:$D,5))</f>
        <v/>
      </c>
      <c r="AX84" s="12" t="str">
        <f>IF($A84="","",SUMIFS('Nursing Charges'!$I:$I,'Nursing Charges'!$A:$A,$A84,'Nursing Charges'!$C:$C,5))</f>
        <v/>
      </c>
      <c r="AY84" s="12" t="str">
        <f>IF($A84="","",AV84+(AX84-SUMIFS('Nursing Charges'!$J:$J,'Nursing Charges'!$A:$A,$A84,'Nursing Charges'!$C:$C,5))+(AW84-SUMIFS('Consumable Usage'!$F:$F,'Consumable Usage'!$A:$A,$A84,'Consumable Usage'!$D:$D,5)))</f>
        <v/>
      </c>
      <c r="AZ84" s="12" t="str">
        <f t="shared" si="13"/>
        <v/>
      </c>
      <c r="BA84" s="20"/>
      <c r="BB84" s="12" t="str">
        <f t="shared" si="14"/>
        <v/>
      </c>
      <c r="BC84" s="45" t="str">
        <f t="shared" si="15"/>
        <v/>
      </c>
      <c r="BD84" s="15"/>
      <c r="BE84" s="15"/>
      <c r="BF84" s="20"/>
      <c r="BG84" s="12" t="str">
        <f>IF($A84="","",SUMIFS('Consumable Usage'!$E:$E,'Consumable Usage'!$A:$A,$A84,'Consumable Usage'!$D:$D,6))</f>
        <v/>
      </c>
      <c r="BH84" s="12" t="str">
        <f>IF($A84="","",SUMIFS('Nursing Charges'!$I:$I,'Nursing Charges'!$A:$A,$A84,'Nursing Charges'!$C:$C,6))</f>
        <v/>
      </c>
      <c r="BI84" s="12" t="str">
        <f>IF($A84="","",BF84+(BH84-SUMIFS('Nursing Charges'!$J:$J,'Nursing Charges'!$A:$A,$A84,'Nursing Charges'!$C:$C,6))+(BG84-SUMIFS('Consumable Usage'!$F:$F,'Consumable Usage'!$A:$A,$A84,'Consumable Usage'!$D:$D,6)))</f>
        <v/>
      </c>
      <c r="BJ84" s="12" t="str">
        <f t="shared" si="16"/>
        <v/>
      </c>
      <c r="BK84" s="20"/>
      <c r="BL84" s="12" t="str">
        <f t="shared" si="17"/>
        <v/>
      </c>
      <c r="BM84" s="45" t="str">
        <f t="shared" si="18"/>
        <v/>
      </c>
      <c r="BN84" s="15"/>
      <c r="BO84" s="15"/>
      <c r="BP84" s="20"/>
      <c r="BQ84" s="12" t="str">
        <f>IF($A84="","",SUMIFS('Consumable Usage'!$E:$E,'Consumable Usage'!$A:$A,$A84,'Consumable Usage'!$D:$D,7))</f>
        <v/>
      </c>
      <c r="BR84" s="12" t="str">
        <f>IF($A84="","",SUMIFS('Nursing Charges'!$I:$I,'Nursing Charges'!$A:$A,$A84,'Nursing Charges'!$C:$C,7))</f>
        <v/>
      </c>
      <c r="BS84" s="12" t="str">
        <f>IF($A84="","",BP84+(BR84-SUMIFS('Nursing Charges'!$J:$J,'Nursing Charges'!$A:$A,$A84,'Nursing Charges'!$C:$C,7))+(BQ84-SUMIFS('Consumable Usage'!$F:$F,'Consumable Usage'!$A:$A,$A84,'Consumable Usage'!$D:$D,7)))</f>
        <v/>
      </c>
      <c r="BT84" s="12" t="str">
        <f t="shared" si="19"/>
        <v/>
      </c>
      <c r="BU84" s="20"/>
      <c r="BV84" s="12" t="str">
        <f t="shared" si="20"/>
        <v/>
      </c>
      <c r="BW84" s="45" t="str">
        <f t="shared" si="21"/>
        <v/>
      </c>
      <c r="BX84" s="15"/>
      <c r="BY84" s="15"/>
      <c r="BZ84" s="20"/>
      <c r="CA84" s="12" t="str">
        <f>IF($A84="","",SUMIFS('Consumable Usage'!$E:$E,'Consumable Usage'!$A:$A,$A84,'Consumable Usage'!$D:$D,8))</f>
        <v/>
      </c>
      <c r="CB84" s="12" t="str">
        <f>IF($A84="","",SUMIFS('Nursing Charges'!$I:$I,'Nursing Charges'!$A:$A,$A84,'Nursing Charges'!$C:$C,8))</f>
        <v/>
      </c>
      <c r="CC84" s="12" t="str">
        <f>IF($A84="","",BZ84+(CB84-SUMIFS('Nursing Charges'!$J:$J,'Nursing Charges'!$A:$A,$A84,'Nursing Charges'!$C:$C,8))+(CA84-SUMIFS('Consumable Usage'!$F:$F,'Consumable Usage'!$A:$A,$A84,'Consumable Usage'!$D:$D,8)))</f>
        <v/>
      </c>
      <c r="CD84" s="12" t="str">
        <f t="shared" si="22"/>
        <v/>
      </c>
      <c r="CE84" s="20"/>
      <c r="CF84" s="12" t="str">
        <f t="shared" si="23"/>
        <v/>
      </c>
      <c r="CG84" s="45" t="str">
        <f t="shared" si="24"/>
        <v/>
      </c>
      <c r="CH84" s="15"/>
      <c r="CI84" s="15"/>
      <c r="CJ84" s="20"/>
      <c r="CK84" s="12" t="str">
        <f>IF($A84="","",SUMIFS('Consumable Usage'!$E:$E,'Consumable Usage'!$A:$A,$A84,'Consumable Usage'!$D:$D,9))</f>
        <v/>
      </c>
      <c r="CL84" s="12" t="str">
        <f>IF($A84="","",SUMIFS('Nursing Charges'!$I:$I,'Nursing Charges'!$A:$A,$A84,'Nursing Charges'!$C:$C,9))</f>
        <v/>
      </c>
      <c r="CM84" s="12" t="str">
        <f>IF($A84="","",CJ84+(CL84-SUMIFS('Nursing Charges'!$J:$J,'Nursing Charges'!$A:$A,$A84,'Nursing Charges'!$C:$C,9))+(CK84-SUMIFS('Consumable Usage'!$F:$F,'Consumable Usage'!$A:$A,$A84,'Consumable Usage'!$D:$D,9)))</f>
        <v/>
      </c>
      <c r="CN84" s="12" t="str">
        <f t="shared" si="25"/>
        <v/>
      </c>
      <c r="CO84" s="20"/>
      <c r="CP84" s="12" t="str">
        <f t="shared" si="26"/>
        <v/>
      </c>
      <c r="CQ84" s="45" t="str">
        <f t="shared" si="27"/>
        <v/>
      </c>
      <c r="CR84" s="15"/>
      <c r="CS84" s="15"/>
      <c r="CT84" s="20"/>
      <c r="CU84" s="12" t="str">
        <f>IF($A84="","",SUMIFS('Consumable Usage'!$E:$E,'Consumable Usage'!$A:$A,$A84,'Consumable Usage'!$D:$D,10))</f>
        <v/>
      </c>
      <c r="CV84" s="12" t="str">
        <f>IF($A84="","",SUMIFS('Nursing Charges'!$I:$I,'Nursing Charges'!$A:$A,$A84,'Nursing Charges'!$C:$C,10))</f>
        <v/>
      </c>
      <c r="CW84" s="12" t="str">
        <f>IF($A84="","",CT84+(CV84-SUMIFS('Nursing Charges'!$J:$J,'Nursing Charges'!$A:$A,$A84,'Nursing Charges'!$C:$C,10))+(CU84-SUMIFS('Consumable Usage'!$F:$F,'Consumable Usage'!$A:$A,$A84,'Consumable Usage'!$D:$D,10)))</f>
        <v/>
      </c>
      <c r="CX84" s="12" t="str">
        <f t="shared" si="28"/>
        <v/>
      </c>
      <c r="CY84" s="20"/>
      <c r="CZ84" s="12" t="str">
        <f t="shared" si="29"/>
        <v/>
      </c>
      <c r="DA84" s="45" t="str">
        <f t="shared" si="30"/>
        <v/>
      </c>
      <c r="DB84" s="15"/>
      <c r="DC84" s="15"/>
      <c r="DD84" s="20"/>
      <c r="DE84" s="12" t="str">
        <f>IF($A84="","",SUMIFS('Consumable Usage'!$E:$E,'Consumable Usage'!$A:$A,$A84,'Consumable Usage'!$D:$D,11))</f>
        <v/>
      </c>
      <c r="DF84" s="12" t="str">
        <f>IF($A84="","",SUMIFS('Nursing Charges'!$I:$I,'Nursing Charges'!$A:$A,$A84,'Nursing Charges'!$C:$C,11))</f>
        <v/>
      </c>
      <c r="DG84" s="12" t="str">
        <f>IF($A84="","",DD84+(DF84-SUMIFS('Nursing Charges'!$J:$J,'Nursing Charges'!$A:$A,$A84,'Nursing Charges'!$C:$C,11))+(DE84-SUMIFS('Consumable Usage'!$F:$F,'Consumable Usage'!$A:$A,$A84,'Consumable Usage'!$D:$D,11)))</f>
        <v/>
      </c>
      <c r="DH84" s="12" t="str">
        <f t="shared" si="31"/>
        <v/>
      </c>
      <c r="DI84" s="20"/>
      <c r="DJ84" s="12" t="str">
        <f t="shared" si="32"/>
        <v/>
      </c>
      <c r="DK84" s="45" t="str">
        <f t="shared" si="33"/>
        <v/>
      </c>
      <c r="DL84" s="15"/>
      <c r="DM84" s="15"/>
      <c r="DN84" s="20"/>
      <c r="DO84" s="12" t="str">
        <f>IF($A84="","",SUMIFS('Consumable Usage'!$E:$E,'Consumable Usage'!$A:$A,$A84,'Consumable Usage'!$D:$D,12))</f>
        <v/>
      </c>
      <c r="DP84" s="12" t="str">
        <f>IF($A84="","",SUMIFS('Nursing Charges'!$I:$I,'Nursing Charges'!$A:$A,$A84,'Nursing Charges'!$C:$C,12))</f>
        <v/>
      </c>
      <c r="DQ84" s="12" t="str">
        <f>IF($A84="","",DN84+(DP84-SUMIFS('Nursing Charges'!$J:$J,'Nursing Charges'!$A:$A,$A84,'Nursing Charges'!$C:$C,12))+(DO84-SUMIFS('Consumable Usage'!$F:$F,'Consumable Usage'!$A:$A,$A84,'Consumable Usage'!$D:$D,12)))</f>
        <v/>
      </c>
      <c r="DR84" s="12" t="str">
        <f t="shared" si="34"/>
        <v/>
      </c>
      <c r="DS84" s="20"/>
      <c r="DT84" s="12" t="str">
        <f t="shared" si="35"/>
        <v/>
      </c>
      <c r="DU84" s="45" t="str">
        <f t="shared" si="36"/>
        <v/>
      </c>
      <c r="DV84" s="15"/>
      <c r="DW84" s="15"/>
      <c r="DX84" s="20"/>
      <c r="DY84" s="12" t="str">
        <f>IF($A84="","",SUMIFS('Consumable Usage'!$E:$E,'Consumable Usage'!$A:$A,$A84,'Consumable Usage'!$D:$D,13))</f>
        <v/>
      </c>
      <c r="DZ84" s="12" t="str">
        <f>IF($A84="","",SUMIFS('Nursing Charges'!$I:$I,'Nursing Charges'!$A:$A,$A84,'Nursing Charges'!$C:$C,13))</f>
        <v/>
      </c>
      <c r="EA84" s="12" t="str">
        <f>IF($A84="","",DX84+(DZ84-SUMIFS('Nursing Charges'!$J:$J,'Nursing Charges'!$A:$A,$A84,'Nursing Charges'!$C:$C,13))+(DY84-SUMIFS('Consumable Usage'!$F:$F,'Consumable Usage'!$A:$A,$A84,'Consumable Usage'!$D:$D,13)))</f>
        <v/>
      </c>
      <c r="EB84" s="12" t="str">
        <f t="shared" si="37"/>
        <v/>
      </c>
      <c r="EC84" s="20"/>
      <c r="ED84" s="12" t="str">
        <f t="shared" si="38"/>
        <v/>
      </c>
      <c r="EE84" s="45" t="str">
        <f t="shared" si="39"/>
        <v/>
      </c>
      <c r="EF84" s="15"/>
      <c r="EG84" s="15"/>
      <c r="EH84" s="20"/>
      <c r="EI84" s="12" t="str">
        <f>IF($A84="","",SUMIFS('Consumable Usage'!$E:$E,'Consumable Usage'!$A:$A,$A84,'Consumable Usage'!$D:$D,14))</f>
        <v/>
      </c>
      <c r="EJ84" s="12" t="str">
        <f>IF($A84="","",SUMIFS('Nursing Charges'!$I:$I,'Nursing Charges'!$A:$A,$A84,'Nursing Charges'!$C:$C,14))</f>
        <v/>
      </c>
      <c r="EK84" s="12" t="str">
        <f>IF($A84="","",EH84+(EJ84-SUMIFS('Nursing Charges'!$J:$J,'Nursing Charges'!$A:$A,$A84,'Nursing Charges'!$C:$C,14))+(EI84-SUMIFS('Consumable Usage'!$F:$F,'Consumable Usage'!$A:$A,$A84,'Consumable Usage'!$D:$D,14)))</f>
        <v/>
      </c>
      <c r="EL84" s="12" t="str">
        <f t="shared" si="40"/>
        <v/>
      </c>
      <c r="EM84" s="20"/>
      <c r="EN84" s="12" t="str">
        <f t="shared" si="41"/>
        <v/>
      </c>
      <c r="EO84" s="45" t="str">
        <f t="shared" si="42"/>
        <v/>
      </c>
      <c r="EP84" s="15"/>
      <c r="EQ84" s="15"/>
      <c r="ER84" s="20"/>
      <c r="ES84" s="12" t="str">
        <f>IF($A84="","",SUMIFS('Consumable Usage'!$E:$E,'Consumable Usage'!$A:$A,$A84,'Consumable Usage'!$D:$D,15))</f>
        <v/>
      </c>
      <c r="ET84" s="12" t="str">
        <f>IF($A84="","",SUMIFS('Nursing Charges'!$I:$I,'Nursing Charges'!$A:$A,$A84,'Nursing Charges'!$C:$C,15))</f>
        <v/>
      </c>
      <c r="EU84" s="12" t="str">
        <f>IF($A84="","",ER84+(ET84-SUMIFS('Nursing Charges'!$J:$J,'Nursing Charges'!$A:$A,$A84,'Nursing Charges'!$C:$C,15))+(ES84-SUMIFS('Consumable Usage'!$F:$F,'Consumable Usage'!$A:$A,$A84,'Consumable Usage'!$D:$D,15)))</f>
        <v/>
      </c>
      <c r="EV84" s="12" t="str">
        <f t="shared" si="43"/>
        <v/>
      </c>
      <c r="EW84" s="20"/>
      <c r="EX84" s="12" t="str">
        <f t="shared" si="44"/>
        <v/>
      </c>
      <c r="EY84" s="45" t="str">
        <f t="shared" si="45"/>
        <v/>
      </c>
      <c r="EZ84" s="15"/>
      <c r="FA84" s="15"/>
      <c r="FB84" s="20"/>
      <c r="FC84" s="12" t="str">
        <f>IF($A84="","",SUMIFS('Consumable Usage'!$E:$E,'Consumable Usage'!$A:$A,$A84,'Consumable Usage'!$D:$D,16))</f>
        <v/>
      </c>
      <c r="FD84" s="12" t="str">
        <f>IF($A84="","",SUMIFS('Nursing Charges'!$I:$I,'Nursing Charges'!$A:$A,$A84,'Nursing Charges'!$C:$C,16))</f>
        <v/>
      </c>
      <c r="FE84" s="12" t="str">
        <f>IF($A84="","",FB84+(FD84-SUMIFS('Nursing Charges'!$J:$J,'Nursing Charges'!$A:$A,$A84,'Nursing Charges'!$C:$C,16))+(FC84-SUMIFS('Consumable Usage'!$F:$F,'Consumable Usage'!$A:$A,$A84,'Consumable Usage'!$D:$D,16)))</f>
        <v/>
      </c>
      <c r="FF84" s="12" t="str">
        <f t="shared" si="46"/>
        <v/>
      </c>
      <c r="FG84" s="20"/>
      <c r="FH84" s="12" t="str">
        <f t="shared" si="47"/>
        <v/>
      </c>
      <c r="FI84" s="45" t="str">
        <f t="shared" si="48"/>
        <v/>
      </c>
      <c r="FJ84" s="53"/>
      <c r="FK84" s="53"/>
      <c r="FL84" s="63"/>
      <c r="FM84" s="63" t="str">
        <f>IF($A84="","",SUMIFS('Consumable Usage'!$E:$E,'Consumable Usage'!$A:$A,$A84,'Consumable Usage'!$D:$D,16))</f>
        <v/>
      </c>
      <c r="FN84" s="63" t="str">
        <f>IF($A84="","",SUMIFS('Nursing Charges'!$I:$I,'Nursing Charges'!$A:$A,$A84,'Nursing Charges'!$C:$C,16))</f>
        <v/>
      </c>
      <c r="FO84" s="63" t="str">
        <f>IF($A84="","",FL84+(FN84-SUMIFS('Nursing Charges'!$J:$J,'Nursing Charges'!$A:$A,$A84,'Nursing Charges'!$C:$C,16))+(FM84-SUMIFS('Consumable Usage'!$F:$F,'Consumable Usage'!$A:$A,$A84,'Consumable Usage'!$D:$D,16)))</f>
        <v/>
      </c>
      <c r="FP84" s="63" t="str">
        <f t="shared" si="49"/>
        <v/>
      </c>
      <c r="FQ84" s="63"/>
      <c r="FR84" s="63" t="str">
        <f t="shared" si="50"/>
        <v/>
      </c>
      <c r="FS84" s="53" t="str">
        <f t="shared" si="51"/>
        <v/>
      </c>
    </row>
    <row r="85" ht="15.0" customHeight="1">
      <c r="A85" s="15"/>
      <c r="B85" s="15"/>
      <c r="C85" s="15"/>
      <c r="D85" s="15"/>
      <c r="E85" s="15"/>
      <c r="F85" s="15"/>
      <c r="G85" s="15"/>
      <c r="H85" s="20"/>
      <c r="I85" s="12" t="str">
        <f>IF($A85="","",SUMIFS('Consumable Usage'!$E:$E,'Consumable Usage'!$A:$A,$A85,'Consumable Usage'!$D:$D,1))</f>
        <v/>
      </c>
      <c r="J85" s="12" t="str">
        <f>IF($A85="","",SUMIFS('Nursing Charges'!$I:$I,'Nursing Charges'!$A:$A,$A85,'Nursing Charges'!$C:$C,1))</f>
        <v/>
      </c>
      <c r="K85" s="12" t="str">
        <f>IF($A85="","",H85+(J85-SUMIFS('Nursing Charges'!$J:$J,'Nursing Charges'!$A:$A,$A85,'Nursing Charges'!$C:$C,1))+(I85-SUMIFS('Consumable Usage'!$F:$F,'Consumable Usage'!$A:$A,$A85,'Consumable Usage'!$D:$D,1)))</f>
        <v/>
      </c>
      <c r="L85" s="12" t="str">
        <f t="shared" si="1"/>
        <v/>
      </c>
      <c r="M85" s="20"/>
      <c r="N85" s="12" t="str">
        <f t="shared" si="2"/>
        <v/>
      </c>
      <c r="O85" s="45" t="str">
        <f t="shared" si="3"/>
        <v/>
      </c>
      <c r="P85" s="15"/>
      <c r="Q85" s="15"/>
      <c r="R85" s="20"/>
      <c r="S85" s="12" t="str">
        <f>IF($A85="","",SUMIFS('Consumable Usage'!$E:$E,'Consumable Usage'!$A:$A,$A85,'Consumable Usage'!$D:$D,2))</f>
        <v/>
      </c>
      <c r="T85" s="12" t="str">
        <f>IF($A85="","",SUMIFS('Nursing Charges'!$I:$I,'Nursing Charges'!$A:$A,$A85,'Nursing Charges'!$C:$C,2))</f>
        <v/>
      </c>
      <c r="U85" s="12" t="str">
        <f>IF($A85="","",R85+(T85-SUMIFS('Nursing Charges'!$J:$J,'Nursing Charges'!$A:$A,$A85,'Nursing Charges'!$C:$C,2))+(S85-SUMIFS('Consumable Usage'!$F:$F,'Consumable Usage'!$A:$A,$A85,'Consumable Usage'!$D:$D,2)))</f>
        <v/>
      </c>
      <c r="V85" s="12" t="str">
        <f t="shared" si="4"/>
        <v/>
      </c>
      <c r="W85" s="20"/>
      <c r="X85" s="12" t="str">
        <f t="shared" si="5"/>
        <v/>
      </c>
      <c r="Y85" s="45" t="str">
        <f t="shared" si="6"/>
        <v/>
      </c>
      <c r="Z85" s="15"/>
      <c r="AA85" s="15"/>
      <c r="AB85" s="20"/>
      <c r="AC85" s="12" t="str">
        <f>IF($A85="","",SUMIFS('Consumable Usage'!$E:$E,'Consumable Usage'!$A:$A,$A85,'Consumable Usage'!$D:$D,3))</f>
        <v/>
      </c>
      <c r="AD85" s="12" t="str">
        <f>IF($A85="","",SUMIFS('Nursing Charges'!$I:$I,'Nursing Charges'!$A:$A,$A85,'Nursing Charges'!$C:$C,3))</f>
        <v/>
      </c>
      <c r="AE85" s="12" t="str">
        <f>IF($A85="","",AB85+(AD85-SUMIFS('Nursing Charges'!$J:$J,'Nursing Charges'!$A:$A,$A85,'Nursing Charges'!$C:$C,3))+(AC85-SUMIFS('Consumable Usage'!$F:$F,'Consumable Usage'!$A:$A,$A85,'Consumable Usage'!$D:$D,3)))</f>
        <v/>
      </c>
      <c r="AF85" s="12" t="str">
        <f t="shared" si="7"/>
        <v/>
      </c>
      <c r="AG85" s="20"/>
      <c r="AH85" s="12" t="str">
        <f t="shared" si="8"/>
        <v/>
      </c>
      <c r="AI85" s="45" t="str">
        <f t="shared" si="9"/>
        <v/>
      </c>
      <c r="AJ85" s="15"/>
      <c r="AK85" s="15"/>
      <c r="AL85" s="20"/>
      <c r="AM85" s="12" t="str">
        <f>IF($A85="","",SUMIFS('Consumable Usage'!$E:$E,'Consumable Usage'!$A:$A,$A85,'Consumable Usage'!$D:$D,4))</f>
        <v/>
      </c>
      <c r="AN85" s="12" t="str">
        <f>IF($A85="","",SUMIFS('Nursing Charges'!$I:$I,'Nursing Charges'!$A:$A,$A85,'Nursing Charges'!$C:$C,4))</f>
        <v/>
      </c>
      <c r="AO85" s="12" t="str">
        <f>IF($A85="","",AL85+(AN85-SUMIFS('Nursing Charges'!$J:$J,'Nursing Charges'!$A:$A,$A85,'Nursing Charges'!$C:$C,4))+(AM85-SUMIFS('Consumable Usage'!$F:$F,'Consumable Usage'!$A:$A,$A85,'Consumable Usage'!$D:$D,4)))</f>
        <v/>
      </c>
      <c r="AP85" s="12" t="str">
        <f t="shared" si="10"/>
        <v/>
      </c>
      <c r="AQ85" s="20"/>
      <c r="AR85" s="12" t="str">
        <f t="shared" si="11"/>
        <v/>
      </c>
      <c r="AS85" s="45" t="str">
        <f t="shared" si="12"/>
        <v/>
      </c>
      <c r="AT85" s="15"/>
      <c r="AU85" s="15"/>
      <c r="AV85" s="20"/>
      <c r="AW85" s="12" t="str">
        <f>IF($A85="","",SUMIFS('Consumable Usage'!$E:$E,'Consumable Usage'!$A:$A,$A85,'Consumable Usage'!$D:$D,5))</f>
        <v/>
      </c>
      <c r="AX85" s="12" t="str">
        <f>IF($A85="","",SUMIFS('Nursing Charges'!$I:$I,'Nursing Charges'!$A:$A,$A85,'Nursing Charges'!$C:$C,5))</f>
        <v/>
      </c>
      <c r="AY85" s="12" t="str">
        <f>IF($A85="","",AV85+(AX85-SUMIFS('Nursing Charges'!$J:$J,'Nursing Charges'!$A:$A,$A85,'Nursing Charges'!$C:$C,5))+(AW85-SUMIFS('Consumable Usage'!$F:$F,'Consumable Usage'!$A:$A,$A85,'Consumable Usage'!$D:$D,5)))</f>
        <v/>
      </c>
      <c r="AZ85" s="12" t="str">
        <f t="shared" si="13"/>
        <v/>
      </c>
      <c r="BA85" s="20"/>
      <c r="BB85" s="12" t="str">
        <f t="shared" si="14"/>
        <v/>
      </c>
      <c r="BC85" s="45" t="str">
        <f t="shared" si="15"/>
        <v/>
      </c>
      <c r="BD85" s="15"/>
      <c r="BE85" s="15"/>
      <c r="BF85" s="20"/>
      <c r="BG85" s="12" t="str">
        <f>IF($A85="","",SUMIFS('Consumable Usage'!$E:$E,'Consumable Usage'!$A:$A,$A85,'Consumable Usage'!$D:$D,6))</f>
        <v/>
      </c>
      <c r="BH85" s="12" t="str">
        <f>IF($A85="","",SUMIFS('Nursing Charges'!$I:$I,'Nursing Charges'!$A:$A,$A85,'Nursing Charges'!$C:$C,6))</f>
        <v/>
      </c>
      <c r="BI85" s="12" t="str">
        <f>IF($A85="","",BF85+(BH85-SUMIFS('Nursing Charges'!$J:$J,'Nursing Charges'!$A:$A,$A85,'Nursing Charges'!$C:$C,6))+(BG85-SUMIFS('Consumable Usage'!$F:$F,'Consumable Usage'!$A:$A,$A85,'Consumable Usage'!$D:$D,6)))</f>
        <v/>
      </c>
      <c r="BJ85" s="12" t="str">
        <f t="shared" si="16"/>
        <v/>
      </c>
      <c r="BK85" s="20"/>
      <c r="BL85" s="12" t="str">
        <f t="shared" si="17"/>
        <v/>
      </c>
      <c r="BM85" s="45" t="str">
        <f t="shared" si="18"/>
        <v/>
      </c>
      <c r="BN85" s="15"/>
      <c r="BO85" s="15"/>
      <c r="BP85" s="20"/>
      <c r="BQ85" s="12" t="str">
        <f>IF($A85="","",SUMIFS('Consumable Usage'!$E:$E,'Consumable Usage'!$A:$A,$A85,'Consumable Usage'!$D:$D,7))</f>
        <v/>
      </c>
      <c r="BR85" s="12" t="str">
        <f>IF($A85="","",SUMIFS('Nursing Charges'!$I:$I,'Nursing Charges'!$A:$A,$A85,'Nursing Charges'!$C:$C,7))</f>
        <v/>
      </c>
      <c r="BS85" s="12" t="str">
        <f>IF($A85="","",BP85+(BR85-SUMIFS('Nursing Charges'!$J:$J,'Nursing Charges'!$A:$A,$A85,'Nursing Charges'!$C:$C,7))+(BQ85-SUMIFS('Consumable Usage'!$F:$F,'Consumable Usage'!$A:$A,$A85,'Consumable Usage'!$D:$D,7)))</f>
        <v/>
      </c>
      <c r="BT85" s="12" t="str">
        <f t="shared" si="19"/>
        <v/>
      </c>
      <c r="BU85" s="20"/>
      <c r="BV85" s="12" t="str">
        <f t="shared" si="20"/>
        <v/>
      </c>
      <c r="BW85" s="45" t="str">
        <f t="shared" si="21"/>
        <v/>
      </c>
      <c r="BX85" s="15"/>
      <c r="BY85" s="15"/>
      <c r="BZ85" s="20"/>
      <c r="CA85" s="12" t="str">
        <f>IF($A85="","",SUMIFS('Consumable Usage'!$E:$E,'Consumable Usage'!$A:$A,$A85,'Consumable Usage'!$D:$D,8))</f>
        <v/>
      </c>
      <c r="CB85" s="12" t="str">
        <f>IF($A85="","",SUMIFS('Nursing Charges'!$I:$I,'Nursing Charges'!$A:$A,$A85,'Nursing Charges'!$C:$C,8))</f>
        <v/>
      </c>
      <c r="CC85" s="12" t="str">
        <f>IF($A85="","",BZ85+(CB85-SUMIFS('Nursing Charges'!$J:$J,'Nursing Charges'!$A:$A,$A85,'Nursing Charges'!$C:$C,8))+(CA85-SUMIFS('Consumable Usage'!$F:$F,'Consumable Usage'!$A:$A,$A85,'Consumable Usage'!$D:$D,8)))</f>
        <v/>
      </c>
      <c r="CD85" s="12" t="str">
        <f t="shared" si="22"/>
        <v/>
      </c>
      <c r="CE85" s="20"/>
      <c r="CF85" s="12" t="str">
        <f t="shared" si="23"/>
        <v/>
      </c>
      <c r="CG85" s="45" t="str">
        <f t="shared" si="24"/>
        <v/>
      </c>
      <c r="CH85" s="15"/>
      <c r="CI85" s="15"/>
      <c r="CJ85" s="20"/>
      <c r="CK85" s="12" t="str">
        <f>IF($A85="","",SUMIFS('Consumable Usage'!$E:$E,'Consumable Usage'!$A:$A,$A85,'Consumable Usage'!$D:$D,9))</f>
        <v/>
      </c>
      <c r="CL85" s="12" t="str">
        <f>IF($A85="","",SUMIFS('Nursing Charges'!$I:$I,'Nursing Charges'!$A:$A,$A85,'Nursing Charges'!$C:$C,9))</f>
        <v/>
      </c>
      <c r="CM85" s="12" t="str">
        <f>IF($A85="","",CJ85+(CL85-SUMIFS('Nursing Charges'!$J:$J,'Nursing Charges'!$A:$A,$A85,'Nursing Charges'!$C:$C,9))+(CK85-SUMIFS('Consumable Usage'!$F:$F,'Consumable Usage'!$A:$A,$A85,'Consumable Usage'!$D:$D,9)))</f>
        <v/>
      </c>
      <c r="CN85" s="12" t="str">
        <f t="shared" si="25"/>
        <v/>
      </c>
      <c r="CO85" s="20"/>
      <c r="CP85" s="12" t="str">
        <f t="shared" si="26"/>
        <v/>
      </c>
      <c r="CQ85" s="45" t="str">
        <f t="shared" si="27"/>
        <v/>
      </c>
      <c r="CR85" s="15"/>
      <c r="CS85" s="15"/>
      <c r="CT85" s="20"/>
      <c r="CU85" s="12" t="str">
        <f>IF($A85="","",SUMIFS('Consumable Usage'!$E:$E,'Consumable Usage'!$A:$A,$A85,'Consumable Usage'!$D:$D,10))</f>
        <v/>
      </c>
      <c r="CV85" s="12" t="str">
        <f>IF($A85="","",SUMIFS('Nursing Charges'!$I:$I,'Nursing Charges'!$A:$A,$A85,'Nursing Charges'!$C:$C,10))</f>
        <v/>
      </c>
      <c r="CW85" s="12" t="str">
        <f>IF($A85="","",CT85+(CV85-SUMIFS('Nursing Charges'!$J:$J,'Nursing Charges'!$A:$A,$A85,'Nursing Charges'!$C:$C,10))+(CU85-SUMIFS('Consumable Usage'!$F:$F,'Consumable Usage'!$A:$A,$A85,'Consumable Usage'!$D:$D,10)))</f>
        <v/>
      </c>
      <c r="CX85" s="12" t="str">
        <f t="shared" si="28"/>
        <v/>
      </c>
      <c r="CY85" s="20"/>
      <c r="CZ85" s="12" t="str">
        <f t="shared" si="29"/>
        <v/>
      </c>
      <c r="DA85" s="45" t="str">
        <f t="shared" si="30"/>
        <v/>
      </c>
      <c r="DB85" s="15"/>
      <c r="DC85" s="15"/>
      <c r="DD85" s="20"/>
      <c r="DE85" s="12" t="str">
        <f>IF($A85="","",SUMIFS('Consumable Usage'!$E:$E,'Consumable Usage'!$A:$A,$A85,'Consumable Usage'!$D:$D,11))</f>
        <v/>
      </c>
      <c r="DF85" s="12" t="str">
        <f>IF($A85="","",SUMIFS('Nursing Charges'!$I:$I,'Nursing Charges'!$A:$A,$A85,'Nursing Charges'!$C:$C,11))</f>
        <v/>
      </c>
      <c r="DG85" s="12" t="str">
        <f>IF($A85="","",DD85+(DF85-SUMIFS('Nursing Charges'!$J:$J,'Nursing Charges'!$A:$A,$A85,'Nursing Charges'!$C:$C,11))+(DE85-SUMIFS('Consumable Usage'!$F:$F,'Consumable Usage'!$A:$A,$A85,'Consumable Usage'!$D:$D,11)))</f>
        <v/>
      </c>
      <c r="DH85" s="12" t="str">
        <f t="shared" si="31"/>
        <v/>
      </c>
      <c r="DI85" s="20"/>
      <c r="DJ85" s="12" t="str">
        <f t="shared" si="32"/>
        <v/>
      </c>
      <c r="DK85" s="45" t="str">
        <f t="shared" si="33"/>
        <v/>
      </c>
      <c r="DL85" s="15"/>
      <c r="DM85" s="15"/>
      <c r="DN85" s="20"/>
      <c r="DO85" s="12" t="str">
        <f>IF($A85="","",SUMIFS('Consumable Usage'!$E:$E,'Consumable Usage'!$A:$A,$A85,'Consumable Usage'!$D:$D,12))</f>
        <v/>
      </c>
      <c r="DP85" s="12" t="str">
        <f>IF($A85="","",SUMIFS('Nursing Charges'!$I:$I,'Nursing Charges'!$A:$A,$A85,'Nursing Charges'!$C:$C,12))</f>
        <v/>
      </c>
      <c r="DQ85" s="12" t="str">
        <f>IF($A85="","",DN85+(DP85-SUMIFS('Nursing Charges'!$J:$J,'Nursing Charges'!$A:$A,$A85,'Nursing Charges'!$C:$C,12))+(DO85-SUMIFS('Consumable Usage'!$F:$F,'Consumable Usage'!$A:$A,$A85,'Consumable Usage'!$D:$D,12)))</f>
        <v/>
      </c>
      <c r="DR85" s="12" t="str">
        <f t="shared" si="34"/>
        <v/>
      </c>
      <c r="DS85" s="20"/>
      <c r="DT85" s="12" t="str">
        <f t="shared" si="35"/>
        <v/>
      </c>
      <c r="DU85" s="45" t="str">
        <f t="shared" si="36"/>
        <v/>
      </c>
      <c r="DV85" s="15"/>
      <c r="DW85" s="15"/>
      <c r="DX85" s="20"/>
      <c r="DY85" s="12" t="str">
        <f>IF($A85="","",SUMIFS('Consumable Usage'!$E:$E,'Consumable Usage'!$A:$A,$A85,'Consumable Usage'!$D:$D,13))</f>
        <v/>
      </c>
      <c r="DZ85" s="12" t="str">
        <f>IF($A85="","",SUMIFS('Nursing Charges'!$I:$I,'Nursing Charges'!$A:$A,$A85,'Nursing Charges'!$C:$C,13))</f>
        <v/>
      </c>
      <c r="EA85" s="12" t="str">
        <f>IF($A85="","",DX85+(DZ85-SUMIFS('Nursing Charges'!$J:$J,'Nursing Charges'!$A:$A,$A85,'Nursing Charges'!$C:$C,13))+(DY85-SUMIFS('Consumable Usage'!$F:$F,'Consumable Usage'!$A:$A,$A85,'Consumable Usage'!$D:$D,13)))</f>
        <v/>
      </c>
      <c r="EB85" s="12" t="str">
        <f t="shared" si="37"/>
        <v/>
      </c>
      <c r="EC85" s="20"/>
      <c r="ED85" s="12" t="str">
        <f t="shared" si="38"/>
        <v/>
      </c>
      <c r="EE85" s="45" t="str">
        <f t="shared" si="39"/>
        <v/>
      </c>
      <c r="EF85" s="15"/>
      <c r="EG85" s="15"/>
      <c r="EH85" s="20"/>
      <c r="EI85" s="12" t="str">
        <f>IF($A85="","",SUMIFS('Consumable Usage'!$E:$E,'Consumable Usage'!$A:$A,$A85,'Consumable Usage'!$D:$D,14))</f>
        <v/>
      </c>
      <c r="EJ85" s="12" t="str">
        <f>IF($A85="","",SUMIFS('Nursing Charges'!$I:$I,'Nursing Charges'!$A:$A,$A85,'Nursing Charges'!$C:$C,14))</f>
        <v/>
      </c>
      <c r="EK85" s="12" t="str">
        <f>IF($A85="","",EH85+(EJ85-SUMIFS('Nursing Charges'!$J:$J,'Nursing Charges'!$A:$A,$A85,'Nursing Charges'!$C:$C,14))+(EI85-SUMIFS('Consumable Usage'!$F:$F,'Consumable Usage'!$A:$A,$A85,'Consumable Usage'!$D:$D,14)))</f>
        <v/>
      </c>
      <c r="EL85" s="12" t="str">
        <f t="shared" si="40"/>
        <v/>
      </c>
      <c r="EM85" s="20"/>
      <c r="EN85" s="12" t="str">
        <f t="shared" si="41"/>
        <v/>
      </c>
      <c r="EO85" s="45" t="str">
        <f t="shared" si="42"/>
        <v/>
      </c>
      <c r="EP85" s="15"/>
      <c r="EQ85" s="15"/>
      <c r="ER85" s="20"/>
      <c r="ES85" s="12" t="str">
        <f>IF($A85="","",SUMIFS('Consumable Usage'!$E:$E,'Consumable Usage'!$A:$A,$A85,'Consumable Usage'!$D:$D,15))</f>
        <v/>
      </c>
      <c r="ET85" s="12" t="str">
        <f>IF($A85="","",SUMIFS('Nursing Charges'!$I:$I,'Nursing Charges'!$A:$A,$A85,'Nursing Charges'!$C:$C,15))</f>
        <v/>
      </c>
      <c r="EU85" s="12" t="str">
        <f>IF($A85="","",ER85+(ET85-SUMIFS('Nursing Charges'!$J:$J,'Nursing Charges'!$A:$A,$A85,'Nursing Charges'!$C:$C,15))+(ES85-SUMIFS('Consumable Usage'!$F:$F,'Consumable Usage'!$A:$A,$A85,'Consumable Usage'!$D:$D,15)))</f>
        <v/>
      </c>
      <c r="EV85" s="12" t="str">
        <f t="shared" si="43"/>
        <v/>
      </c>
      <c r="EW85" s="20"/>
      <c r="EX85" s="12" t="str">
        <f t="shared" si="44"/>
        <v/>
      </c>
      <c r="EY85" s="45" t="str">
        <f t="shared" si="45"/>
        <v/>
      </c>
      <c r="EZ85" s="15"/>
      <c r="FA85" s="15"/>
      <c r="FB85" s="20"/>
      <c r="FC85" s="12" t="str">
        <f>IF($A85="","",SUMIFS('Consumable Usage'!$E:$E,'Consumable Usage'!$A:$A,$A85,'Consumable Usage'!$D:$D,16))</f>
        <v/>
      </c>
      <c r="FD85" s="12" t="str">
        <f>IF($A85="","",SUMIFS('Nursing Charges'!$I:$I,'Nursing Charges'!$A:$A,$A85,'Nursing Charges'!$C:$C,16))</f>
        <v/>
      </c>
      <c r="FE85" s="12" t="str">
        <f>IF($A85="","",FB85+(FD85-SUMIFS('Nursing Charges'!$J:$J,'Nursing Charges'!$A:$A,$A85,'Nursing Charges'!$C:$C,16))+(FC85-SUMIFS('Consumable Usage'!$F:$F,'Consumable Usage'!$A:$A,$A85,'Consumable Usage'!$D:$D,16)))</f>
        <v/>
      </c>
      <c r="FF85" s="12" t="str">
        <f t="shared" si="46"/>
        <v/>
      </c>
      <c r="FG85" s="20"/>
      <c r="FH85" s="12" t="str">
        <f t="shared" si="47"/>
        <v/>
      </c>
      <c r="FI85" s="45" t="str">
        <f t="shared" si="48"/>
        <v/>
      </c>
      <c r="FJ85" s="53"/>
      <c r="FK85" s="53"/>
      <c r="FL85" s="63"/>
      <c r="FM85" s="63" t="str">
        <f>IF($A85="","",SUMIFS('Consumable Usage'!$E:$E,'Consumable Usage'!$A:$A,$A85,'Consumable Usage'!$D:$D,16))</f>
        <v/>
      </c>
      <c r="FN85" s="63" t="str">
        <f>IF($A85="","",SUMIFS('Nursing Charges'!$I:$I,'Nursing Charges'!$A:$A,$A85,'Nursing Charges'!$C:$C,16))</f>
        <v/>
      </c>
      <c r="FO85" s="63" t="str">
        <f>IF($A85="","",FL85+(FN85-SUMIFS('Nursing Charges'!$J:$J,'Nursing Charges'!$A:$A,$A85,'Nursing Charges'!$C:$C,16))+(FM85-SUMIFS('Consumable Usage'!$F:$F,'Consumable Usage'!$A:$A,$A85,'Consumable Usage'!$D:$D,16)))</f>
        <v/>
      </c>
      <c r="FP85" s="63" t="str">
        <f t="shared" si="49"/>
        <v/>
      </c>
      <c r="FQ85" s="63"/>
      <c r="FR85" s="63" t="str">
        <f t="shared" si="50"/>
        <v/>
      </c>
      <c r="FS85" s="53" t="str">
        <f t="shared" si="51"/>
        <v/>
      </c>
    </row>
    <row r="86" ht="15.0" customHeight="1">
      <c r="A86" s="15"/>
      <c r="B86" s="15"/>
      <c r="C86" s="15"/>
      <c r="D86" s="15"/>
      <c r="E86" s="15"/>
      <c r="F86" s="15"/>
      <c r="G86" s="15"/>
      <c r="H86" s="20"/>
      <c r="I86" s="12" t="str">
        <f>IF($A86="","",SUMIFS('Consumable Usage'!$E:$E,'Consumable Usage'!$A:$A,$A86,'Consumable Usage'!$D:$D,1))</f>
        <v/>
      </c>
      <c r="J86" s="12" t="str">
        <f>IF($A86="","",SUMIFS('Nursing Charges'!$I:$I,'Nursing Charges'!$A:$A,$A86,'Nursing Charges'!$C:$C,1))</f>
        <v/>
      </c>
      <c r="K86" s="12" t="str">
        <f>IF($A86="","",H86+(J86-SUMIFS('Nursing Charges'!$J:$J,'Nursing Charges'!$A:$A,$A86,'Nursing Charges'!$C:$C,1))+(I86-SUMIFS('Consumable Usage'!$F:$F,'Consumable Usage'!$A:$A,$A86,'Consumable Usage'!$D:$D,1)))</f>
        <v/>
      </c>
      <c r="L86" s="12" t="str">
        <f t="shared" si="1"/>
        <v/>
      </c>
      <c r="M86" s="20"/>
      <c r="N86" s="12" t="str">
        <f t="shared" si="2"/>
        <v/>
      </c>
      <c r="O86" s="45" t="str">
        <f t="shared" si="3"/>
        <v/>
      </c>
      <c r="P86" s="15"/>
      <c r="Q86" s="15"/>
      <c r="R86" s="20"/>
      <c r="S86" s="12" t="str">
        <f>IF($A86="","",SUMIFS('Consumable Usage'!$E:$E,'Consumable Usage'!$A:$A,$A86,'Consumable Usage'!$D:$D,2))</f>
        <v/>
      </c>
      <c r="T86" s="12" t="str">
        <f>IF($A86="","",SUMIFS('Nursing Charges'!$I:$I,'Nursing Charges'!$A:$A,$A86,'Nursing Charges'!$C:$C,2))</f>
        <v/>
      </c>
      <c r="U86" s="12" t="str">
        <f>IF($A86="","",R86+(T86-SUMIFS('Nursing Charges'!$J:$J,'Nursing Charges'!$A:$A,$A86,'Nursing Charges'!$C:$C,2))+(S86-SUMIFS('Consumable Usage'!$F:$F,'Consumable Usage'!$A:$A,$A86,'Consumable Usage'!$D:$D,2)))</f>
        <v/>
      </c>
      <c r="V86" s="12" t="str">
        <f t="shared" si="4"/>
        <v/>
      </c>
      <c r="W86" s="20"/>
      <c r="X86" s="12" t="str">
        <f t="shared" si="5"/>
        <v/>
      </c>
      <c r="Y86" s="45" t="str">
        <f t="shared" si="6"/>
        <v/>
      </c>
      <c r="Z86" s="15"/>
      <c r="AA86" s="15"/>
      <c r="AB86" s="20"/>
      <c r="AC86" s="12" t="str">
        <f>IF($A86="","",SUMIFS('Consumable Usage'!$E:$E,'Consumable Usage'!$A:$A,$A86,'Consumable Usage'!$D:$D,3))</f>
        <v/>
      </c>
      <c r="AD86" s="12" t="str">
        <f>IF($A86="","",SUMIFS('Nursing Charges'!$I:$I,'Nursing Charges'!$A:$A,$A86,'Nursing Charges'!$C:$C,3))</f>
        <v/>
      </c>
      <c r="AE86" s="12" t="str">
        <f>IF($A86="","",AB86+(AD86-SUMIFS('Nursing Charges'!$J:$J,'Nursing Charges'!$A:$A,$A86,'Nursing Charges'!$C:$C,3))+(AC86-SUMIFS('Consumable Usage'!$F:$F,'Consumable Usage'!$A:$A,$A86,'Consumable Usage'!$D:$D,3)))</f>
        <v/>
      </c>
      <c r="AF86" s="12" t="str">
        <f t="shared" si="7"/>
        <v/>
      </c>
      <c r="AG86" s="20"/>
      <c r="AH86" s="12" t="str">
        <f t="shared" si="8"/>
        <v/>
      </c>
      <c r="AI86" s="45" t="str">
        <f t="shared" si="9"/>
        <v/>
      </c>
      <c r="AJ86" s="15"/>
      <c r="AK86" s="15"/>
      <c r="AL86" s="20"/>
      <c r="AM86" s="12" t="str">
        <f>IF($A86="","",SUMIFS('Consumable Usage'!$E:$E,'Consumable Usage'!$A:$A,$A86,'Consumable Usage'!$D:$D,4))</f>
        <v/>
      </c>
      <c r="AN86" s="12" t="str">
        <f>IF($A86="","",SUMIFS('Nursing Charges'!$I:$I,'Nursing Charges'!$A:$A,$A86,'Nursing Charges'!$C:$C,4))</f>
        <v/>
      </c>
      <c r="AO86" s="12" t="str">
        <f>IF($A86="","",AL86+(AN86-SUMIFS('Nursing Charges'!$J:$J,'Nursing Charges'!$A:$A,$A86,'Nursing Charges'!$C:$C,4))+(AM86-SUMIFS('Consumable Usage'!$F:$F,'Consumable Usage'!$A:$A,$A86,'Consumable Usage'!$D:$D,4)))</f>
        <v/>
      </c>
      <c r="AP86" s="12" t="str">
        <f t="shared" si="10"/>
        <v/>
      </c>
      <c r="AQ86" s="20"/>
      <c r="AR86" s="12" t="str">
        <f t="shared" si="11"/>
        <v/>
      </c>
      <c r="AS86" s="45" t="str">
        <f t="shared" si="12"/>
        <v/>
      </c>
      <c r="AT86" s="15"/>
      <c r="AU86" s="15"/>
      <c r="AV86" s="20"/>
      <c r="AW86" s="12" t="str">
        <f>IF($A86="","",SUMIFS('Consumable Usage'!$E:$E,'Consumable Usage'!$A:$A,$A86,'Consumable Usage'!$D:$D,5))</f>
        <v/>
      </c>
      <c r="AX86" s="12" t="str">
        <f>IF($A86="","",SUMIFS('Nursing Charges'!$I:$I,'Nursing Charges'!$A:$A,$A86,'Nursing Charges'!$C:$C,5))</f>
        <v/>
      </c>
      <c r="AY86" s="12" t="str">
        <f>IF($A86="","",AV86+(AX86-SUMIFS('Nursing Charges'!$J:$J,'Nursing Charges'!$A:$A,$A86,'Nursing Charges'!$C:$C,5))+(AW86-SUMIFS('Consumable Usage'!$F:$F,'Consumable Usage'!$A:$A,$A86,'Consumable Usage'!$D:$D,5)))</f>
        <v/>
      </c>
      <c r="AZ86" s="12" t="str">
        <f t="shared" si="13"/>
        <v/>
      </c>
      <c r="BA86" s="20"/>
      <c r="BB86" s="12" t="str">
        <f t="shared" si="14"/>
        <v/>
      </c>
      <c r="BC86" s="45" t="str">
        <f t="shared" si="15"/>
        <v/>
      </c>
      <c r="BD86" s="15"/>
      <c r="BE86" s="15"/>
      <c r="BF86" s="20"/>
      <c r="BG86" s="12" t="str">
        <f>IF($A86="","",SUMIFS('Consumable Usage'!$E:$E,'Consumable Usage'!$A:$A,$A86,'Consumable Usage'!$D:$D,6))</f>
        <v/>
      </c>
      <c r="BH86" s="12" t="str">
        <f>IF($A86="","",SUMIFS('Nursing Charges'!$I:$I,'Nursing Charges'!$A:$A,$A86,'Nursing Charges'!$C:$C,6))</f>
        <v/>
      </c>
      <c r="BI86" s="12" t="str">
        <f>IF($A86="","",BF86+(BH86-SUMIFS('Nursing Charges'!$J:$J,'Nursing Charges'!$A:$A,$A86,'Nursing Charges'!$C:$C,6))+(BG86-SUMIFS('Consumable Usage'!$F:$F,'Consumable Usage'!$A:$A,$A86,'Consumable Usage'!$D:$D,6)))</f>
        <v/>
      </c>
      <c r="BJ86" s="12" t="str">
        <f t="shared" si="16"/>
        <v/>
      </c>
      <c r="BK86" s="20"/>
      <c r="BL86" s="12" t="str">
        <f t="shared" si="17"/>
        <v/>
      </c>
      <c r="BM86" s="45" t="str">
        <f t="shared" si="18"/>
        <v/>
      </c>
      <c r="BN86" s="15"/>
      <c r="BO86" s="15"/>
      <c r="BP86" s="20"/>
      <c r="BQ86" s="12" t="str">
        <f>IF($A86="","",SUMIFS('Consumable Usage'!$E:$E,'Consumable Usage'!$A:$A,$A86,'Consumable Usage'!$D:$D,7))</f>
        <v/>
      </c>
      <c r="BR86" s="12" t="str">
        <f>IF($A86="","",SUMIFS('Nursing Charges'!$I:$I,'Nursing Charges'!$A:$A,$A86,'Nursing Charges'!$C:$C,7))</f>
        <v/>
      </c>
      <c r="BS86" s="12" t="str">
        <f>IF($A86="","",BP86+(BR86-SUMIFS('Nursing Charges'!$J:$J,'Nursing Charges'!$A:$A,$A86,'Nursing Charges'!$C:$C,7))+(BQ86-SUMIFS('Consumable Usage'!$F:$F,'Consumable Usage'!$A:$A,$A86,'Consumable Usage'!$D:$D,7)))</f>
        <v/>
      </c>
      <c r="BT86" s="12" t="str">
        <f t="shared" si="19"/>
        <v/>
      </c>
      <c r="BU86" s="20"/>
      <c r="BV86" s="12" t="str">
        <f t="shared" si="20"/>
        <v/>
      </c>
      <c r="BW86" s="45" t="str">
        <f t="shared" si="21"/>
        <v/>
      </c>
      <c r="BX86" s="15"/>
      <c r="BY86" s="15"/>
      <c r="BZ86" s="20"/>
      <c r="CA86" s="12" t="str">
        <f>IF($A86="","",SUMIFS('Consumable Usage'!$E:$E,'Consumable Usage'!$A:$A,$A86,'Consumable Usage'!$D:$D,8))</f>
        <v/>
      </c>
      <c r="CB86" s="12" t="str">
        <f>IF($A86="","",SUMIFS('Nursing Charges'!$I:$I,'Nursing Charges'!$A:$A,$A86,'Nursing Charges'!$C:$C,8))</f>
        <v/>
      </c>
      <c r="CC86" s="12" t="str">
        <f>IF($A86="","",BZ86+(CB86-SUMIFS('Nursing Charges'!$J:$J,'Nursing Charges'!$A:$A,$A86,'Nursing Charges'!$C:$C,8))+(CA86-SUMIFS('Consumable Usage'!$F:$F,'Consumable Usage'!$A:$A,$A86,'Consumable Usage'!$D:$D,8)))</f>
        <v/>
      </c>
      <c r="CD86" s="12" t="str">
        <f t="shared" si="22"/>
        <v/>
      </c>
      <c r="CE86" s="20"/>
      <c r="CF86" s="12" t="str">
        <f t="shared" si="23"/>
        <v/>
      </c>
      <c r="CG86" s="45" t="str">
        <f t="shared" si="24"/>
        <v/>
      </c>
      <c r="CH86" s="15"/>
      <c r="CI86" s="15"/>
      <c r="CJ86" s="20"/>
      <c r="CK86" s="12" t="str">
        <f>IF($A86="","",SUMIFS('Consumable Usage'!$E:$E,'Consumable Usage'!$A:$A,$A86,'Consumable Usage'!$D:$D,9))</f>
        <v/>
      </c>
      <c r="CL86" s="12" t="str">
        <f>IF($A86="","",SUMIFS('Nursing Charges'!$I:$I,'Nursing Charges'!$A:$A,$A86,'Nursing Charges'!$C:$C,9))</f>
        <v/>
      </c>
      <c r="CM86" s="12" t="str">
        <f>IF($A86="","",CJ86+(CL86-SUMIFS('Nursing Charges'!$J:$J,'Nursing Charges'!$A:$A,$A86,'Nursing Charges'!$C:$C,9))+(CK86-SUMIFS('Consumable Usage'!$F:$F,'Consumable Usage'!$A:$A,$A86,'Consumable Usage'!$D:$D,9)))</f>
        <v/>
      </c>
      <c r="CN86" s="12" t="str">
        <f t="shared" si="25"/>
        <v/>
      </c>
      <c r="CO86" s="20"/>
      <c r="CP86" s="12" t="str">
        <f t="shared" si="26"/>
        <v/>
      </c>
      <c r="CQ86" s="45" t="str">
        <f t="shared" si="27"/>
        <v/>
      </c>
      <c r="CR86" s="15"/>
      <c r="CS86" s="15"/>
      <c r="CT86" s="20"/>
      <c r="CU86" s="12" t="str">
        <f>IF($A86="","",SUMIFS('Consumable Usage'!$E:$E,'Consumable Usage'!$A:$A,$A86,'Consumable Usage'!$D:$D,10))</f>
        <v/>
      </c>
      <c r="CV86" s="12" t="str">
        <f>IF($A86="","",SUMIFS('Nursing Charges'!$I:$I,'Nursing Charges'!$A:$A,$A86,'Nursing Charges'!$C:$C,10))</f>
        <v/>
      </c>
      <c r="CW86" s="12" t="str">
        <f>IF($A86="","",CT86+(CV86-SUMIFS('Nursing Charges'!$J:$J,'Nursing Charges'!$A:$A,$A86,'Nursing Charges'!$C:$C,10))+(CU86-SUMIFS('Consumable Usage'!$F:$F,'Consumable Usage'!$A:$A,$A86,'Consumable Usage'!$D:$D,10)))</f>
        <v/>
      </c>
      <c r="CX86" s="12" t="str">
        <f t="shared" si="28"/>
        <v/>
      </c>
      <c r="CY86" s="20"/>
      <c r="CZ86" s="12" t="str">
        <f t="shared" si="29"/>
        <v/>
      </c>
      <c r="DA86" s="45" t="str">
        <f t="shared" si="30"/>
        <v/>
      </c>
      <c r="DB86" s="15"/>
      <c r="DC86" s="15"/>
      <c r="DD86" s="20"/>
      <c r="DE86" s="12" t="str">
        <f>IF($A86="","",SUMIFS('Consumable Usage'!$E:$E,'Consumable Usage'!$A:$A,$A86,'Consumable Usage'!$D:$D,11))</f>
        <v/>
      </c>
      <c r="DF86" s="12" t="str">
        <f>IF($A86="","",SUMIFS('Nursing Charges'!$I:$I,'Nursing Charges'!$A:$A,$A86,'Nursing Charges'!$C:$C,11))</f>
        <v/>
      </c>
      <c r="DG86" s="12" t="str">
        <f>IF($A86="","",DD86+(DF86-SUMIFS('Nursing Charges'!$J:$J,'Nursing Charges'!$A:$A,$A86,'Nursing Charges'!$C:$C,11))+(DE86-SUMIFS('Consumable Usage'!$F:$F,'Consumable Usage'!$A:$A,$A86,'Consumable Usage'!$D:$D,11)))</f>
        <v/>
      </c>
      <c r="DH86" s="12" t="str">
        <f t="shared" si="31"/>
        <v/>
      </c>
      <c r="DI86" s="20"/>
      <c r="DJ86" s="12" t="str">
        <f t="shared" si="32"/>
        <v/>
      </c>
      <c r="DK86" s="45" t="str">
        <f t="shared" si="33"/>
        <v/>
      </c>
      <c r="DL86" s="15"/>
      <c r="DM86" s="15"/>
      <c r="DN86" s="20"/>
      <c r="DO86" s="12" t="str">
        <f>IF($A86="","",SUMIFS('Consumable Usage'!$E:$E,'Consumable Usage'!$A:$A,$A86,'Consumable Usage'!$D:$D,12))</f>
        <v/>
      </c>
      <c r="DP86" s="12" t="str">
        <f>IF($A86="","",SUMIFS('Nursing Charges'!$I:$I,'Nursing Charges'!$A:$A,$A86,'Nursing Charges'!$C:$C,12))</f>
        <v/>
      </c>
      <c r="DQ86" s="12" t="str">
        <f>IF($A86="","",DN86+(DP86-SUMIFS('Nursing Charges'!$J:$J,'Nursing Charges'!$A:$A,$A86,'Nursing Charges'!$C:$C,12))+(DO86-SUMIFS('Consumable Usage'!$F:$F,'Consumable Usage'!$A:$A,$A86,'Consumable Usage'!$D:$D,12)))</f>
        <v/>
      </c>
      <c r="DR86" s="12" t="str">
        <f t="shared" si="34"/>
        <v/>
      </c>
      <c r="DS86" s="20"/>
      <c r="DT86" s="12" t="str">
        <f t="shared" si="35"/>
        <v/>
      </c>
      <c r="DU86" s="45" t="str">
        <f t="shared" si="36"/>
        <v/>
      </c>
      <c r="DV86" s="15"/>
      <c r="DW86" s="15"/>
      <c r="DX86" s="20"/>
      <c r="DY86" s="12" t="str">
        <f>IF($A86="","",SUMIFS('Consumable Usage'!$E:$E,'Consumable Usage'!$A:$A,$A86,'Consumable Usage'!$D:$D,13))</f>
        <v/>
      </c>
      <c r="DZ86" s="12" t="str">
        <f>IF($A86="","",SUMIFS('Nursing Charges'!$I:$I,'Nursing Charges'!$A:$A,$A86,'Nursing Charges'!$C:$C,13))</f>
        <v/>
      </c>
      <c r="EA86" s="12" t="str">
        <f>IF($A86="","",DX86+(DZ86-SUMIFS('Nursing Charges'!$J:$J,'Nursing Charges'!$A:$A,$A86,'Nursing Charges'!$C:$C,13))+(DY86-SUMIFS('Consumable Usage'!$F:$F,'Consumable Usage'!$A:$A,$A86,'Consumable Usage'!$D:$D,13)))</f>
        <v/>
      </c>
      <c r="EB86" s="12" t="str">
        <f t="shared" si="37"/>
        <v/>
      </c>
      <c r="EC86" s="20"/>
      <c r="ED86" s="12" t="str">
        <f t="shared" si="38"/>
        <v/>
      </c>
      <c r="EE86" s="45" t="str">
        <f t="shared" si="39"/>
        <v/>
      </c>
      <c r="EF86" s="15"/>
      <c r="EG86" s="15"/>
      <c r="EH86" s="20"/>
      <c r="EI86" s="12" t="str">
        <f>IF($A86="","",SUMIFS('Consumable Usage'!$E:$E,'Consumable Usage'!$A:$A,$A86,'Consumable Usage'!$D:$D,14))</f>
        <v/>
      </c>
      <c r="EJ86" s="12" t="str">
        <f>IF($A86="","",SUMIFS('Nursing Charges'!$I:$I,'Nursing Charges'!$A:$A,$A86,'Nursing Charges'!$C:$C,14))</f>
        <v/>
      </c>
      <c r="EK86" s="12" t="str">
        <f>IF($A86="","",EH86+(EJ86-SUMIFS('Nursing Charges'!$J:$J,'Nursing Charges'!$A:$A,$A86,'Nursing Charges'!$C:$C,14))+(EI86-SUMIFS('Consumable Usage'!$F:$F,'Consumable Usage'!$A:$A,$A86,'Consumable Usage'!$D:$D,14)))</f>
        <v/>
      </c>
      <c r="EL86" s="12" t="str">
        <f t="shared" si="40"/>
        <v/>
      </c>
      <c r="EM86" s="20"/>
      <c r="EN86" s="12" t="str">
        <f t="shared" si="41"/>
        <v/>
      </c>
      <c r="EO86" s="45" t="str">
        <f t="shared" si="42"/>
        <v/>
      </c>
      <c r="EP86" s="15"/>
      <c r="EQ86" s="15"/>
      <c r="ER86" s="20"/>
      <c r="ES86" s="12" t="str">
        <f>IF($A86="","",SUMIFS('Consumable Usage'!$E:$E,'Consumable Usage'!$A:$A,$A86,'Consumable Usage'!$D:$D,15))</f>
        <v/>
      </c>
      <c r="ET86" s="12" t="str">
        <f>IF($A86="","",SUMIFS('Nursing Charges'!$I:$I,'Nursing Charges'!$A:$A,$A86,'Nursing Charges'!$C:$C,15))</f>
        <v/>
      </c>
      <c r="EU86" s="12" t="str">
        <f>IF($A86="","",ER86+(ET86-SUMIFS('Nursing Charges'!$J:$J,'Nursing Charges'!$A:$A,$A86,'Nursing Charges'!$C:$C,15))+(ES86-SUMIFS('Consumable Usage'!$F:$F,'Consumable Usage'!$A:$A,$A86,'Consumable Usage'!$D:$D,15)))</f>
        <v/>
      </c>
      <c r="EV86" s="12" t="str">
        <f t="shared" si="43"/>
        <v/>
      </c>
      <c r="EW86" s="20"/>
      <c r="EX86" s="12" t="str">
        <f t="shared" si="44"/>
        <v/>
      </c>
      <c r="EY86" s="45" t="str">
        <f t="shared" si="45"/>
        <v/>
      </c>
      <c r="EZ86" s="15"/>
      <c r="FA86" s="15"/>
      <c r="FB86" s="20"/>
      <c r="FC86" s="12" t="str">
        <f>IF($A86="","",SUMIFS('Consumable Usage'!$E:$E,'Consumable Usage'!$A:$A,$A86,'Consumable Usage'!$D:$D,16))</f>
        <v/>
      </c>
      <c r="FD86" s="12" t="str">
        <f>IF($A86="","",SUMIFS('Nursing Charges'!$I:$I,'Nursing Charges'!$A:$A,$A86,'Nursing Charges'!$C:$C,16))</f>
        <v/>
      </c>
      <c r="FE86" s="12" t="str">
        <f>IF($A86="","",FB86+(FD86-SUMIFS('Nursing Charges'!$J:$J,'Nursing Charges'!$A:$A,$A86,'Nursing Charges'!$C:$C,16))+(FC86-SUMIFS('Consumable Usage'!$F:$F,'Consumable Usage'!$A:$A,$A86,'Consumable Usage'!$D:$D,16)))</f>
        <v/>
      </c>
      <c r="FF86" s="12" t="str">
        <f t="shared" si="46"/>
        <v/>
      </c>
      <c r="FG86" s="20"/>
      <c r="FH86" s="12" t="str">
        <f t="shared" si="47"/>
        <v/>
      </c>
      <c r="FI86" s="45" t="str">
        <f t="shared" si="48"/>
        <v/>
      </c>
      <c r="FJ86" s="53"/>
      <c r="FK86" s="53"/>
      <c r="FL86" s="63"/>
      <c r="FM86" s="63" t="str">
        <f>IF($A86="","",SUMIFS('Consumable Usage'!$E:$E,'Consumable Usage'!$A:$A,$A86,'Consumable Usage'!$D:$D,16))</f>
        <v/>
      </c>
      <c r="FN86" s="63" t="str">
        <f>IF($A86="","",SUMIFS('Nursing Charges'!$I:$I,'Nursing Charges'!$A:$A,$A86,'Nursing Charges'!$C:$C,16))</f>
        <v/>
      </c>
      <c r="FO86" s="63" t="str">
        <f>IF($A86="","",FL86+(FN86-SUMIFS('Nursing Charges'!$J:$J,'Nursing Charges'!$A:$A,$A86,'Nursing Charges'!$C:$C,16))+(FM86-SUMIFS('Consumable Usage'!$F:$F,'Consumable Usage'!$A:$A,$A86,'Consumable Usage'!$D:$D,16)))</f>
        <v/>
      </c>
      <c r="FP86" s="63" t="str">
        <f t="shared" si="49"/>
        <v/>
      </c>
      <c r="FQ86" s="63"/>
      <c r="FR86" s="63" t="str">
        <f t="shared" si="50"/>
        <v/>
      </c>
      <c r="FS86" s="53" t="str">
        <f t="shared" si="51"/>
        <v/>
      </c>
    </row>
    <row r="87" ht="15.0" customHeight="1">
      <c r="A87" s="15"/>
      <c r="B87" s="15"/>
      <c r="C87" s="15"/>
      <c r="D87" s="15"/>
      <c r="E87" s="15"/>
      <c r="F87" s="15"/>
      <c r="G87" s="15"/>
      <c r="H87" s="20"/>
      <c r="I87" s="12" t="str">
        <f>IF($A87="","",SUMIFS('Consumable Usage'!$E:$E,'Consumable Usage'!$A:$A,$A87,'Consumable Usage'!$D:$D,1))</f>
        <v/>
      </c>
      <c r="J87" s="12" t="str">
        <f>IF($A87="","",SUMIFS('Nursing Charges'!$I:$I,'Nursing Charges'!$A:$A,$A87,'Nursing Charges'!$C:$C,1))</f>
        <v/>
      </c>
      <c r="K87" s="12" t="str">
        <f>IF($A87="","",H87+(J87-SUMIFS('Nursing Charges'!$J:$J,'Nursing Charges'!$A:$A,$A87,'Nursing Charges'!$C:$C,1))+(I87-SUMIFS('Consumable Usage'!$F:$F,'Consumable Usage'!$A:$A,$A87,'Consumable Usage'!$D:$D,1)))</f>
        <v/>
      </c>
      <c r="L87" s="12" t="str">
        <f t="shared" si="1"/>
        <v/>
      </c>
      <c r="M87" s="20"/>
      <c r="N87" s="12" t="str">
        <f t="shared" si="2"/>
        <v/>
      </c>
      <c r="O87" s="45" t="str">
        <f t="shared" si="3"/>
        <v/>
      </c>
      <c r="P87" s="15"/>
      <c r="Q87" s="15"/>
      <c r="R87" s="20"/>
      <c r="S87" s="12" t="str">
        <f>IF($A87="","",SUMIFS('Consumable Usage'!$E:$E,'Consumable Usage'!$A:$A,$A87,'Consumable Usage'!$D:$D,2))</f>
        <v/>
      </c>
      <c r="T87" s="12" t="str">
        <f>IF($A87="","",SUMIFS('Nursing Charges'!$I:$I,'Nursing Charges'!$A:$A,$A87,'Nursing Charges'!$C:$C,2))</f>
        <v/>
      </c>
      <c r="U87" s="12" t="str">
        <f>IF($A87="","",R87+(T87-SUMIFS('Nursing Charges'!$J:$J,'Nursing Charges'!$A:$A,$A87,'Nursing Charges'!$C:$C,2))+(S87-SUMIFS('Consumable Usage'!$F:$F,'Consumable Usage'!$A:$A,$A87,'Consumable Usage'!$D:$D,2)))</f>
        <v/>
      </c>
      <c r="V87" s="12" t="str">
        <f t="shared" si="4"/>
        <v/>
      </c>
      <c r="W87" s="20"/>
      <c r="X87" s="12" t="str">
        <f t="shared" si="5"/>
        <v/>
      </c>
      <c r="Y87" s="45" t="str">
        <f t="shared" si="6"/>
        <v/>
      </c>
      <c r="Z87" s="15"/>
      <c r="AA87" s="15"/>
      <c r="AB87" s="20"/>
      <c r="AC87" s="12" t="str">
        <f>IF($A87="","",SUMIFS('Consumable Usage'!$E:$E,'Consumable Usage'!$A:$A,$A87,'Consumable Usage'!$D:$D,3))</f>
        <v/>
      </c>
      <c r="AD87" s="12" t="str">
        <f>IF($A87="","",SUMIFS('Nursing Charges'!$I:$I,'Nursing Charges'!$A:$A,$A87,'Nursing Charges'!$C:$C,3))</f>
        <v/>
      </c>
      <c r="AE87" s="12" t="str">
        <f>IF($A87="","",AB87+(AD87-SUMIFS('Nursing Charges'!$J:$J,'Nursing Charges'!$A:$A,$A87,'Nursing Charges'!$C:$C,3))+(AC87-SUMIFS('Consumable Usage'!$F:$F,'Consumable Usage'!$A:$A,$A87,'Consumable Usage'!$D:$D,3)))</f>
        <v/>
      </c>
      <c r="AF87" s="12" t="str">
        <f t="shared" si="7"/>
        <v/>
      </c>
      <c r="AG87" s="20"/>
      <c r="AH87" s="12" t="str">
        <f t="shared" si="8"/>
        <v/>
      </c>
      <c r="AI87" s="45" t="str">
        <f t="shared" si="9"/>
        <v/>
      </c>
      <c r="AJ87" s="15"/>
      <c r="AK87" s="15"/>
      <c r="AL87" s="20"/>
      <c r="AM87" s="12" t="str">
        <f>IF($A87="","",SUMIFS('Consumable Usage'!$E:$E,'Consumable Usage'!$A:$A,$A87,'Consumable Usage'!$D:$D,4))</f>
        <v/>
      </c>
      <c r="AN87" s="12" t="str">
        <f>IF($A87="","",SUMIFS('Nursing Charges'!$I:$I,'Nursing Charges'!$A:$A,$A87,'Nursing Charges'!$C:$C,4))</f>
        <v/>
      </c>
      <c r="AO87" s="12" t="str">
        <f>IF($A87="","",AL87+(AN87-SUMIFS('Nursing Charges'!$J:$J,'Nursing Charges'!$A:$A,$A87,'Nursing Charges'!$C:$C,4))+(AM87-SUMIFS('Consumable Usage'!$F:$F,'Consumable Usage'!$A:$A,$A87,'Consumable Usage'!$D:$D,4)))</f>
        <v/>
      </c>
      <c r="AP87" s="12" t="str">
        <f t="shared" si="10"/>
        <v/>
      </c>
      <c r="AQ87" s="20"/>
      <c r="AR87" s="12" t="str">
        <f t="shared" si="11"/>
        <v/>
      </c>
      <c r="AS87" s="45" t="str">
        <f t="shared" si="12"/>
        <v/>
      </c>
      <c r="AT87" s="15"/>
      <c r="AU87" s="15"/>
      <c r="AV87" s="20"/>
      <c r="AW87" s="12" t="str">
        <f>IF($A87="","",SUMIFS('Consumable Usage'!$E:$E,'Consumable Usage'!$A:$A,$A87,'Consumable Usage'!$D:$D,5))</f>
        <v/>
      </c>
      <c r="AX87" s="12" t="str">
        <f>IF($A87="","",SUMIFS('Nursing Charges'!$I:$I,'Nursing Charges'!$A:$A,$A87,'Nursing Charges'!$C:$C,5))</f>
        <v/>
      </c>
      <c r="AY87" s="12" t="str">
        <f>IF($A87="","",AV87+(AX87-SUMIFS('Nursing Charges'!$J:$J,'Nursing Charges'!$A:$A,$A87,'Nursing Charges'!$C:$C,5))+(AW87-SUMIFS('Consumable Usage'!$F:$F,'Consumable Usage'!$A:$A,$A87,'Consumable Usage'!$D:$D,5)))</f>
        <v/>
      </c>
      <c r="AZ87" s="12" t="str">
        <f t="shared" si="13"/>
        <v/>
      </c>
      <c r="BA87" s="20"/>
      <c r="BB87" s="12" t="str">
        <f t="shared" si="14"/>
        <v/>
      </c>
      <c r="BC87" s="45" t="str">
        <f t="shared" si="15"/>
        <v/>
      </c>
      <c r="BD87" s="15"/>
      <c r="BE87" s="15"/>
      <c r="BF87" s="20"/>
      <c r="BG87" s="12" t="str">
        <f>IF($A87="","",SUMIFS('Consumable Usage'!$E:$E,'Consumable Usage'!$A:$A,$A87,'Consumable Usage'!$D:$D,6))</f>
        <v/>
      </c>
      <c r="BH87" s="12" t="str">
        <f>IF($A87="","",SUMIFS('Nursing Charges'!$I:$I,'Nursing Charges'!$A:$A,$A87,'Nursing Charges'!$C:$C,6))</f>
        <v/>
      </c>
      <c r="BI87" s="12" t="str">
        <f>IF($A87="","",BF87+(BH87-SUMIFS('Nursing Charges'!$J:$J,'Nursing Charges'!$A:$A,$A87,'Nursing Charges'!$C:$C,6))+(BG87-SUMIFS('Consumable Usage'!$F:$F,'Consumable Usage'!$A:$A,$A87,'Consumable Usage'!$D:$D,6)))</f>
        <v/>
      </c>
      <c r="BJ87" s="12" t="str">
        <f t="shared" si="16"/>
        <v/>
      </c>
      <c r="BK87" s="20"/>
      <c r="BL87" s="12" t="str">
        <f t="shared" si="17"/>
        <v/>
      </c>
      <c r="BM87" s="45" t="str">
        <f t="shared" si="18"/>
        <v/>
      </c>
      <c r="BN87" s="15"/>
      <c r="BO87" s="15"/>
      <c r="BP87" s="20"/>
      <c r="BQ87" s="12" t="str">
        <f>IF($A87="","",SUMIFS('Consumable Usage'!$E:$E,'Consumable Usage'!$A:$A,$A87,'Consumable Usage'!$D:$D,7))</f>
        <v/>
      </c>
      <c r="BR87" s="12" t="str">
        <f>IF($A87="","",SUMIFS('Nursing Charges'!$I:$I,'Nursing Charges'!$A:$A,$A87,'Nursing Charges'!$C:$C,7))</f>
        <v/>
      </c>
      <c r="BS87" s="12" t="str">
        <f>IF($A87="","",BP87+(BR87-SUMIFS('Nursing Charges'!$J:$J,'Nursing Charges'!$A:$A,$A87,'Nursing Charges'!$C:$C,7))+(BQ87-SUMIFS('Consumable Usage'!$F:$F,'Consumable Usage'!$A:$A,$A87,'Consumable Usage'!$D:$D,7)))</f>
        <v/>
      </c>
      <c r="BT87" s="12" t="str">
        <f t="shared" si="19"/>
        <v/>
      </c>
      <c r="BU87" s="20"/>
      <c r="BV87" s="12" t="str">
        <f t="shared" si="20"/>
        <v/>
      </c>
      <c r="BW87" s="45" t="str">
        <f t="shared" si="21"/>
        <v/>
      </c>
      <c r="BX87" s="15"/>
      <c r="BY87" s="15"/>
      <c r="BZ87" s="20"/>
      <c r="CA87" s="12" t="str">
        <f>IF($A87="","",SUMIFS('Consumable Usage'!$E:$E,'Consumable Usage'!$A:$A,$A87,'Consumable Usage'!$D:$D,8))</f>
        <v/>
      </c>
      <c r="CB87" s="12" t="str">
        <f>IF($A87="","",SUMIFS('Nursing Charges'!$I:$I,'Nursing Charges'!$A:$A,$A87,'Nursing Charges'!$C:$C,8))</f>
        <v/>
      </c>
      <c r="CC87" s="12" t="str">
        <f>IF($A87="","",BZ87+(CB87-SUMIFS('Nursing Charges'!$J:$J,'Nursing Charges'!$A:$A,$A87,'Nursing Charges'!$C:$C,8))+(CA87-SUMIFS('Consumable Usage'!$F:$F,'Consumable Usage'!$A:$A,$A87,'Consumable Usage'!$D:$D,8)))</f>
        <v/>
      </c>
      <c r="CD87" s="12" t="str">
        <f t="shared" si="22"/>
        <v/>
      </c>
      <c r="CE87" s="20"/>
      <c r="CF87" s="12" t="str">
        <f t="shared" si="23"/>
        <v/>
      </c>
      <c r="CG87" s="45" t="str">
        <f t="shared" si="24"/>
        <v/>
      </c>
      <c r="CH87" s="15"/>
      <c r="CI87" s="15"/>
      <c r="CJ87" s="20"/>
      <c r="CK87" s="12" t="str">
        <f>IF($A87="","",SUMIFS('Consumable Usage'!$E:$E,'Consumable Usage'!$A:$A,$A87,'Consumable Usage'!$D:$D,9))</f>
        <v/>
      </c>
      <c r="CL87" s="12" t="str">
        <f>IF($A87="","",SUMIFS('Nursing Charges'!$I:$I,'Nursing Charges'!$A:$A,$A87,'Nursing Charges'!$C:$C,9))</f>
        <v/>
      </c>
      <c r="CM87" s="12" t="str">
        <f>IF($A87="","",CJ87+(CL87-SUMIFS('Nursing Charges'!$J:$J,'Nursing Charges'!$A:$A,$A87,'Nursing Charges'!$C:$C,9))+(CK87-SUMIFS('Consumable Usage'!$F:$F,'Consumable Usage'!$A:$A,$A87,'Consumable Usage'!$D:$D,9)))</f>
        <v/>
      </c>
      <c r="CN87" s="12" t="str">
        <f t="shared" si="25"/>
        <v/>
      </c>
      <c r="CO87" s="20"/>
      <c r="CP87" s="12" t="str">
        <f t="shared" si="26"/>
        <v/>
      </c>
      <c r="CQ87" s="45" t="str">
        <f t="shared" si="27"/>
        <v/>
      </c>
      <c r="CR87" s="15"/>
      <c r="CS87" s="15"/>
      <c r="CT87" s="20"/>
      <c r="CU87" s="12" t="str">
        <f>IF($A87="","",SUMIFS('Consumable Usage'!$E:$E,'Consumable Usage'!$A:$A,$A87,'Consumable Usage'!$D:$D,10))</f>
        <v/>
      </c>
      <c r="CV87" s="12" t="str">
        <f>IF($A87="","",SUMIFS('Nursing Charges'!$I:$I,'Nursing Charges'!$A:$A,$A87,'Nursing Charges'!$C:$C,10))</f>
        <v/>
      </c>
      <c r="CW87" s="12" t="str">
        <f>IF($A87="","",CT87+(CV87-SUMIFS('Nursing Charges'!$J:$J,'Nursing Charges'!$A:$A,$A87,'Nursing Charges'!$C:$C,10))+(CU87-SUMIFS('Consumable Usage'!$F:$F,'Consumable Usage'!$A:$A,$A87,'Consumable Usage'!$D:$D,10)))</f>
        <v/>
      </c>
      <c r="CX87" s="12" t="str">
        <f t="shared" si="28"/>
        <v/>
      </c>
      <c r="CY87" s="20"/>
      <c r="CZ87" s="12" t="str">
        <f t="shared" si="29"/>
        <v/>
      </c>
      <c r="DA87" s="45" t="str">
        <f t="shared" si="30"/>
        <v/>
      </c>
      <c r="DB87" s="15"/>
      <c r="DC87" s="15"/>
      <c r="DD87" s="20"/>
      <c r="DE87" s="12" t="str">
        <f>IF($A87="","",SUMIFS('Consumable Usage'!$E:$E,'Consumable Usage'!$A:$A,$A87,'Consumable Usage'!$D:$D,11))</f>
        <v/>
      </c>
      <c r="DF87" s="12" t="str">
        <f>IF($A87="","",SUMIFS('Nursing Charges'!$I:$I,'Nursing Charges'!$A:$A,$A87,'Nursing Charges'!$C:$C,11))</f>
        <v/>
      </c>
      <c r="DG87" s="12" t="str">
        <f>IF($A87="","",DD87+(DF87-SUMIFS('Nursing Charges'!$J:$J,'Nursing Charges'!$A:$A,$A87,'Nursing Charges'!$C:$C,11))+(DE87-SUMIFS('Consumable Usage'!$F:$F,'Consumable Usage'!$A:$A,$A87,'Consumable Usage'!$D:$D,11)))</f>
        <v/>
      </c>
      <c r="DH87" s="12" t="str">
        <f t="shared" si="31"/>
        <v/>
      </c>
      <c r="DI87" s="20"/>
      <c r="DJ87" s="12" t="str">
        <f t="shared" si="32"/>
        <v/>
      </c>
      <c r="DK87" s="45" t="str">
        <f t="shared" si="33"/>
        <v/>
      </c>
      <c r="DL87" s="15"/>
      <c r="DM87" s="15"/>
      <c r="DN87" s="20"/>
      <c r="DO87" s="12" t="str">
        <f>IF($A87="","",SUMIFS('Consumable Usage'!$E:$E,'Consumable Usage'!$A:$A,$A87,'Consumable Usage'!$D:$D,12))</f>
        <v/>
      </c>
      <c r="DP87" s="12" t="str">
        <f>IF($A87="","",SUMIFS('Nursing Charges'!$I:$I,'Nursing Charges'!$A:$A,$A87,'Nursing Charges'!$C:$C,12))</f>
        <v/>
      </c>
      <c r="DQ87" s="12" t="str">
        <f>IF($A87="","",DN87+(DP87-SUMIFS('Nursing Charges'!$J:$J,'Nursing Charges'!$A:$A,$A87,'Nursing Charges'!$C:$C,12))+(DO87-SUMIFS('Consumable Usage'!$F:$F,'Consumable Usage'!$A:$A,$A87,'Consumable Usage'!$D:$D,12)))</f>
        <v/>
      </c>
      <c r="DR87" s="12" t="str">
        <f t="shared" si="34"/>
        <v/>
      </c>
      <c r="DS87" s="20"/>
      <c r="DT87" s="12" t="str">
        <f t="shared" si="35"/>
        <v/>
      </c>
      <c r="DU87" s="45" t="str">
        <f t="shared" si="36"/>
        <v/>
      </c>
      <c r="DV87" s="15"/>
      <c r="DW87" s="15"/>
      <c r="DX87" s="20"/>
      <c r="DY87" s="12" t="str">
        <f>IF($A87="","",SUMIFS('Consumable Usage'!$E:$E,'Consumable Usage'!$A:$A,$A87,'Consumable Usage'!$D:$D,13))</f>
        <v/>
      </c>
      <c r="DZ87" s="12" t="str">
        <f>IF($A87="","",SUMIFS('Nursing Charges'!$I:$I,'Nursing Charges'!$A:$A,$A87,'Nursing Charges'!$C:$C,13))</f>
        <v/>
      </c>
      <c r="EA87" s="12" t="str">
        <f>IF($A87="","",DX87+(DZ87-SUMIFS('Nursing Charges'!$J:$J,'Nursing Charges'!$A:$A,$A87,'Nursing Charges'!$C:$C,13))+(DY87-SUMIFS('Consumable Usage'!$F:$F,'Consumable Usage'!$A:$A,$A87,'Consumable Usage'!$D:$D,13)))</f>
        <v/>
      </c>
      <c r="EB87" s="12" t="str">
        <f t="shared" si="37"/>
        <v/>
      </c>
      <c r="EC87" s="20"/>
      <c r="ED87" s="12" t="str">
        <f t="shared" si="38"/>
        <v/>
      </c>
      <c r="EE87" s="45" t="str">
        <f t="shared" si="39"/>
        <v/>
      </c>
      <c r="EF87" s="15"/>
      <c r="EG87" s="15"/>
      <c r="EH87" s="20"/>
      <c r="EI87" s="12" t="str">
        <f>IF($A87="","",SUMIFS('Consumable Usage'!$E:$E,'Consumable Usage'!$A:$A,$A87,'Consumable Usage'!$D:$D,14))</f>
        <v/>
      </c>
      <c r="EJ87" s="12" t="str">
        <f>IF($A87="","",SUMIFS('Nursing Charges'!$I:$I,'Nursing Charges'!$A:$A,$A87,'Nursing Charges'!$C:$C,14))</f>
        <v/>
      </c>
      <c r="EK87" s="12" t="str">
        <f>IF($A87="","",EH87+(EJ87-SUMIFS('Nursing Charges'!$J:$J,'Nursing Charges'!$A:$A,$A87,'Nursing Charges'!$C:$C,14))+(EI87-SUMIFS('Consumable Usage'!$F:$F,'Consumable Usage'!$A:$A,$A87,'Consumable Usage'!$D:$D,14)))</f>
        <v/>
      </c>
      <c r="EL87" s="12" t="str">
        <f t="shared" si="40"/>
        <v/>
      </c>
      <c r="EM87" s="20"/>
      <c r="EN87" s="12" t="str">
        <f t="shared" si="41"/>
        <v/>
      </c>
      <c r="EO87" s="45" t="str">
        <f t="shared" si="42"/>
        <v/>
      </c>
      <c r="EP87" s="15"/>
      <c r="EQ87" s="15"/>
      <c r="ER87" s="20"/>
      <c r="ES87" s="12" t="str">
        <f>IF($A87="","",SUMIFS('Consumable Usage'!$E:$E,'Consumable Usage'!$A:$A,$A87,'Consumable Usage'!$D:$D,15))</f>
        <v/>
      </c>
      <c r="ET87" s="12" t="str">
        <f>IF($A87="","",SUMIFS('Nursing Charges'!$I:$I,'Nursing Charges'!$A:$A,$A87,'Nursing Charges'!$C:$C,15))</f>
        <v/>
      </c>
      <c r="EU87" s="12" t="str">
        <f>IF($A87="","",ER87+(ET87-SUMIFS('Nursing Charges'!$J:$J,'Nursing Charges'!$A:$A,$A87,'Nursing Charges'!$C:$C,15))+(ES87-SUMIFS('Consumable Usage'!$F:$F,'Consumable Usage'!$A:$A,$A87,'Consumable Usage'!$D:$D,15)))</f>
        <v/>
      </c>
      <c r="EV87" s="12" t="str">
        <f t="shared" si="43"/>
        <v/>
      </c>
      <c r="EW87" s="20"/>
      <c r="EX87" s="12" t="str">
        <f t="shared" si="44"/>
        <v/>
      </c>
      <c r="EY87" s="45" t="str">
        <f t="shared" si="45"/>
        <v/>
      </c>
      <c r="EZ87" s="15"/>
      <c r="FA87" s="15"/>
      <c r="FB87" s="20"/>
      <c r="FC87" s="12" t="str">
        <f>IF($A87="","",SUMIFS('Consumable Usage'!$E:$E,'Consumable Usage'!$A:$A,$A87,'Consumable Usage'!$D:$D,16))</f>
        <v/>
      </c>
      <c r="FD87" s="12" t="str">
        <f>IF($A87="","",SUMIFS('Nursing Charges'!$I:$I,'Nursing Charges'!$A:$A,$A87,'Nursing Charges'!$C:$C,16))</f>
        <v/>
      </c>
      <c r="FE87" s="12" t="str">
        <f>IF($A87="","",FB87+(FD87-SUMIFS('Nursing Charges'!$J:$J,'Nursing Charges'!$A:$A,$A87,'Nursing Charges'!$C:$C,16))+(FC87-SUMIFS('Consumable Usage'!$F:$F,'Consumable Usage'!$A:$A,$A87,'Consumable Usage'!$D:$D,16)))</f>
        <v/>
      </c>
      <c r="FF87" s="12" t="str">
        <f t="shared" si="46"/>
        <v/>
      </c>
      <c r="FG87" s="20"/>
      <c r="FH87" s="12" t="str">
        <f t="shared" si="47"/>
        <v/>
      </c>
      <c r="FI87" s="45" t="str">
        <f t="shared" si="48"/>
        <v/>
      </c>
      <c r="FJ87" s="53"/>
      <c r="FK87" s="53"/>
      <c r="FL87" s="63"/>
      <c r="FM87" s="63" t="str">
        <f>IF($A87="","",SUMIFS('Consumable Usage'!$E:$E,'Consumable Usage'!$A:$A,$A87,'Consumable Usage'!$D:$D,16))</f>
        <v/>
      </c>
      <c r="FN87" s="63" t="str">
        <f>IF($A87="","",SUMIFS('Nursing Charges'!$I:$I,'Nursing Charges'!$A:$A,$A87,'Nursing Charges'!$C:$C,16))</f>
        <v/>
      </c>
      <c r="FO87" s="63" t="str">
        <f>IF($A87="","",FL87+(FN87-SUMIFS('Nursing Charges'!$J:$J,'Nursing Charges'!$A:$A,$A87,'Nursing Charges'!$C:$C,16))+(FM87-SUMIFS('Consumable Usage'!$F:$F,'Consumable Usage'!$A:$A,$A87,'Consumable Usage'!$D:$D,16)))</f>
        <v/>
      </c>
      <c r="FP87" s="63" t="str">
        <f t="shared" si="49"/>
        <v/>
      </c>
      <c r="FQ87" s="63"/>
      <c r="FR87" s="63" t="str">
        <f t="shared" si="50"/>
        <v/>
      </c>
      <c r="FS87" s="53" t="str">
        <f t="shared" si="51"/>
        <v/>
      </c>
    </row>
    <row r="88" ht="15.0" customHeight="1">
      <c r="A88" s="15"/>
      <c r="B88" s="15"/>
      <c r="C88" s="15"/>
      <c r="D88" s="15"/>
      <c r="E88" s="15"/>
      <c r="F88" s="15"/>
      <c r="G88" s="15"/>
      <c r="H88" s="20"/>
      <c r="I88" s="12" t="str">
        <f>IF($A88="","",SUMIFS('Consumable Usage'!$E:$E,'Consumable Usage'!$A:$A,$A88,'Consumable Usage'!$D:$D,1))</f>
        <v/>
      </c>
      <c r="J88" s="12" t="str">
        <f>IF($A88="","",SUMIFS('Nursing Charges'!$I:$I,'Nursing Charges'!$A:$A,$A88,'Nursing Charges'!$C:$C,1))</f>
        <v/>
      </c>
      <c r="K88" s="12" t="str">
        <f>IF($A88="","",H88+(J88-SUMIFS('Nursing Charges'!$J:$J,'Nursing Charges'!$A:$A,$A88,'Nursing Charges'!$C:$C,1))+(I88-SUMIFS('Consumable Usage'!$F:$F,'Consumable Usage'!$A:$A,$A88,'Consumable Usage'!$D:$D,1)))</f>
        <v/>
      </c>
      <c r="L88" s="12" t="str">
        <f t="shared" si="1"/>
        <v/>
      </c>
      <c r="M88" s="20"/>
      <c r="N88" s="12" t="str">
        <f t="shared" si="2"/>
        <v/>
      </c>
      <c r="O88" s="45" t="str">
        <f t="shared" si="3"/>
        <v/>
      </c>
      <c r="P88" s="15"/>
      <c r="Q88" s="15"/>
      <c r="R88" s="20"/>
      <c r="S88" s="12" t="str">
        <f>IF($A88="","",SUMIFS('Consumable Usage'!$E:$E,'Consumable Usage'!$A:$A,$A88,'Consumable Usage'!$D:$D,2))</f>
        <v/>
      </c>
      <c r="T88" s="12" t="str">
        <f>IF($A88="","",SUMIFS('Nursing Charges'!$I:$I,'Nursing Charges'!$A:$A,$A88,'Nursing Charges'!$C:$C,2))</f>
        <v/>
      </c>
      <c r="U88" s="12" t="str">
        <f>IF($A88="","",R88+(T88-SUMIFS('Nursing Charges'!$J:$J,'Nursing Charges'!$A:$A,$A88,'Nursing Charges'!$C:$C,2))+(S88-SUMIFS('Consumable Usage'!$F:$F,'Consumable Usage'!$A:$A,$A88,'Consumable Usage'!$D:$D,2)))</f>
        <v/>
      </c>
      <c r="V88" s="12" t="str">
        <f t="shared" si="4"/>
        <v/>
      </c>
      <c r="W88" s="20"/>
      <c r="X88" s="12" t="str">
        <f t="shared" si="5"/>
        <v/>
      </c>
      <c r="Y88" s="45" t="str">
        <f t="shared" si="6"/>
        <v/>
      </c>
      <c r="Z88" s="15"/>
      <c r="AA88" s="15"/>
      <c r="AB88" s="20"/>
      <c r="AC88" s="12" t="str">
        <f>IF($A88="","",SUMIFS('Consumable Usage'!$E:$E,'Consumable Usage'!$A:$A,$A88,'Consumable Usage'!$D:$D,3))</f>
        <v/>
      </c>
      <c r="AD88" s="12" t="str">
        <f>IF($A88="","",SUMIFS('Nursing Charges'!$I:$I,'Nursing Charges'!$A:$A,$A88,'Nursing Charges'!$C:$C,3))</f>
        <v/>
      </c>
      <c r="AE88" s="12" t="str">
        <f>IF($A88="","",AB88+(AD88-SUMIFS('Nursing Charges'!$J:$J,'Nursing Charges'!$A:$A,$A88,'Nursing Charges'!$C:$C,3))+(AC88-SUMIFS('Consumable Usage'!$F:$F,'Consumable Usage'!$A:$A,$A88,'Consumable Usage'!$D:$D,3)))</f>
        <v/>
      </c>
      <c r="AF88" s="12" t="str">
        <f t="shared" si="7"/>
        <v/>
      </c>
      <c r="AG88" s="20"/>
      <c r="AH88" s="12" t="str">
        <f t="shared" si="8"/>
        <v/>
      </c>
      <c r="AI88" s="45" t="str">
        <f t="shared" si="9"/>
        <v/>
      </c>
      <c r="AJ88" s="15"/>
      <c r="AK88" s="15"/>
      <c r="AL88" s="20"/>
      <c r="AM88" s="12" t="str">
        <f>IF($A88="","",SUMIFS('Consumable Usage'!$E:$E,'Consumable Usage'!$A:$A,$A88,'Consumable Usage'!$D:$D,4))</f>
        <v/>
      </c>
      <c r="AN88" s="12" t="str">
        <f>IF($A88="","",SUMIFS('Nursing Charges'!$I:$I,'Nursing Charges'!$A:$A,$A88,'Nursing Charges'!$C:$C,4))</f>
        <v/>
      </c>
      <c r="AO88" s="12" t="str">
        <f>IF($A88="","",AL88+(AN88-SUMIFS('Nursing Charges'!$J:$J,'Nursing Charges'!$A:$A,$A88,'Nursing Charges'!$C:$C,4))+(AM88-SUMIFS('Consumable Usage'!$F:$F,'Consumable Usage'!$A:$A,$A88,'Consumable Usage'!$D:$D,4)))</f>
        <v/>
      </c>
      <c r="AP88" s="12" t="str">
        <f t="shared" si="10"/>
        <v/>
      </c>
      <c r="AQ88" s="20"/>
      <c r="AR88" s="12" t="str">
        <f t="shared" si="11"/>
        <v/>
      </c>
      <c r="AS88" s="45" t="str">
        <f t="shared" si="12"/>
        <v/>
      </c>
      <c r="AT88" s="15"/>
      <c r="AU88" s="15"/>
      <c r="AV88" s="20"/>
      <c r="AW88" s="12" t="str">
        <f>IF($A88="","",SUMIFS('Consumable Usage'!$E:$E,'Consumable Usage'!$A:$A,$A88,'Consumable Usage'!$D:$D,5))</f>
        <v/>
      </c>
      <c r="AX88" s="12" t="str">
        <f>IF($A88="","",SUMIFS('Nursing Charges'!$I:$I,'Nursing Charges'!$A:$A,$A88,'Nursing Charges'!$C:$C,5))</f>
        <v/>
      </c>
      <c r="AY88" s="12" t="str">
        <f>IF($A88="","",AV88+(AX88-SUMIFS('Nursing Charges'!$J:$J,'Nursing Charges'!$A:$A,$A88,'Nursing Charges'!$C:$C,5))+(AW88-SUMIFS('Consumable Usage'!$F:$F,'Consumable Usage'!$A:$A,$A88,'Consumable Usage'!$D:$D,5)))</f>
        <v/>
      </c>
      <c r="AZ88" s="12" t="str">
        <f t="shared" si="13"/>
        <v/>
      </c>
      <c r="BA88" s="20"/>
      <c r="BB88" s="12" t="str">
        <f t="shared" si="14"/>
        <v/>
      </c>
      <c r="BC88" s="45" t="str">
        <f t="shared" si="15"/>
        <v/>
      </c>
      <c r="BD88" s="15"/>
      <c r="BE88" s="15"/>
      <c r="BF88" s="20"/>
      <c r="BG88" s="12" t="str">
        <f>IF($A88="","",SUMIFS('Consumable Usage'!$E:$E,'Consumable Usage'!$A:$A,$A88,'Consumable Usage'!$D:$D,6))</f>
        <v/>
      </c>
      <c r="BH88" s="12" t="str">
        <f>IF($A88="","",SUMIFS('Nursing Charges'!$I:$I,'Nursing Charges'!$A:$A,$A88,'Nursing Charges'!$C:$C,6))</f>
        <v/>
      </c>
      <c r="BI88" s="12" t="str">
        <f>IF($A88="","",BF88+(BH88-SUMIFS('Nursing Charges'!$J:$J,'Nursing Charges'!$A:$A,$A88,'Nursing Charges'!$C:$C,6))+(BG88-SUMIFS('Consumable Usage'!$F:$F,'Consumable Usage'!$A:$A,$A88,'Consumable Usage'!$D:$D,6)))</f>
        <v/>
      </c>
      <c r="BJ88" s="12" t="str">
        <f t="shared" si="16"/>
        <v/>
      </c>
      <c r="BK88" s="20"/>
      <c r="BL88" s="12" t="str">
        <f t="shared" si="17"/>
        <v/>
      </c>
      <c r="BM88" s="45" t="str">
        <f t="shared" si="18"/>
        <v/>
      </c>
      <c r="BN88" s="15"/>
      <c r="BO88" s="15"/>
      <c r="BP88" s="20"/>
      <c r="BQ88" s="12" t="str">
        <f>IF($A88="","",SUMIFS('Consumable Usage'!$E:$E,'Consumable Usage'!$A:$A,$A88,'Consumable Usage'!$D:$D,7))</f>
        <v/>
      </c>
      <c r="BR88" s="12" t="str">
        <f>IF($A88="","",SUMIFS('Nursing Charges'!$I:$I,'Nursing Charges'!$A:$A,$A88,'Nursing Charges'!$C:$C,7))</f>
        <v/>
      </c>
      <c r="BS88" s="12" t="str">
        <f>IF($A88="","",BP88+(BR88-SUMIFS('Nursing Charges'!$J:$J,'Nursing Charges'!$A:$A,$A88,'Nursing Charges'!$C:$C,7))+(BQ88-SUMIFS('Consumable Usage'!$F:$F,'Consumable Usage'!$A:$A,$A88,'Consumable Usage'!$D:$D,7)))</f>
        <v/>
      </c>
      <c r="BT88" s="12" t="str">
        <f t="shared" si="19"/>
        <v/>
      </c>
      <c r="BU88" s="20"/>
      <c r="BV88" s="12" t="str">
        <f t="shared" si="20"/>
        <v/>
      </c>
      <c r="BW88" s="45" t="str">
        <f t="shared" si="21"/>
        <v/>
      </c>
      <c r="BX88" s="15"/>
      <c r="BY88" s="15"/>
      <c r="BZ88" s="20"/>
      <c r="CA88" s="12" t="str">
        <f>IF($A88="","",SUMIFS('Consumable Usage'!$E:$E,'Consumable Usage'!$A:$A,$A88,'Consumable Usage'!$D:$D,8))</f>
        <v/>
      </c>
      <c r="CB88" s="12" t="str">
        <f>IF($A88="","",SUMIFS('Nursing Charges'!$I:$I,'Nursing Charges'!$A:$A,$A88,'Nursing Charges'!$C:$C,8))</f>
        <v/>
      </c>
      <c r="CC88" s="12" t="str">
        <f>IF($A88="","",BZ88+(CB88-SUMIFS('Nursing Charges'!$J:$J,'Nursing Charges'!$A:$A,$A88,'Nursing Charges'!$C:$C,8))+(CA88-SUMIFS('Consumable Usage'!$F:$F,'Consumable Usage'!$A:$A,$A88,'Consumable Usage'!$D:$D,8)))</f>
        <v/>
      </c>
      <c r="CD88" s="12" t="str">
        <f t="shared" si="22"/>
        <v/>
      </c>
      <c r="CE88" s="20"/>
      <c r="CF88" s="12" t="str">
        <f t="shared" si="23"/>
        <v/>
      </c>
      <c r="CG88" s="45" t="str">
        <f t="shared" si="24"/>
        <v/>
      </c>
      <c r="CH88" s="15"/>
      <c r="CI88" s="15"/>
      <c r="CJ88" s="20"/>
      <c r="CK88" s="12" t="str">
        <f>IF($A88="","",SUMIFS('Consumable Usage'!$E:$E,'Consumable Usage'!$A:$A,$A88,'Consumable Usage'!$D:$D,9))</f>
        <v/>
      </c>
      <c r="CL88" s="12" t="str">
        <f>IF($A88="","",SUMIFS('Nursing Charges'!$I:$I,'Nursing Charges'!$A:$A,$A88,'Nursing Charges'!$C:$C,9))</f>
        <v/>
      </c>
      <c r="CM88" s="12" t="str">
        <f>IF($A88="","",CJ88+(CL88-SUMIFS('Nursing Charges'!$J:$J,'Nursing Charges'!$A:$A,$A88,'Nursing Charges'!$C:$C,9))+(CK88-SUMIFS('Consumable Usage'!$F:$F,'Consumable Usage'!$A:$A,$A88,'Consumable Usage'!$D:$D,9)))</f>
        <v/>
      </c>
      <c r="CN88" s="12" t="str">
        <f t="shared" si="25"/>
        <v/>
      </c>
      <c r="CO88" s="20"/>
      <c r="CP88" s="12" t="str">
        <f t="shared" si="26"/>
        <v/>
      </c>
      <c r="CQ88" s="45" t="str">
        <f t="shared" si="27"/>
        <v/>
      </c>
      <c r="CR88" s="15"/>
      <c r="CS88" s="15"/>
      <c r="CT88" s="20"/>
      <c r="CU88" s="12" t="str">
        <f>IF($A88="","",SUMIFS('Consumable Usage'!$E:$E,'Consumable Usage'!$A:$A,$A88,'Consumable Usage'!$D:$D,10))</f>
        <v/>
      </c>
      <c r="CV88" s="12" t="str">
        <f>IF($A88="","",SUMIFS('Nursing Charges'!$I:$I,'Nursing Charges'!$A:$A,$A88,'Nursing Charges'!$C:$C,10))</f>
        <v/>
      </c>
      <c r="CW88" s="12" t="str">
        <f>IF($A88="","",CT88+(CV88-SUMIFS('Nursing Charges'!$J:$J,'Nursing Charges'!$A:$A,$A88,'Nursing Charges'!$C:$C,10))+(CU88-SUMIFS('Consumable Usage'!$F:$F,'Consumable Usage'!$A:$A,$A88,'Consumable Usage'!$D:$D,10)))</f>
        <v/>
      </c>
      <c r="CX88" s="12" t="str">
        <f t="shared" si="28"/>
        <v/>
      </c>
      <c r="CY88" s="20"/>
      <c r="CZ88" s="12" t="str">
        <f t="shared" si="29"/>
        <v/>
      </c>
      <c r="DA88" s="45" t="str">
        <f t="shared" si="30"/>
        <v/>
      </c>
      <c r="DB88" s="15"/>
      <c r="DC88" s="15"/>
      <c r="DD88" s="20"/>
      <c r="DE88" s="12" t="str">
        <f>IF($A88="","",SUMIFS('Consumable Usage'!$E:$E,'Consumable Usage'!$A:$A,$A88,'Consumable Usage'!$D:$D,11))</f>
        <v/>
      </c>
      <c r="DF88" s="12" t="str">
        <f>IF($A88="","",SUMIFS('Nursing Charges'!$I:$I,'Nursing Charges'!$A:$A,$A88,'Nursing Charges'!$C:$C,11))</f>
        <v/>
      </c>
      <c r="DG88" s="12" t="str">
        <f>IF($A88="","",DD88+(DF88-SUMIFS('Nursing Charges'!$J:$J,'Nursing Charges'!$A:$A,$A88,'Nursing Charges'!$C:$C,11))+(DE88-SUMIFS('Consumable Usage'!$F:$F,'Consumable Usage'!$A:$A,$A88,'Consumable Usage'!$D:$D,11)))</f>
        <v/>
      </c>
      <c r="DH88" s="12" t="str">
        <f t="shared" si="31"/>
        <v/>
      </c>
      <c r="DI88" s="20"/>
      <c r="DJ88" s="12" t="str">
        <f t="shared" si="32"/>
        <v/>
      </c>
      <c r="DK88" s="45" t="str">
        <f t="shared" si="33"/>
        <v/>
      </c>
      <c r="DL88" s="15"/>
      <c r="DM88" s="15"/>
      <c r="DN88" s="20"/>
      <c r="DO88" s="12" t="str">
        <f>IF($A88="","",SUMIFS('Consumable Usage'!$E:$E,'Consumable Usage'!$A:$A,$A88,'Consumable Usage'!$D:$D,12))</f>
        <v/>
      </c>
      <c r="DP88" s="12" t="str">
        <f>IF($A88="","",SUMIFS('Nursing Charges'!$I:$I,'Nursing Charges'!$A:$A,$A88,'Nursing Charges'!$C:$C,12))</f>
        <v/>
      </c>
      <c r="DQ88" s="12" t="str">
        <f>IF($A88="","",DN88+(DP88-SUMIFS('Nursing Charges'!$J:$J,'Nursing Charges'!$A:$A,$A88,'Nursing Charges'!$C:$C,12))+(DO88-SUMIFS('Consumable Usage'!$F:$F,'Consumable Usage'!$A:$A,$A88,'Consumable Usage'!$D:$D,12)))</f>
        <v/>
      </c>
      <c r="DR88" s="12" t="str">
        <f t="shared" si="34"/>
        <v/>
      </c>
      <c r="DS88" s="20"/>
      <c r="DT88" s="12" t="str">
        <f t="shared" si="35"/>
        <v/>
      </c>
      <c r="DU88" s="45" t="str">
        <f t="shared" si="36"/>
        <v/>
      </c>
      <c r="DV88" s="15"/>
      <c r="DW88" s="15"/>
      <c r="DX88" s="20"/>
      <c r="DY88" s="12" t="str">
        <f>IF($A88="","",SUMIFS('Consumable Usage'!$E:$E,'Consumable Usage'!$A:$A,$A88,'Consumable Usage'!$D:$D,13))</f>
        <v/>
      </c>
      <c r="DZ88" s="12" t="str">
        <f>IF($A88="","",SUMIFS('Nursing Charges'!$I:$I,'Nursing Charges'!$A:$A,$A88,'Nursing Charges'!$C:$C,13))</f>
        <v/>
      </c>
      <c r="EA88" s="12" t="str">
        <f>IF($A88="","",DX88+(DZ88-SUMIFS('Nursing Charges'!$J:$J,'Nursing Charges'!$A:$A,$A88,'Nursing Charges'!$C:$C,13))+(DY88-SUMIFS('Consumable Usage'!$F:$F,'Consumable Usage'!$A:$A,$A88,'Consumable Usage'!$D:$D,13)))</f>
        <v/>
      </c>
      <c r="EB88" s="12" t="str">
        <f t="shared" si="37"/>
        <v/>
      </c>
      <c r="EC88" s="20"/>
      <c r="ED88" s="12" t="str">
        <f t="shared" si="38"/>
        <v/>
      </c>
      <c r="EE88" s="45" t="str">
        <f t="shared" si="39"/>
        <v/>
      </c>
      <c r="EF88" s="15"/>
      <c r="EG88" s="15"/>
      <c r="EH88" s="20"/>
      <c r="EI88" s="12" t="str">
        <f>IF($A88="","",SUMIFS('Consumable Usage'!$E:$E,'Consumable Usage'!$A:$A,$A88,'Consumable Usage'!$D:$D,14))</f>
        <v/>
      </c>
      <c r="EJ88" s="12" t="str">
        <f>IF($A88="","",SUMIFS('Nursing Charges'!$I:$I,'Nursing Charges'!$A:$A,$A88,'Nursing Charges'!$C:$C,14))</f>
        <v/>
      </c>
      <c r="EK88" s="12" t="str">
        <f>IF($A88="","",EH88+(EJ88-SUMIFS('Nursing Charges'!$J:$J,'Nursing Charges'!$A:$A,$A88,'Nursing Charges'!$C:$C,14))+(EI88-SUMIFS('Consumable Usage'!$F:$F,'Consumable Usage'!$A:$A,$A88,'Consumable Usage'!$D:$D,14)))</f>
        <v/>
      </c>
      <c r="EL88" s="12" t="str">
        <f t="shared" si="40"/>
        <v/>
      </c>
      <c r="EM88" s="20"/>
      <c r="EN88" s="12" t="str">
        <f t="shared" si="41"/>
        <v/>
      </c>
      <c r="EO88" s="45" t="str">
        <f t="shared" si="42"/>
        <v/>
      </c>
      <c r="EP88" s="15"/>
      <c r="EQ88" s="15"/>
      <c r="ER88" s="20"/>
      <c r="ES88" s="12" t="str">
        <f>IF($A88="","",SUMIFS('Consumable Usage'!$E:$E,'Consumable Usage'!$A:$A,$A88,'Consumable Usage'!$D:$D,15))</f>
        <v/>
      </c>
      <c r="ET88" s="12" t="str">
        <f>IF($A88="","",SUMIFS('Nursing Charges'!$I:$I,'Nursing Charges'!$A:$A,$A88,'Nursing Charges'!$C:$C,15))</f>
        <v/>
      </c>
      <c r="EU88" s="12" t="str">
        <f>IF($A88="","",ER88+(ET88-SUMIFS('Nursing Charges'!$J:$J,'Nursing Charges'!$A:$A,$A88,'Nursing Charges'!$C:$C,15))+(ES88-SUMIFS('Consumable Usage'!$F:$F,'Consumable Usage'!$A:$A,$A88,'Consumable Usage'!$D:$D,15)))</f>
        <v/>
      </c>
      <c r="EV88" s="12" t="str">
        <f t="shared" si="43"/>
        <v/>
      </c>
      <c r="EW88" s="20"/>
      <c r="EX88" s="12" t="str">
        <f t="shared" si="44"/>
        <v/>
      </c>
      <c r="EY88" s="45" t="str">
        <f t="shared" si="45"/>
        <v/>
      </c>
      <c r="EZ88" s="15"/>
      <c r="FA88" s="15"/>
      <c r="FB88" s="20"/>
      <c r="FC88" s="12" t="str">
        <f>IF($A88="","",SUMIFS('Consumable Usage'!$E:$E,'Consumable Usage'!$A:$A,$A88,'Consumable Usage'!$D:$D,16))</f>
        <v/>
      </c>
      <c r="FD88" s="12" t="str">
        <f>IF($A88="","",SUMIFS('Nursing Charges'!$I:$I,'Nursing Charges'!$A:$A,$A88,'Nursing Charges'!$C:$C,16))</f>
        <v/>
      </c>
      <c r="FE88" s="12" t="str">
        <f>IF($A88="","",FB88+(FD88-SUMIFS('Nursing Charges'!$J:$J,'Nursing Charges'!$A:$A,$A88,'Nursing Charges'!$C:$C,16))+(FC88-SUMIFS('Consumable Usage'!$F:$F,'Consumable Usage'!$A:$A,$A88,'Consumable Usage'!$D:$D,16)))</f>
        <v/>
      </c>
      <c r="FF88" s="12" t="str">
        <f t="shared" si="46"/>
        <v/>
      </c>
      <c r="FG88" s="20"/>
      <c r="FH88" s="12" t="str">
        <f t="shared" si="47"/>
        <v/>
      </c>
      <c r="FI88" s="45" t="str">
        <f t="shared" si="48"/>
        <v/>
      </c>
      <c r="FJ88" s="53"/>
      <c r="FK88" s="53"/>
      <c r="FL88" s="63"/>
      <c r="FM88" s="63" t="str">
        <f>IF($A88="","",SUMIFS('Consumable Usage'!$E:$E,'Consumable Usage'!$A:$A,$A88,'Consumable Usage'!$D:$D,16))</f>
        <v/>
      </c>
      <c r="FN88" s="63" t="str">
        <f>IF($A88="","",SUMIFS('Nursing Charges'!$I:$I,'Nursing Charges'!$A:$A,$A88,'Nursing Charges'!$C:$C,16))</f>
        <v/>
      </c>
      <c r="FO88" s="63" t="str">
        <f>IF($A88="","",FL88+(FN88-SUMIFS('Nursing Charges'!$J:$J,'Nursing Charges'!$A:$A,$A88,'Nursing Charges'!$C:$C,16))+(FM88-SUMIFS('Consumable Usage'!$F:$F,'Consumable Usage'!$A:$A,$A88,'Consumable Usage'!$D:$D,16)))</f>
        <v/>
      </c>
      <c r="FP88" s="63" t="str">
        <f t="shared" si="49"/>
        <v/>
      </c>
      <c r="FQ88" s="63"/>
      <c r="FR88" s="63" t="str">
        <f t="shared" si="50"/>
        <v/>
      </c>
      <c r="FS88" s="53" t="str">
        <f t="shared" si="51"/>
        <v/>
      </c>
    </row>
    <row r="89" ht="15.0" customHeight="1">
      <c r="A89" s="15"/>
      <c r="B89" s="15"/>
      <c r="C89" s="15"/>
      <c r="D89" s="15"/>
      <c r="E89" s="15"/>
      <c r="F89" s="15"/>
      <c r="G89" s="15"/>
      <c r="H89" s="20"/>
      <c r="I89" s="12" t="str">
        <f>IF($A89="","",SUMIFS('Consumable Usage'!$E:$E,'Consumable Usage'!$A:$A,$A89,'Consumable Usage'!$D:$D,1))</f>
        <v/>
      </c>
      <c r="J89" s="12" t="str">
        <f>IF($A89="","",SUMIFS('Nursing Charges'!$I:$I,'Nursing Charges'!$A:$A,$A89,'Nursing Charges'!$C:$C,1))</f>
        <v/>
      </c>
      <c r="K89" s="12" t="str">
        <f>IF($A89="","",H89+(J89-SUMIFS('Nursing Charges'!$J:$J,'Nursing Charges'!$A:$A,$A89,'Nursing Charges'!$C:$C,1))+(I89-SUMIFS('Consumable Usage'!$F:$F,'Consumable Usage'!$A:$A,$A89,'Consumable Usage'!$D:$D,1)))</f>
        <v/>
      </c>
      <c r="L89" s="12" t="str">
        <f t="shared" si="1"/>
        <v/>
      </c>
      <c r="M89" s="20"/>
      <c r="N89" s="12" t="str">
        <f t="shared" si="2"/>
        <v/>
      </c>
      <c r="O89" s="45" t="str">
        <f t="shared" si="3"/>
        <v/>
      </c>
      <c r="P89" s="15"/>
      <c r="Q89" s="15"/>
      <c r="R89" s="20"/>
      <c r="S89" s="12" t="str">
        <f>IF($A89="","",SUMIFS('Consumable Usage'!$E:$E,'Consumable Usage'!$A:$A,$A89,'Consumable Usage'!$D:$D,2))</f>
        <v/>
      </c>
      <c r="T89" s="12" t="str">
        <f>IF($A89="","",SUMIFS('Nursing Charges'!$I:$I,'Nursing Charges'!$A:$A,$A89,'Nursing Charges'!$C:$C,2))</f>
        <v/>
      </c>
      <c r="U89" s="12" t="str">
        <f>IF($A89="","",R89+(T89-SUMIFS('Nursing Charges'!$J:$J,'Nursing Charges'!$A:$A,$A89,'Nursing Charges'!$C:$C,2))+(S89-SUMIFS('Consumable Usage'!$F:$F,'Consumable Usage'!$A:$A,$A89,'Consumable Usage'!$D:$D,2)))</f>
        <v/>
      </c>
      <c r="V89" s="12" t="str">
        <f t="shared" si="4"/>
        <v/>
      </c>
      <c r="W89" s="20"/>
      <c r="X89" s="12" t="str">
        <f t="shared" si="5"/>
        <v/>
      </c>
      <c r="Y89" s="45" t="str">
        <f t="shared" si="6"/>
        <v/>
      </c>
      <c r="Z89" s="15"/>
      <c r="AA89" s="15"/>
      <c r="AB89" s="20"/>
      <c r="AC89" s="12" t="str">
        <f>IF($A89="","",SUMIFS('Consumable Usage'!$E:$E,'Consumable Usage'!$A:$A,$A89,'Consumable Usage'!$D:$D,3))</f>
        <v/>
      </c>
      <c r="AD89" s="12" t="str">
        <f>IF($A89="","",SUMIFS('Nursing Charges'!$I:$I,'Nursing Charges'!$A:$A,$A89,'Nursing Charges'!$C:$C,3))</f>
        <v/>
      </c>
      <c r="AE89" s="12" t="str">
        <f>IF($A89="","",AB89+(AD89-SUMIFS('Nursing Charges'!$J:$J,'Nursing Charges'!$A:$A,$A89,'Nursing Charges'!$C:$C,3))+(AC89-SUMIFS('Consumable Usage'!$F:$F,'Consumable Usage'!$A:$A,$A89,'Consumable Usage'!$D:$D,3)))</f>
        <v/>
      </c>
      <c r="AF89" s="12" t="str">
        <f t="shared" si="7"/>
        <v/>
      </c>
      <c r="AG89" s="20"/>
      <c r="AH89" s="12" t="str">
        <f t="shared" si="8"/>
        <v/>
      </c>
      <c r="AI89" s="45" t="str">
        <f t="shared" si="9"/>
        <v/>
      </c>
      <c r="AJ89" s="15"/>
      <c r="AK89" s="15"/>
      <c r="AL89" s="20"/>
      <c r="AM89" s="12" t="str">
        <f>IF($A89="","",SUMIFS('Consumable Usage'!$E:$E,'Consumable Usage'!$A:$A,$A89,'Consumable Usage'!$D:$D,4))</f>
        <v/>
      </c>
      <c r="AN89" s="12" t="str">
        <f>IF($A89="","",SUMIFS('Nursing Charges'!$I:$I,'Nursing Charges'!$A:$A,$A89,'Nursing Charges'!$C:$C,4))</f>
        <v/>
      </c>
      <c r="AO89" s="12" t="str">
        <f>IF($A89="","",AL89+(AN89-SUMIFS('Nursing Charges'!$J:$J,'Nursing Charges'!$A:$A,$A89,'Nursing Charges'!$C:$C,4))+(AM89-SUMIFS('Consumable Usage'!$F:$F,'Consumable Usage'!$A:$A,$A89,'Consumable Usage'!$D:$D,4)))</f>
        <v/>
      </c>
      <c r="AP89" s="12" t="str">
        <f t="shared" si="10"/>
        <v/>
      </c>
      <c r="AQ89" s="20"/>
      <c r="AR89" s="12" t="str">
        <f t="shared" si="11"/>
        <v/>
      </c>
      <c r="AS89" s="45" t="str">
        <f t="shared" si="12"/>
        <v/>
      </c>
      <c r="AT89" s="15"/>
      <c r="AU89" s="15"/>
      <c r="AV89" s="20"/>
      <c r="AW89" s="12" t="str">
        <f>IF($A89="","",SUMIFS('Consumable Usage'!$E:$E,'Consumable Usage'!$A:$A,$A89,'Consumable Usage'!$D:$D,5))</f>
        <v/>
      </c>
      <c r="AX89" s="12" t="str">
        <f>IF($A89="","",SUMIFS('Nursing Charges'!$I:$I,'Nursing Charges'!$A:$A,$A89,'Nursing Charges'!$C:$C,5))</f>
        <v/>
      </c>
      <c r="AY89" s="12" t="str">
        <f>IF($A89="","",AV89+(AX89-SUMIFS('Nursing Charges'!$J:$J,'Nursing Charges'!$A:$A,$A89,'Nursing Charges'!$C:$C,5))+(AW89-SUMIFS('Consumable Usage'!$F:$F,'Consumable Usage'!$A:$A,$A89,'Consumable Usage'!$D:$D,5)))</f>
        <v/>
      </c>
      <c r="AZ89" s="12" t="str">
        <f t="shared" si="13"/>
        <v/>
      </c>
      <c r="BA89" s="20"/>
      <c r="BB89" s="12" t="str">
        <f t="shared" si="14"/>
        <v/>
      </c>
      <c r="BC89" s="45" t="str">
        <f t="shared" si="15"/>
        <v/>
      </c>
      <c r="BD89" s="15"/>
      <c r="BE89" s="15"/>
      <c r="BF89" s="20"/>
      <c r="BG89" s="12" t="str">
        <f>IF($A89="","",SUMIFS('Consumable Usage'!$E:$E,'Consumable Usage'!$A:$A,$A89,'Consumable Usage'!$D:$D,6))</f>
        <v/>
      </c>
      <c r="BH89" s="12" t="str">
        <f>IF($A89="","",SUMIFS('Nursing Charges'!$I:$I,'Nursing Charges'!$A:$A,$A89,'Nursing Charges'!$C:$C,6))</f>
        <v/>
      </c>
      <c r="BI89" s="12" t="str">
        <f>IF($A89="","",BF89+(BH89-SUMIFS('Nursing Charges'!$J:$J,'Nursing Charges'!$A:$A,$A89,'Nursing Charges'!$C:$C,6))+(BG89-SUMIFS('Consumable Usage'!$F:$F,'Consumable Usage'!$A:$A,$A89,'Consumable Usage'!$D:$D,6)))</f>
        <v/>
      </c>
      <c r="BJ89" s="12" t="str">
        <f t="shared" si="16"/>
        <v/>
      </c>
      <c r="BK89" s="20"/>
      <c r="BL89" s="12" t="str">
        <f t="shared" si="17"/>
        <v/>
      </c>
      <c r="BM89" s="45" t="str">
        <f t="shared" si="18"/>
        <v/>
      </c>
      <c r="BN89" s="15"/>
      <c r="BO89" s="15"/>
      <c r="BP89" s="20"/>
      <c r="BQ89" s="12" t="str">
        <f>IF($A89="","",SUMIFS('Consumable Usage'!$E:$E,'Consumable Usage'!$A:$A,$A89,'Consumable Usage'!$D:$D,7))</f>
        <v/>
      </c>
      <c r="BR89" s="12" t="str">
        <f>IF($A89="","",SUMIFS('Nursing Charges'!$I:$I,'Nursing Charges'!$A:$A,$A89,'Nursing Charges'!$C:$C,7))</f>
        <v/>
      </c>
      <c r="BS89" s="12" t="str">
        <f>IF($A89="","",BP89+(BR89-SUMIFS('Nursing Charges'!$J:$J,'Nursing Charges'!$A:$A,$A89,'Nursing Charges'!$C:$C,7))+(BQ89-SUMIFS('Consumable Usage'!$F:$F,'Consumable Usage'!$A:$A,$A89,'Consumable Usage'!$D:$D,7)))</f>
        <v/>
      </c>
      <c r="BT89" s="12" t="str">
        <f t="shared" si="19"/>
        <v/>
      </c>
      <c r="BU89" s="20"/>
      <c r="BV89" s="12" t="str">
        <f t="shared" si="20"/>
        <v/>
      </c>
      <c r="BW89" s="45" t="str">
        <f t="shared" si="21"/>
        <v/>
      </c>
      <c r="BX89" s="15"/>
      <c r="BY89" s="15"/>
      <c r="BZ89" s="20"/>
      <c r="CA89" s="12" t="str">
        <f>IF($A89="","",SUMIFS('Consumable Usage'!$E:$E,'Consumable Usage'!$A:$A,$A89,'Consumable Usage'!$D:$D,8))</f>
        <v/>
      </c>
      <c r="CB89" s="12" t="str">
        <f>IF($A89="","",SUMIFS('Nursing Charges'!$I:$I,'Nursing Charges'!$A:$A,$A89,'Nursing Charges'!$C:$C,8))</f>
        <v/>
      </c>
      <c r="CC89" s="12" t="str">
        <f>IF($A89="","",BZ89+(CB89-SUMIFS('Nursing Charges'!$J:$J,'Nursing Charges'!$A:$A,$A89,'Nursing Charges'!$C:$C,8))+(CA89-SUMIFS('Consumable Usage'!$F:$F,'Consumable Usage'!$A:$A,$A89,'Consumable Usage'!$D:$D,8)))</f>
        <v/>
      </c>
      <c r="CD89" s="12" t="str">
        <f t="shared" si="22"/>
        <v/>
      </c>
      <c r="CE89" s="20"/>
      <c r="CF89" s="12" t="str">
        <f t="shared" si="23"/>
        <v/>
      </c>
      <c r="CG89" s="45" t="str">
        <f t="shared" si="24"/>
        <v/>
      </c>
      <c r="CH89" s="15"/>
      <c r="CI89" s="15"/>
      <c r="CJ89" s="20"/>
      <c r="CK89" s="12" t="str">
        <f>IF($A89="","",SUMIFS('Consumable Usage'!$E:$E,'Consumable Usage'!$A:$A,$A89,'Consumable Usage'!$D:$D,9))</f>
        <v/>
      </c>
      <c r="CL89" s="12" t="str">
        <f>IF($A89="","",SUMIFS('Nursing Charges'!$I:$I,'Nursing Charges'!$A:$A,$A89,'Nursing Charges'!$C:$C,9))</f>
        <v/>
      </c>
      <c r="CM89" s="12" t="str">
        <f>IF($A89="","",CJ89+(CL89-SUMIFS('Nursing Charges'!$J:$J,'Nursing Charges'!$A:$A,$A89,'Nursing Charges'!$C:$C,9))+(CK89-SUMIFS('Consumable Usage'!$F:$F,'Consumable Usage'!$A:$A,$A89,'Consumable Usage'!$D:$D,9)))</f>
        <v/>
      </c>
      <c r="CN89" s="12" t="str">
        <f t="shared" si="25"/>
        <v/>
      </c>
      <c r="CO89" s="20"/>
      <c r="CP89" s="12" t="str">
        <f t="shared" si="26"/>
        <v/>
      </c>
      <c r="CQ89" s="45" t="str">
        <f t="shared" si="27"/>
        <v/>
      </c>
      <c r="CR89" s="15"/>
      <c r="CS89" s="15"/>
      <c r="CT89" s="20"/>
      <c r="CU89" s="12" t="str">
        <f>IF($A89="","",SUMIFS('Consumable Usage'!$E:$E,'Consumable Usage'!$A:$A,$A89,'Consumable Usage'!$D:$D,10))</f>
        <v/>
      </c>
      <c r="CV89" s="12" t="str">
        <f>IF($A89="","",SUMIFS('Nursing Charges'!$I:$I,'Nursing Charges'!$A:$A,$A89,'Nursing Charges'!$C:$C,10))</f>
        <v/>
      </c>
      <c r="CW89" s="12" t="str">
        <f>IF($A89="","",CT89+(CV89-SUMIFS('Nursing Charges'!$J:$J,'Nursing Charges'!$A:$A,$A89,'Nursing Charges'!$C:$C,10))+(CU89-SUMIFS('Consumable Usage'!$F:$F,'Consumable Usage'!$A:$A,$A89,'Consumable Usage'!$D:$D,10)))</f>
        <v/>
      </c>
      <c r="CX89" s="12" t="str">
        <f t="shared" si="28"/>
        <v/>
      </c>
      <c r="CY89" s="20"/>
      <c r="CZ89" s="12" t="str">
        <f t="shared" si="29"/>
        <v/>
      </c>
      <c r="DA89" s="45" t="str">
        <f t="shared" si="30"/>
        <v/>
      </c>
      <c r="DB89" s="15"/>
      <c r="DC89" s="15"/>
      <c r="DD89" s="20"/>
      <c r="DE89" s="12" t="str">
        <f>IF($A89="","",SUMIFS('Consumable Usage'!$E:$E,'Consumable Usage'!$A:$A,$A89,'Consumable Usage'!$D:$D,11))</f>
        <v/>
      </c>
      <c r="DF89" s="12" t="str">
        <f>IF($A89="","",SUMIFS('Nursing Charges'!$I:$I,'Nursing Charges'!$A:$A,$A89,'Nursing Charges'!$C:$C,11))</f>
        <v/>
      </c>
      <c r="DG89" s="12" t="str">
        <f>IF($A89="","",DD89+(DF89-SUMIFS('Nursing Charges'!$J:$J,'Nursing Charges'!$A:$A,$A89,'Nursing Charges'!$C:$C,11))+(DE89-SUMIFS('Consumable Usage'!$F:$F,'Consumable Usage'!$A:$A,$A89,'Consumable Usage'!$D:$D,11)))</f>
        <v/>
      </c>
      <c r="DH89" s="12" t="str">
        <f t="shared" si="31"/>
        <v/>
      </c>
      <c r="DI89" s="20"/>
      <c r="DJ89" s="12" t="str">
        <f t="shared" si="32"/>
        <v/>
      </c>
      <c r="DK89" s="45" t="str">
        <f t="shared" si="33"/>
        <v/>
      </c>
      <c r="DL89" s="15"/>
      <c r="DM89" s="15"/>
      <c r="DN89" s="20"/>
      <c r="DO89" s="12" t="str">
        <f>IF($A89="","",SUMIFS('Consumable Usage'!$E:$E,'Consumable Usage'!$A:$A,$A89,'Consumable Usage'!$D:$D,12))</f>
        <v/>
      </c>
      <c r="DP89" s="12" t="str">
        <f>IF($A89="","",SUMIFS('Nursing Charges'!$I:$I,'Nursing Charges'!$A:$A,$A89,'Nursing Charges'!$C:$C,12))</f>
        <v/>
      </c>
      <c r="DQ89" s="12" t="str">
        <f>IF($A89="","",DN89+(DP89-SUMIFS('Nursing Charges'!$J:$J,'Nursing Charges'!$A:$A,$A89,'Nursing Charges'!$C:$C,12))+(DO89-SUMIFS('Consumable Usage'!$F:$F,'Consumable Usage'!$A:$A,$A89,'Consumable Usage'!$D:$D,12)))</f>
        <v/>
      </c>
      <c r="DR89" s="12" t="str">
        <f t="shared" si="34"/>
        <v/>
      </c>
      <c r="DS89" s="20"/>
      <c r="DT89" s="12" t="str">
        <f t="shared" si="35"/>
        <v/>
      </c>
      <c r="DU89" s="45" t="str">
        <f t="shared" si="36"/>
        <v/>
      </c>
      <c r="DV89" s="15"/>
      <c r="DW89" s="15"/>
      <c r="DX89" s="20"/>
      <c r="DY89" s="12" t="str">
        <f>IF($A89="","",SUMIFS('Consumable Usage'!$E:$E,'Consumable Usage'!$A:$A,$A89,'Consumable Usage'!$D:$D,13))</f>
        <v/>
      </c>
      <c r="DZ89" s="12" t="str">
        <f>IF($A89="","",SUMIFS('Nursing Charges'!$I:$I,'Nursing Charges'!$A:$A,$A89,'Nursing Charges'!$C:$C,13))</f>
        <v/>
      </c>
      <c r="EA89" s="12" t="str">
        <f>IF($A89="","",DX89+(DZ89-SUMIFS('Nursing Charges'!$J:$J,'Nursing Charges'!$A:$A,$A89,'Nursing Charges'!$C:$C,13))+(DY89-SUMIFS('Consumable Usage'!$F:$F,'Consumable Usage'!$A:$A,$A89,'Consumable Usage'!$D:$D,13)))</f>
        <v/>
      </c>
      <c r="EB89" s="12" t="str">
        <f t="shared" si="37"/>
        <v/>
      </c>
      <c r="EC89" s="20"/>
      <c r="ED89" s="12" t="str">
        <f t="shared" si="38"/>
        <v/>
      </c>
      <c r="EE89" s="45" t="str">
        <f t="shared" si="39"/>
        <v/>
      </c>
      <c r="EF89" s="15"/>
      <c r="EG89" s="15"/>
      <c r="EH89" s="20"/>
      <c r="EI89" s="12" t="str">
        <f>IF($A89="","",SUMIFS('Consumable Usage'!$E:$E,'Consumable Usage'!$A:$A,$A89,'Consumable Usage'!$D:$D,14))</f>
        <v/>
      </c>
      <c r="EJ89" s="12" t="str">
        <f>IF($A89="","",SUMIFS('Nursing Charges'!$I:$I,'Nursing Charges'!$A:$A,$A89,'Nursing Charges'!$C:$C,14))</f>
        <v/>
      </c>
      <c r="EK89" s="12" t="str">
        <f>IF($A89="","",EH89+(EJ89-SUMIFS('Nursing Charges'!$J:$J,'Nursing Charges'!$A:$A,$A89,'Nursing Charges'!$C:$C,14))+(EI89-SUMIFS('Consumable Usage'!$F:$F,'Consumable Usage'!$A:$A,$A89,'Consumable Usage'!$D:$D,14)))</f>
        <v/>
      </c>
      <c r="EL89" s="12" t="str">
        <f t="shared" si="40"/>
        <v/>
      </c>
      <c r="EM89" s="20"/>
      <c r="EN89" s="12" t="str">
        <f t="shared" si="41"/>
        <v/>
      </c>
      <c r="EO89" s="45" t="str">
        <f t="shared" si="42"/>
        <v/>
      </c>
      <c r="EP89" s="15"/>
      <c r="EQ89" s="15"/>
      <c r="ER89" s="20"/>
      <c r="ES89" s="12" t="str">
        <f>IF($A89="","",SUMIFS('Consumable Usage'!$E:$E,'Consumable Usage'!$A:$A,$A89,'Consumable Usage'!$D:$D,15))</f>
        <v/>
      </c>
      <c r="ET89" s="12" t="str">
        <f>IF($A89="","",SUMIFS('Nursing Charges'!$I:$I,'Nursing Charges'!$A:$A,$A89,'Nursing Charges'!$C:$C,15))</f>
        <v/>
      </c>
      <c r="EU89" s="12" t="str">
        <f>IF($A89="","",ER89+(ET89-SUMIFS('Nursing Charges'!$J:$J,'Nursing Charges'!$A:$A,$A89,'Nursing Charges'!$C:$C,15))+(ES89-SUMIFS('Consumable Usage'!$F:$F,'Consumable Usage'!$A:$A,$A89,'Consumable Usage'!$D:$D,15)))</f>
        <v/>
      </c>
      <c r="EV89" s="12" t="str">
        <f t="shared" si="43"/>
        <v/>
      </c>
      <c r="EW89" s="20"/>
      <c r="EX89" s="12" t="str">
        <f t="shared" si="44"/>
        <v/>
      </c>
      <c r="EY89" s="45" t="str">
        <f t="shared" si="45"/>
        <v/>
      </c>
      <c r="EZ89" s="15"/>
      <c r="FA89" s="15"/>
      <c r="FB89" s="20"/>
      <c r="FC89" s="12" t="str">
        <f>IF($A89="","",SUMIFS('Consumable Usage'!$E:$E,'Consumable Usage'!$A:$A,$A89,'Consumable Usage'!$D:$D,16))</f>
        <v/>
      </c>
      <c r="FD89" s="12" t="str">
        <f>IF($A89="","",SUMIFS('Nursing Charges'!$I:$I,'Nursing Charges'!$A:$A,$A89,'Nursing Charges'!$C:$C,16))</f>
        <v/>
      </c>
      <c r="FE89" s="12" t="str">
        <f>IF($A89="","",FB89+(FD89-SUMIFS('Nursing Charges'!$J:$J,'Nursing Charges'!$A:$A,$A89,'Nursing Charges'!$C:$C,16))+(FC89-SUMIFS('Consumable Usage'!$F:$F,'Consumable Usage'!$A:$A,$A89,'Consumable Usage'!$D:$D,16)))</f>
        <v/>
      </c>
      <c r="FF89" s="12" t="str">
        <f t="shared" si="46"/>
        <v/>
      </c>
      <c r="FG89" s="20"/>
      <c r="FH89" s="12" t="str">
        <f t="shared" si="47"/>
        <v/>
      </c>
      <c r="FI89" s="45" t="str">
        <f t="shared" si="48"/>
        <v/>
      </c>
      <c r="FJ89" s="53"/>
      <c r="FK89" s="53"/>
      <c r="FL89" s="63"/>
      <c r="FM89" s="63" t="str">
        <f>IF($A89="","",SUMIFS('Consumable Usage'!$E:$E,'Consumable Usage'!$A:$A,$A89,'Consumable Usage'!$D:$D,16))</f>
        <v/>
      </c>
      <c r="FN89" s="63" t="str">
        <f>IF($A89="","",SUMIFS('Nursing Charges'!$I:$I,'Nursing Charges'!$A:$A,$A89,'Nursing Charges'!$C:$C,16))</f>
        <v/>
      </c>
      <c r="FO89" s="63" t="str">
        <f>IF($A89="","",FL89+(FN89-SUMIFS('Nursing Charges'!$J:$J,'Nursing Charges'!$A:$A,$A89,'Nursing Charges'!$C:$C,16))+(FM89-SUMIFS('Consumable Usage'!$F:$F,'Consumable Usage'!$A:$A,$A89,'Consumable Usage'!$D:$D,16)))</f>
        <v/>
      </c>
      <c r="FP89" s="63" t="str">
        <f t="shared" si="49"/>
        <v/>
      </c>
      <c r="FQ89" s="63"/>
      <c r="FR89" s="63" t="str">
        <f t="shared" si="50"/>
        <v/>
      </c>
      <c r="FS89" s="53" t="str">
        <f t="shared" si="51"/>
        <v/>
      </c>
    </row>
    <row r="90" ht="15.0" customHeight="1">
      <c r="A90" s="15"/>
      <c r="B90" s="15"/>
      <c r="C90" s="15"/>
      <c r="D90" s="15"/>
      <c r="E90" s="15"/>
      <c r="F90" s="15"/>
      <c r="G90" s="15"/>
      <c r="H90" s="20"/>
      <c r="I90" s="12" t="str">
        <f>IF($A90="","",SUMIFS('Consumable Usage'!$E:$E,'Consumable Usage'!$A:$A,$A90,'Consumable Usage'!$D:$D,1))</f>
        <v/>
      </c>
      <c r="J90" s="12" t="str">
        <f>IF($A90="","",SUMIFS('Nursing Charges'!$I:$I,'Nursing Charges'!$A:$A,$A90,'Nursing Charges'!$C:$C,1))</f>
        <v/>
      </c>
      <c r="K90" s="12" t="str">
        <f>IF($A90="","",H90+(J90-SUMIFS('Nursing Charges'!$J:$J,'Nursing Charges'!$A:$A,$A90,'Nursing Charges'!$C:$C,1))+(I90-SUMIFS('Consumable Usage'!$F:$F,'Consumable Usage'!$A:$A,$A90,'Consumable Usage'!$D:$D,1)))</f>
        <v/>
      </c>
      <c r="L90" s="12" t="str">
        <f t="shared" si="1"/>
        <v/>
      </c>
      <c r="M90" s="20"/>
      <c r="N90" s="12" t="str">
        <f t="shared" si="2"/>
        <v/>
      </c>
      <c r="O90" s="45" t="str">
        <f t="shared" si="3"/>
        <v/>
      </c>
      <c r="P90" s="15"/>
      <c r="Q90" s="15"/>
      <c r="R90" s="20"/>
      <c r="S90" s="12" t="str">
        <f>IF($A90="","",SUMIFS('Consumable Usage'!$E:$E,'Consumable Usage'!$A:$A,$A90,'Consumable Usage'!$D:$D,2))</f>
        <v/>
      </c>
      <c r="T90" s="12" t="str">
        <f>IF($A90="","",SUMIFS('Nursing Charges'!$I:$I,'Nursing Charges'!$A:$A,$A90,'Nursing Charges'!$C:$C,2))</f>
        <v/>
      </c>
      <c r="U90" s="12" t="str">
        <f>IF($A90="","",R90+(T90-SUMIFS('Nursing Charges'!$J:$J,'Nursing Charges'!$A:$A,$A90,'Nursing Charges'!$C:$C,2))+(S90-SUMIFS('Consumable Usage'!$F:$F,'Consumable Usage'!$A:$A,$A90,'Consumable Usage'!$D:$D,2)))</f>
        <v/>
      </c>
      <c r="V90" s="12" t="str">
        <f t="shared" si="4"/>
        <v/>
      </c>
      <c r="W90" s="20"/>
      <c r="X90" s="12" t="str">
        <f t="shared" si="5"/>
        <v/>
      </c>
      <c r="Y90" s="45" t="str">
        <f t="shared" si="6"/>
        <v/>
      </c>
      <c r="Z90" s="15"/>
      <c r="AA90" s="15"/>
      <c r="AB90" s="20"/>
      <c r="AC90" s="12" t="str">
        <f>IF($A90="","",SUMIFS('Consumable Usage'!$E:$E,'Consumable Usage'!$A:$A,$A90,'Consumable Usage'!$D:$D,3))</f>
        <v/>
      </c>
      <c r="AD90" s="12" t="str">
        <f>IF($A90="","",SUMIFS('Nursing Charges'!$I:$I,'Nursing Charges'!$A:$A,$A90,'Nursing Charges'!$C:$C,3))</f>
        <v/>
      </c>
      <c r="AE90" s="12" t="str">
        <f>IF($A90="","",AB90+(AD90-SUMIFS('Nursing Charges'!$J:$J,'Nursing Charges'!$A:$A,$A90,'Nursing Charges'!$C:$C,3))+(AC90-SUMIFS('Consumable Usage'!$F:$F,'Consumable Usage'!$A:$A,$A90,'Consumable Usage'!$D:$D,3)))</f>
        <v/>
      </c>
      <c r="AF90" s="12" t="str">
        <f t="shared" si="7"/>
        <v/>
      </c>
      <c r="AG90" s="20"/>
      <c r="AH90" s="12" t="str">
        <f t="shared" si="8"/>
        <v/>
      </c>
      <c r="AI90" s="45" t="str">
        <f t="shared" si="9"/>
        <v/>
      </c>
      <c r="AJ90" s="15"/>
      <c r="AK90" s="15"/>
      <c r="AL90" s="20"/>
      <c r="AM90" s="12" t="str">
        <f>IF($A90="","",SUMIFS('Consumable Usage'!$E:$E,'Consumable Usage'!$A:$A,$A90,'Consumable Usage'!$D:$D,4))</f>
        <v/>
      </c>
      <c r="AN90" s="12" t="str">
        <f>IF($A90="","",SUMIFS('Nursing Charges'!$I:$I,'Nursing Charges'!$A:$A,$A90,'Nursing Charges'!$C:$C,4))</f>
        <v/>
      </c>
      <c r="AO90" s="12" t="str">
        <f>IF($A90="","",AL90+(AN90-SUMIFS('Nursing Charges'!$J:$J,'Nursing Charges'!$A:$A,$A90,'Nursing Charges'!$C:$C,4))+(AM90-SUMIFS('Consumable Usage'!$F:$F,'Consumable Usage'!$A:$A,$A90,'Consumable Usage'!$D:$D,4)))</f>
        <v/>
      </c>
      <c r="AP90" s="12" t="str">
        <f t="shared" si="10"/>
        <v/>
      </c>
      <c r="AQ90" s="20"/>
      <c r="AR90" s="12" t="str">
        <f t="shared" si="11"/>
        <v/>
      </c>
      <c r="AS90" s="45" t="str">
        <f t="shared" si="12"/>
        <v/>
      </c>
      <c r="AT90" s="15"/>
      <c r="AU90" s="15"/>
      <c r="AV90" s="20"/>
      <c r="AW90" s="12" t="str">
        <f>IF($A90="","",SUMIFS('Consumable Usage'!$E:$E,'Consumable Usage'!$A:$A,$A90,'Consumable Usage'!$D:$D,5))</f>
        <v/>
      </c>
      <c r="AX90" s="12" t="str">
        <f>IF($A90="","",SUMIFS('Nursing Charges'!$I:$I,'Nursing Charges'!$A:$A,$A90,'Nursing Charges'!$C:$C,5))</f>
        <v/>
      </c>
      <c r="AY90" s="12" t="str">
        <f>IF($A90="","",AV90+(AX90-SUMIFS('Nursing Charges'!$J:$J,'Nursing Charges'!$A:$A,$A90,'Nursing Charges'!$C:$C,5))+(AW90-SUMIFS('Consumable Usage'!$F:$F,'Consumable Usage'!$A:$A,$A90,'Consumable Usage'!$D:$D,5)))</f>
        <v/>
      </c>
      <c r="AZ90" s="12" t="str">
        <f t="shared" si="13"/>
        <v/>
      </c>
      <c r="BA90" s="20"/>
      <c r="BB90" s="12" t="str">
        <f t="shared" si="14"/>
        <v/>
      </c>
      <c r="BC90" s="45" t="str">
        <f t="shared" si="15"/>
        <v/>
      </c>
      <c r="BD90" s="15"/>
      <c r="BE90" s="15"/>
      <c r="BF90" s="20"/>
      <c r="BG90" s="12" t="str">
        <f>IF($A90="","",SUMIFS('Consumable Usage'!$E:$E,'Consumable Usage'!$A:$A,$A90,'Consumable Usage'!$D:$D,6))</f>
        <v/>
      </c>
      <c r="BH90" s="12" t="str">
        <f>IF($A90="","",SUMIFS('Nursing Charges'!$I:$I,'Nursing Charges'!$A:$A,$A90,'Nursing Charges'!$C:$C,6))</f>
        <v/>
      </c>
      <c r="BI90" s="12" t="str">
        <f>IF($A90="","",BF90+(BH90-SUMIFS('Nursing Charges'!$J:$J,'Nursing Charges'!$A:$A,$A90,'Nursing Charges'!$C:$C,6))+(BG90-SUMIFS('Consumable Usage'!$F:$F,'Consumable Usage'!$A:$A,$A90,'Consumable Usage'!$D:$D,6)))</f>
        <v/>
      </c>
      <c r="BJ90" s="12" t="str">
        <f t="shared" si="16"/>
        <v/>
      </c>
      <c r="BK90" s="20"/>
      <c r="BL90" s="12" t="str">
        <f t="shared" si="17"/>
        <v/>
      </c>
      <c r="BM90" s="45" t="str">
        <f t="shared" si="18"/>
        <v/>
      </c>
      <c r="BN90" s="15"/>
      <c r="BO90" s="15"/>
      <c r="BP90" s="20"/>
      <c r="BQ90" s="12" t="str">
        <f>IF($A90="","",SUMIFS('Consumable Usage'!$E:$E,'Consumable Usage'!$A:$A,$A90,'Consumable Usage'!$D:$D,7))</f>
        <v/>
      </c>
      <c r="BR90" s="12" t="str">
        <f>IF($A90="","",SUMIFS('Nursing Charges'!$I:$I,'Nursing Charges'!$A:$A,$A90,'Nursing Charges'!$C:$C,7))</f>
        <v/>
      </c>
      <c r="BS90" s="12" t="str">
        <f>IF($A90="","",BP90+(BR90-SUMIFS('Nursing Charges'!$J:$J,'Nursing Charges'!$A:$A,$A90,'Nursing Charges'!$C:$C,7))+(BQ90-SUMIFS('Consumable Usage'!$F:$F,'Consumable Usage'!$A:$A,$A90,'Consumable Usage'!$D:$D,7)))</f>
        <v/>
      </c>
      <c r="BT90" s="12" t="str">
        <f t="shared" si="19"/>
        <v/>
      </c>
      <c r="BU90" s="20"/>
      <c r="BV90" s="12" t="str">
        <f t="shared" si="20"/>
        <v/>
      </c>
      <c r="BW90" s="45" t="str">
        <f t="shared" si="21"/>
        <v/>
      </c>
      <c r="BX90" s="15"/>
      <c r="BY90" s="15"/>
      <c r="BZ90" s="20"/>
      <c r="CA90" s="12" t="str">
        <f>IF($A90="","",SUMIFS('Consumable Usage'!$E:$E,'Consumable Usage'!$A:$A,$A90,'Consumable Usage'!$D:$D,8))</f>
        <v/>
      </c>
      <c r="CB90" s="12" t="str">
        <f>IF($A90="","",SUMIFS('Nursing Charges'!$I:$I,'Nursing Charges'!$A:$A,$A90,'Nursing Charges'!$C:$C,8))</f>
        <v/>
      </c>
      <c r="CC90" s="12" t="str">
        <f>IF($A90="","",BZ90+(CB90-SUMIFS('Nursing Charges'!$J:$J,'Nursing Charges'!$A:$A,$A90,'Nursing Charges'!$C:$C,8))+(CA90-SUMIFS('Consumable Usage'!$F:$F,'Consumable Usage'!$A:$A,$A90,'Consumable Usage'!$D:$D,8)))</f>
        <v/>
      </c>
      <c r="CD90" s="12" t="str">
        <f t="shared" si="22"/>
        <v/>
      </c>
      <c r="CE90" s="20"/>
      <c r="CF90" s="12" t="str">
        <f t="shared" si="23"/>
        <v/>
      </c>
      <c r="CG90" s="45" t="str">
        <f t="shared" si="24"/>
        <v/>
      </c>
      <c r="CH90" s="15"/>
      <c r="CI90" s="15"/>
      <c r="CJ90" s="20"/>
      <c r="CK90" s="12" t="str">
        <f>IF($A90="","",SUMIFS('Consumable Usage'!$E:$E,'Consumable Usage'!$A:$A,$A90,'Consumable Usage'!$D:$D,9))</f>
        <v/>
      </c>
      <c r="CL90" s="12" t="str">
        <f>IF($A90="","",SUMIFS('Nursing Charges'!$I:$I,'Nursing Charges'!$A:$A,$A90,'Nursing Charges'!$C:$C,9))</f>
        <v/>
      </c>
      <c r="CM90" s="12" t="str">
        <f>IF($A90="","",CJ90+(CL90-SUMIFS('Nursing Charges'!$J:$J,'Nursing Charges'!$A:$A,$A90,'Nursing Charges'!$C:$C,9))+(CK90-SUMIFS('Consumable Usage'!$F:$F,'Consumable Usage'!$A:$A,$A90,'Consumable Usage'!$D:$D,9)))</f>
        <v/>
      </c>
      <c r="CN90" s="12" t="str">
        <f t="shared" si="25"/>
        <v/>
      </c>
      <c r="CO90" s="20"/>
      <c r="CP90" s="12" t="str">
        <f t="shared" si="26"/>
        <v/>
      </c>
      <c r="CQ90" s="45" t="str">
        <f t="shared" si="27"/>
        <v/>
      </c>
      <c r="CR90" s="15"/>
      <c r="CS90" s="15"/>
      <c r="CT90" s="20"/>
      <c r="CU90" s="12" t="str">
        <f>IF($A90="","",SUMIFS('Consumable Usage'!$E:$E,'Consumable Usage'!$A:$A,$A90,'Consumable Usage'!$D:$D,10))</f>
        <v/>
      </c>
      <c r="CV90" s="12" t="str">
        <f>IF($A90="","",SUMIFS('Nursing Charges'!$I:$I,'Nursing Charges'!$A:$A,$A90,'Nursing Charges'!$C:$C,10))</f>
        <v/>
      </c>
      <c r="CW90" s="12" t="str">
        <f>IF($A90="","",CT90+(CV90-SUMIFS('Nursing Charges'!$J:$J,'Nursing Charges'!$A:$A,$A90,'Nursing Charges'!$C:$C,10))+(CU90-SUMIFS('Consumable Usage'!$F:$F,'Consumable Usage'!$A:$A,$A90,'Consumable Usage'!$D:$D,10)))</f>
        <v/>
      </c>
      <c r="CX90" s="12" t="str">
        <f t="shared" si="28"/>
        <v/>
      </c>
      <c r="CY90" s="20"/>
      <c r="CZ90" s="12" t="str">
        <f t="shared" si="29"/>
        <v/>
      </c>
      <c r="DA90" s="45" t="str">
        <f t="shared" si="30"/>
        <v/>
      </c>
      <c r="DB90" s="15"/>
      <c r="DC90" s="15"/>
      <c r="DD90" s="20"/>
      <c r="DE90" s="12" t="str">
        <f>IF($A90="","",SUMIFS('Consumable Usage'!$E:$E,'Consumable Usage'!$A:$A,$A90,'Consumable Usage'!$D:$D,11))</f>
        <v/>
      </c>
      <c r="DF90" s="12" t="str">
        <f>IF($A90="","",SUMIFS('Nursing Charges'!$I:$I,'Nursing Charges'!$A:$A,$A90,'Nursing Charges'!$C:$C,11))</f>
        <v/>
      </c>
      <c r="DG90" s="12" t="str">
        <f>IF($A90="","",DD90+(DF90-SUMIFS('Nursing Charges'!$J:$J,'Nursing Charges'!$A:$A,$A90,'Nursing Charges'!$C:$C,11))+(DE90-SUMIFS('Consumable Usage'!$F:$F,'Consumable Usage'!$A:$A,$A90,'Consumable Usage'!$D:$D,11)))</f>
        <v/>
      </c>
      <c r="DH90" s="12" t="str">
        <f t="shared" si="31"/>
        <v/>
      </c>
      <c r="DI90" s="20"/>
      <c r="DJ90" s="12" t="str">
        <f t="shared" si="32"/>
        <v/>
      </c>
      <c r="DK90" s="45" t="str">
        <f t="shared" si="33"/>
        <v/>
      </c>
      <c r="DL90" s="15"/>
      <c r="DM90" s="15"/>
      <c r="DN90" s="20"/>
      <c r="DO90" s="12" t="str">
        <f>IF($A90="","",SUMIFS('Consumable Usage'!$E:$E,'Consumable Usage'!$A:$A,$A90,'Consumable Usage'!$D:$D,12))</f>
        <v/>
      </c>
      <c r="DP90" s="12" t="str">
        <f>IF($A90="","",SUMIFS('Nursing Charges'!$I:$I,'Nursing Charges'!$A:$A,$A90,'Nursing Charges'!$C:$C,12))</f>
        <v/>
      </c>
      <c r="DQ90" s="12" t="str">
        <f>IF($A90="","",DN90+(DP90-SUMIFS('Nursing Charges'!$J:$J,'Nursing Charges'!$A:$A,$A90,'Nursing Charges'!$C:$C,12))+(DO90-SUMIFS('Consumable Usage'!$F:$F,'Consumable Usage'!$A:$A,$A90,'Consumable Usage'!$D:$D,12)))</f>
        <v/>
      </c>
      <c r="DR90" s="12" t="str">
        <f t="shared" si="34"/>
        <v/>
      </c>
      <c r="DS90" s="20"/>
      <c r="DT90" s="12" t="str">
        <f t="shared" si="35"/>
        <v/>
      </c>
      <c r="DU90" s="45" t="str">
        <f t="shared" si="36"/>
        <v/>
      </c>
      <c r="DV90" s="15"/>
      <c r="DW90" s="15"/>
      <c r="DX90" s="20"/>
      <c r="DY90" s="12" t="str">
        <f>IF($A90="","",SUMIFS('Consumable Usage'!$E:$E,'Consumable Usage'!$A:$A,$A90,'Consumable Usage'!$D:$D,13))</f>
        <v/>
      </c>
      <c r="DZ90" s="12" t="str">
        <f>IF($A90="","",SUMIFS('Nursing Charges'!$I:$I,'Nursing Charges'!$A:$A,$A90,'Nursing Charges'!$C:$C,13))</f>
        <v/>
      </c>
      <c r="EA90" s="12" t="str">
        <f>IF($A90="","",DX90+(DZ90-SUMIFS('Nursing Charges'!$J:$J,'Nursing Charges'!$A:$A,$A90,'Nursing Charges'!$C:$C,13))+(DY90-SUMIFS('Consumable Usage'!$F:$F,'Consumable Usage'!$A:$A,$A90,'Consumable Usage'!$D:$D,13)))</f>
        <v/>
      </c>
      <c r="EB90" s="12" t="str">
        <f t="shared" si="37"/>
        <v/>
      </c>
      <c r="EC90" s="20"/>
      <c r="ED90" s="12" t="str">
        <f t="shared" si="38"/>
        <v/>
      </c>
      <c r="EE90" s="45" t="str">
        <f t="shared" si="39"/>
        <v/>
      </c>
      <c r="EF90" s="15"/>
      <c r="EG90" s="15"/>
      <c r="EH90" s="20"/>
      <c r="EI90" s="12" t="str">
        <f>IF($A90="","",SUMIFS('Consumable Usage'!$E:$E,'Consumable Usage'!$A:$A,$A90,'Consumable Usage'!$D:$D,14))</f>
        <v/>
      </c>
      <c r="EJ90" s="12" t="str">
        <f>IF($A90="","",SUMIFS('Nursing Charges'!$I:$I,'Nursing Charges'!$A:$A,$A90,'Nursing Charges'!$C:$C,14))</f>
        <v/>
      </c>
      <c r="EK90" s="12" t="str">
        <f>IF($A90="","",EH90+(EJ90-SUMIFS('Nursing Charges'!$J:$J,'Nursing Charges'!$A:$A,$A90,'Nursing Charges'!$C:$C,14))+(EI90-SUMIFS('Consumable Usage'!$F:$F,'Consumable Usage'!$A:$A,$A90,'Consumable Usage'!$D:$D,14)))</f>
        <v/>
      </c>
      <c r="EL90" s="12" t="str">
        <f t="shared" si="40"/>
        <v/>
      </c>
      <c r="EM90" s="20"/>
      <c r="EN90" s="12" t="str">
        <f t="shared" si="41"/>
        <v/>
      </c>
      <c r="EO90" s="45" t="str">
        <f t="shared" si="42"/>
        <v/>
      </c>
      <c r="EP90" s="15"/>
      <c r="EQ90" s="15"/>
      <c r="ER90" s="20"/>
      <c r="ES90" s="12" t="str">
        <f>IF($A90="","",SUMIFS('Consumable Usage'!$E:$E,'Consumable Usage'!$A:$A,$A90,'Consumable Usage'!$D:$D,15))</f>
        <v/>
      </c>
      <c r="ET90" s="12" t="str">
        <f>IF($A90="","",SUMIFS('Nursing Charges'!$I:$I,'Nursing Charges'!$A:$A,$A90,'Nursing Charges'!$C:$C,15))</f>
        <v/>
      </c>
      <c r="EU90" s="12" t="str">
        <f>IF($A90="","",ER90+(ET90-SUMIFS('Nursing Charges'!$J:$J,'Nursing Charges'!$A:$A,$A90,'Nursing Charges'!$C:$C,15))+(ES90-SUMIFS('Consumable Usage'!$F:$F,'Consumable Usage'!$A:$A,$A90,'Consumable Usage'!$D:$D,15)))</f>
        <v/>
      </c>
      <c r="EV90" s="12" t="str">
        <f t="shared" si="43"/>
        <v/>
      </c>
      <c r="EW90" s="20"/>
      <c r="EX90" s="12" t="str">
        <f t="shared" si="44"/>
        <v/>
      </c>
      <c r="EY90" s="45" t="str">
        <f t="shared" si="45"/>
        <v/>
      </c>
      <c r="EZ90" s="15"/>
      <c r="FA90" s="15"/>
      <c r="FB90" s="20"/>
      <c r="FC90" s="12" t="str">
        <f>IF($A90="","",SUMIFS('Consumable Usage'!$E:$E,'Consumable Usage'!$A:$A,$A90,'Consumable Usage'!$D:$D,16))</f>
        <v/>
      </c>
      <c r="FD90" s="12" t="str">
        <f>IF($A90="","",SUMIFS('Nursing Charges'!$I:$I,'Nursing Charges'!$A:$A,$A90,'Nursing Charges'!$C:$C,16))</f>
        <v/>
      </c>
      <c r="FE90" s="12" t="str">
        <f>IF($A90="","",FB90+(FD90-SUMIFS('Nursing Charges'!$J:$J,'Nursing Charges'!$A:$A,$A90,'Nursing Charges'!$C:$C,16))+(FC90-SUMIFS('Consumable Usage'!$F:$F,'Consumable Usage'!$A:$A,$A90,'Consumable Usage'!$D:$D,16)))</f>
        <v/>
      </c>
      <c r="FF90" s="12" t="str">
        <f t="shared" si="46"/>
        <v/>
      </c>
      <c r="FG90" s="20"/>
      <c r="FH90" s="12" t="str">
        <f t="shared" si="47"/>
        <v/>
      </c>
      <c r="FI90" s="45" t="str">
        <f t="shared" si="48"/>
        <v/>
      </c>
      <c r="FJ90" s="53"/>
      <c r="FK90" s="53"/>
      <c r="FL90" s="63"/>
      <c r="FM90" s="63" t="str">
        <f>IF($A90="","",SUMIFS('Consumable Usage'!$E:$E,'Consumable Usage'!$A:$A,$A90,'Consumable Usage'!$D:$D,16))</f>
        <v/>
      </c>
      <c r="FN90" s="63" t="str">
        <f>IF($A90="","",SUMIFS('Nursing Charges'!$I:$I,'Nursing Charges'!$A:$A,$A90,'Nursing Charges'!$C:$C,16))</f>
        <v/>
      </c>
      <c r="FO90" s="63" t="str">
        <f>IF($A90="","",FL90+(FN90-SUMIFS('Nursing Charges'!$J:$J,'Nursing Charges'!$A:$A,$A90,'Nursing Charges'!$C:$C,16))+(FM90-SUMIFS('Consumable Usage'!$F:$F,'Consumable Usage'!$A:$A,$A90,'Consumable Usage'!$D:$D,16)))</f>
        <v/>
      </c>
      <c r="FP90" s="63" t="str">
        <f t="shared" si="49"/>
        <v/>
      </c>
      <c r="FQ90" s="63"/>
      <c r="FR90" s="63" t="str">
        <f t="shared" si="50"/>
        <v/>
      </c>
      <c r="FS90" s="53" t="str">
        <f t="shared" si="51"/>
        <v/>
      </c>
    </row>
    <row r="91" ht="15.0" customHeight="1">
      <c r="A91" s="15"/>
      <c r="B91" s="15"/>
      <c r="C91" s="15"/>
      <c r="D91" s="15"/>
      <c r="E91" s="15"/>
      <c r="F91" s="15"/>
      <c r="G91" s="15"/>
      <c r="H91" s="20"/>
      <c r="I91" s="12" t="str">
        <f>IF($A91="","",SUMIFS('Consumable Usage'!$E:$E,'Consumable Usage'!$A:$A,$A91,'Consumable Usage'!$D:$D,1))</f>
        <v/>
      </c>
      <c r="J91" s="12" t="str">
        <f>IF($A91="","",SUMIFS('Nursing Charges'!$I:$I,'Nursing Charges'!$A:$A,$A91,'Nursing Charges'!$C:$C,1))</f>
        <v/>
      </c>
      <c r="K91" s="12" t="str">
        <f>IF($A91="","",H91+(J91-SUMIFS('Nursing Charges'!$J:$J,'Nursing Charges'!$A:$A,$A91,'Nursing Charges'!$C:$C,1))+(I91-SUMIFS('Consumable Usage'!$F:$F,'Consumable Usage'!$A:$A,$A91,'Consumable Usage'!$D:$D,1)))</f>
        <v/>
      </c>
      <c r="L91" s="12" t="str">
        <f t="shared" si="1"/>
        <v/>
      </c>
      <c r="M91" s="20"/>
      <c r="N91" s="12" t="str">
        <f t="shared" si="2"/>
        <v/>
      </c>
      <c r="O91" s="45" t="str">
        <f t="shared" si="3"/>
        <v/>
      </c>
      <c r="P91" s="15"/>
      <c r="Q91" s="15"/>
      <c r="R91" s="20"/>
      <c r="S91" s="12" t="str">
        <f>IF($A91="","",SUMIFS('Consumable Usage'!$E:$E,'Consumable Usage'!$A:$A,$A91,'Consumable Usage'!$D:$D,2))</f>
        <v/>
      </c>
      <c r="T91" s="12" t="str">
        <f>IF($A91="","",SUMIFS('Nursing Charges'!$I:$I,'Nursing Charges'!$A:$A,$A91,'Nursing Charges'!$C:$C,2))</f>
        <v/>
      </c>
      <c r="U91" s="12" t="str">
        <f>IF($A91="","",R91+(T91-SUMIFS('Nursing Charges'!$J:$J,'Nursing Charges'!$A:$A,$A91,'Nursing Charges'!$C:$C,2))+(S91-SUMIFS('Consumable Usage'!$F:$F,'Consumable Usage'!$A:$A,$A91,'Consumable Usage'!$D:$D,2)))</f>
        <v/>
      </c>
      <c r="V91" s="12" t="str">
        <f t="shared" si="4"/>
        <v/>
      </c>
      <c r="W91" s="20"/>
      <c r="X91" s="12" t="str">
        <f t="shared" si="5"/>
        <v/>
      </c>
      <c r="Y91" s="45" t="str">
        <f t="shared" si="6"/>
        <v/>
      </c>
      <c r="Z91" s="15"/>
      <c r="AA91" s="15"/>
      <c r="AB91" s="20"/>
      <c r="AC91" s="12" t="str">
        <f>IF($A91="","",SUMIFS('Consumable Usage'!$E:$E,'Consumable Usage'!$A:$A,$A91,'Consumable Usage'!$D:$D,3))</f>
        <v/>
      </c>
      <c r="AD91" s="12" t="str">
        <f>IF($A91="","",SUMIFS('Nursing Charges'!$I:$I,'Nursing Charges'!$A:$A,$A91,'Nursing Charges'!$C:$C,3))</f>
        <v/>
      </c>
      <c r="AE91" s="12" t="str">
        <f>IF($A91="","",AB91+(AD91-SUMIFS('Nursing Charges'!$J:$J,'Nursing Charges'!$A:$A,$A91,'Nursing Charges'!$C:$C,3))+(AC91-SUMIFS('Consumable Usage'!$F:$F,'Consumable Usage'!$A:$A,$A91,'Consumable Usage'!$D:$D,3)))</f>
        <v/>
      </c>
      <c r="AF91" s="12" t="str">
        <f t="shared" si="7"/>
        <v/>
      </c>
      <c r="AG91" s="20"/>
      <c r="AH91" s="12" t="str">
        <f t="shared" si="8"/>
        <v/>
      </c>
      <c r="AI91" s="45" t="str">
        <f t="shared" si="9"/>
        <v/>
      </c>
      <c r="AJ91" s="15"/>
      <c r="AK91" s="15"/>
      <c r="AL91" s="20"/>
      <c r="AM91" s="12" t="str">
        <f>IF($A91="","",SUMIFS('Consumable Usage'!$E:$E,'Consumable Usage'!$A:$A,$A91,'Consumable Usage'!$D:$D,4))</f>
        <v/>
      </c>
      <c r="AN91" s="12" t="str">
        <f>IF($A91="","",SUMIFS('Nursing Charges'!$I:$I,'Nursing Charges'!$A:$A,$A91,'Nursing Charges'!$C:$C,4))</f>
        <v/>
      </c>
      <c r="AO91" s="12" t="str">
        <f>IF($A91="","",AL91+(AN91-SUMIFS('Nursing Charges'!$J:$J,'Nursing Charges'!$A:$A,$A91,'Nursing Charges'!$C:$C,4))+(AM91-SUMIFS('Consumable Usage'!$F:$F,'Consumable Usage'!$A:$A,$A91,'Consumable Usage'!$D:$D,4)))</f>
        <v/>
      </c>
      <c r="AP91" s="12" t="str">
        <f t="shared" si="10"/>
        <v/>
      </c>
      <c r="AQ91" s="20"/>
      <c r="AR91" s="12" t="str">
        <f t="shared" si="11"/>
        <v/>
      </c>
      <c r="AS91" s="45" t="str">
        <f t="shared" si="12"/>
        <v/>
      </c>
      <c r="AT91" s="15"/>
      <c r="AU91" s="15"/>
      <c r="AV91" s="20"/>
      <c r="AW91" s="12" t="str">
        <f>IF($A91="","",SUMIFS('Consumable Usage'!$E:$E,'Consumable Usage'!$A:$A,$A91,'Consumable Usage'!$D:$D,5))</f>
        <v/>
      </c>
      <c r="AX91" s="12" t="str">
        <f>IF($A91="","",SUMIFS('Nursing Charges'!$I:$I,'Nursing Charges'!$A:$A,$A91,'Nursing Charges'!$C:$C,5))</f>
        <v/>
      </c>
      <c r="AY91" s="12" t="str">
        <f>IF($A91="","",AV91+(AX91-SUMIFS('Nursing Charges'!$J:$J,'Nursing Charges'!$A:$A,$A91,'Nursing Charges'!$C:$C,5))+(AW91-SUMIFS('Consumable Usage'!$F:$F,'Consumable Usage'!$A:$A,$A91,'Consumable Usage'!$D:$D,5)))</f>
        <v/>
      </c>
      <c r="AZ91" s="12" t="str">
        <f t="shared" si="13"/>
        <v/>
      </c>
      <c r="BA91" s="20"/>
      <c r="BB91" s="12" t="str">
        <f t="shared" si="14"/>
        <v/>
      </c>
      <c r="BC91" s="45" t="str">
        <f t="shared" si="15"/>
        <v/>
      </c>
      <c r="BD91" s="15"/>
      <c r="BE91" s="15"/>
      <c r="BF91" s="20"/>
      <c r="BG91" s="12" t="str">
        <f>IF($A91="","",SUMIFS('Consumable Usage'!$E:$E,'Consumable Usage'!$A:$A,$A91,'Consumable Usage'!$D:$D,6))</f>
        <v/>
      </c>
      <c r="BH91" s="12" t="str">
        <f>IF($A91="","",SUMIFS('Nursing Charges'!$I:$I,'Nursing Charges'!$A:$A,$A91,'Nursing Charges'!$C:$C,6))</f>
        <v/>
      </c>
      <c r="BI91" s="12" t="str">
        <f>IF($A91="","",BF91+(BH91-SUMIFS('Nursing Charges'!$J:$J,'Nursing Charges'!$A:$A,$A91,'Nursing Charges'!$C:$C,6))+(BG91-SUMIFS('Consumable Usage'!$F:$F,'Consumable Usage'!$A:$A,$A91,'Consumable Usage'!$D:$D,6)))</f>
        <v/>
      </c>
      <c r="BJ91" s="12" t="str">
        <f t="shared" si="16"/>
        <v/>
      </c>
      <c r="BK91" s="20"/>
      <c r="BL91" s="12" t="str">
        <f t="shared" si="17"/>
        <v/>
      </c>
      <c r="BM91" s="45" t="str">
        <f t="shared" si="18"/>
        <v/>
      </c>
      <c r="BN91" s="15"/>
      <c r="BO91" s="15"/>
      <c r="BP91" s="20"/>
      <c r="BQ91" s="12" t="str">
        <f>IF($A91="","",SUMIFS('Consumable Usage'!$E:$E,'Consumable Usage'!$A:$A,$A91,'Consumable Usage'!$D:$D,7))</f>
        <v/>
      </c>
      <c r="BR91" s="12" t="str">
        <f>IF($A91="","",SUMIFS('Nursing Charges'!$I:$I,'Nursing Charges'!$A:$A,$A91,'Nursing Charges'!$C:$C,7))</f>
        <v/>
      </c>
      <c r="BS91" s="12" t="str">
        <f>IF($A91="","",BP91+(BR91-SUMIFS('Nursing Charges'!$J:$J,'Nursing Charges'!$A:$A,$A91,'Nursing Charges'!$C:$C,7))+(BQ91-SUMIFS('Consumable Usage'!$F:$F,'Consumable Usage'!$A:$A,$A91,'Consumable Usage'!$D:$D,7)))</f>
        <v/>
      </c>
      <c r="BT91" s="12" t="str">
        <f t="shared" si="19"/>
        <v/>
      </c>
      <c r="BU91" s="20"/>
      <c r="BV91" s="12" t="str">
        <f t="shared" si="20"/>
        <v/>
      </c>
      <c r="BW91" s="45" t="str">
        <f t="shared" si="21"/>
        <v/>
      </c>
      <c r="BX91" s="15"/>
      <c r="BY91" s="15"/>
      <c r="BZ91" s="20"/>
      <c r="CA91" s="12" t="str">
        <f>IF($A91="","",SUMIFS('Consumable Usage'!$E:$E,'Consumable Usage'!$A:$A,$A91,'Consumable Usage'!$D:$D,8))</f>
        <v/>
      </c>
      <c r="CB91" s="12" t="str">
        <f>IF($A91="","",SUMIFS('Nursing Charges'!$I:$I,'Nursing Charges'!$A:$A,$A91,'Nursing Charges'!$C:$C,8))</f>
        <v/>
      </c>
      <c r="CC91" s="12" t="str">
        <f>IF($A91="","",BZ91+(CB91-SUMIFS('Nursing Charges'!$J:$J,'Nursing Charges'!$A:$A,$A91,'Nursing Charges'!$C:$C,8))+(CA91-SUMIFS('Consumable Usage'!$F:$F,'Consumable Usage'!$A:$A,$A91,'Consumable Usage'!$D:$D,8)))</f>
        <v/>
      </c>
      <c r="CD91" s="12" t="str">
        <f t="shared" si="22"/>
        <v/>
      </c>
      <c r="CE91" s="20"/>
      <c r="CF91" s="12" t="str">
        <f t="shared" si="23"/>
        <v/>
      </c>
      <c r="CG91" s="45" t="str">
        <f t="shared" si="24"/>
        <v/>
      </c>
      <c r="CH91" s="15"/>
      <c r="CI91" s="15"/>
      <c r="CJ91" s="20"/>
      <c r="CK91" s="12" t="str">
        <f>IF($A91="","",SUMIFS('Consumable Usage'!$E:$E,'Consumable Usage'!$A:$A,$A91,'Consumable Usage'!$D:$D,9))</f>
        <v/>
      </c>
      <c r="CL91" s="12" t="str">
        <f>IF($A91="","",SUMIFS('Nursing Charges'!$I:$I,'Nursing Charges'!$A:$A,$A91,'Nursing Charges'!$C:$C,9))</f>
        <v/>
      </c>
      <c r="CM91" s="12" t="str">
        <f>IF($A91="","",CJ91+(CL91-SUMIFS('Nursing Charges'!$J:$J,'Nursing Charges'!$A:$A,$A91,'Nursing Charges'!$C:$C,9))+(CK91-SUMIFS('Consumable Usage'!$F:$F,'Consumable Usage'!$A:$A,$A91,'Consumable Usage'!$D:$D,9)))</f>
        <v/>
      </c>
      <c r="CN91" s="12" t="str">
        <f t="shared" si="25"/>
        <v/>
      </c>
      <c r="CO91" s="20"/>
      <c r="CP91" s="12" t="str">
        <f t="shared" si="26"/>
        <v/>
      </c>
      <c r="CQ91" s="45" t="str">
        <f t="shared" si="27"/>
        <v/>
      </c>
      <c r="CR91" s="15"/>
      <c r="CS91" s="15"/>
      <c r="CT91" s="20"/>
      <c r="CU91" s="12" t="str">
        <f>IF($A91="","",SUMIFS('Consumable Usage'!$E:$E,'Consumable Usage'!$A:$A,$A91,'Consumable Usage'!$D:$D,10))</f>
        <v/>
      </c>
      <c r="CV91" s="12" t="str">
        <f>IF($A91="","",SUMIFS('Nursing Charges'!$I:$I,'Nursing Charges'!$A:$A,$A91,'Nursing Charges'!$C:$C,10))</f>
        <v/>
      </c>
      <c r="CW91" s="12" t="str">
        <f>IF($A91="","",CT91+(CV91-SUMIFS('Nursing Charges'!$J:$J,'Nursing Charges'!$A:$A,$A91,'Nursing Charges'!$C:$C,10))+(CU91-SUMIFS('Consumable Usage'!$F:$F,'Consumable Usage'!$A:$A,$A91,'Consumable Usage'!$D:$D,10)))</f>
        <v/>
      </c>
      <c r="CX91" s="12" t="str">
        <f t="shared" si="28"/>
        <v/>
      </c>
      <c r="CY91" s="20"/>
      <c r="CZ91" s="12" t="str">
        <f t="shared" si="29"/>
        <v/>
      </c>
      <c r="DA91" s="45" t="str">
        <f t="shared" si="30"/>
        <v/>
      </c>
      <c r="DB91" s="15"/>
      <c r="DC91" s="15"/>
      <c r="DD91" s="20"/>
      <c r="DE91" s="12" t="str">
        <f>IF($A91="","",SUMIFS('Consumable Usage'!$E:$E,'Consumable Usage'!$A:$A,$A91,'Consumable Usage'!$D:$D,11))</f>
        <v/>
      </c>
      <c r="DF91" s="12" t="str">
        <f>IF($A91="","",SUMIFS('Nursing Charges'!$I:$I,'Nursing Charges'!$A:$A,$A91,'Nursing Charges'!$C:$C,11))</f>
        <v/>
      </c>
      <c r="DG91" s="12" t="str">
        <f>IF($A91="","",DD91+(DF91-SUMIFS('Nursing Charges'!$J:$J,'Nursing Charges'!$A:$A,$A91,'Nursing Charges'!$C:$C,11))+(DE91-SUMIFS('Consumable Usage'!$F:$F,'Consumable Usage'!$A:$A,$A91,'Consumable Usage'!$D:$D,11)))</f>
        <v/>
      </c>
      <c r="DH91" s="12" t="str">
        <f t="shared" si="31"/>
        <v/>
      </c>
      <c r="DI91" s="20"/>
      <c r="DJ91" s="12" t="str">
        <f t="shared" si="32"/>
        <v/>
      </c>
      <c r="DK91" s="45" t="str">
        <f t="shared" si="33"/>
        <v/>
      </c>
      <c r="DL91" s="15"/>
      <c r="DM91" s="15"/>
      <c r="DN91" s="20"/>
      <c r="DO91" s="12" t="str">
        <f>IF($A91="","",SUMIFS('Consumable Usage'!$E:$E,'Consumable Usage'!$A:$A,$A91,'Consumable Usage'!$D:$D,12))</f>
        <v/>
      </c>
      <c r="DP91" s="12" t="str">
        <f>IF($A91="","",SUMIFS('Nursing Charges'!$I:$I,'Nursing Charges'!$A:$A,$A91,'Nursing Charges'!$C:$C,12))</f>
        <v/>
      </c>
      <c r="DQ91" s="12" t="str">
        <f>IF($A91="","",DN91+(DP91-SUMIFS('Nursing Charges'!$J:$J,'Nursing Charges'!$A:$A,$A91,'Nursing Charges'!$C:$C,12))+(DO91-SUMIFS('Consumable Usage'!$F:$F,'Consumable Usage'!$A:$A,$A91,'Consumable Usage'!$D:$D,12)))</f>
        <v/>
      </c>
      <c r="DR91" s="12" t="str">
        <f t="shared" si="34"/>
        <v/>
      </c>
      <c r="DS91" s="20"/>
      <c r="DT91" s="12" t="str">
        <f t="shared" si="35"/>
        <v/>
      </c>
      <c r="DU91" s="45" t="str">
        <f t="shared" si="36"/>
        <v/>
      </c>
      <c r="DV91" s="15"/>
      <c r="DW91" s="15"/>
      <c r="DX91" s="20"/>
      <c r="DY91" s="12" t="str">
        <f>IF($A91="","",SUMIFS('Consumable Usage'!$E:$E,'Consumable Usage'!$A:$A,$A91,'Consumable Usage'!$D:$D,13))</f>
        <v/>
      </c>
      <c r="DZ91" s="12" t="str">
        <f>IF($A91="","",SUMIFS('Nursing Charges'!$I:$I,'Nursing Charges'!$A:$A,$A91,'Nursing Charges'!$C:$C,13))</f>
        <v/>
      </c>
      <c r="EA91" s="12" t="str">
        <f>IF($A91="","",DX91+(DZ91-SUMIFS('Nursing Charges'!$J:$J,'Nursing Charges'!$A:$A,$A91,'Nursing Charges'!$C:$C,13))+(DY91-SUMIFS('Consumable Usage'!$F:$F,'Consumable Usage'!$A:$A,$A91,'Consumable Usage'!$D:$D,13)))</f>
        <v/>
      </c>
      <c r="EB91" s="12" t="str">
        <f t="shared" si="37"/>
        <v/>
      </c>
      <c r="EC91" s="20"/>
      <c r="ED91" s="12" t="str">
        <f t="shared" si="38"/>
        <v/>
      </c>
      <c r="EE91" s="45" t="str">
        <f t="shared" si="39"/>
        <v/>
      </c>
      <c r="EF91" s="15"/>
      <c r="EG91" s="15"/>
      <c r="EH91" s="20"/>
      <c r="EI91" s="12" t="str">
        <f>IF($A91="","",SUMIFS('Consumable Usage'!$E:$E,'Consumable Usage'!$A:$A,$A91,'Consumable Usage'!$D:$D,14))</f>
        <v/>
      </c>
      <c r="EJ91" s="12" t="str">
        <f>IF($A91="","",SUMIFS('Nursing Charges'!$I:$I,'Nursing Charges'!$A:$A,$A91,'Nursing Charges'!$C:$C,14))</f>
        <v/>
      </c>
      <c r="EK91" s="12" t="str">
        <f>IF($A91="","",EH91+(EJ91-SUMIFS('Nursing Charges'!$J:$J,'Nursing Charges'!$A:$A,$A91,'Nursing Charges'!$C:$C,14))+(EI91-SUMIFS('Consumable Usage'!$F:$F,'Consumable Usage'!$A:$A,$A91,'Consumable Usage'!$D:$D,14)))</f>
        <v/>
      </c>
      <c r="EL91" s="12" t="str">
        <f t="shared" si="40"/>
        <v/>
      </c>
      <c r="EM91" s="20"/>
      <c r="EN91" s="12" t="str">
        <f t="shared" si="41"/>
        <v/>
      </c>
      <c r="EO91" s="45" t="str">
        <f t="shared" si="42"/>
        <v/>
      </c>
      <c r="EP91" s="15"/>
      <c r="EQ91" s="15"/>
      <c r="ER91" s="20"/>
      <c r="ES91" s="12" t="str">
        <f>IF($A91="","",SUMIFS('Consumable Usage'!$E:$E,'Consumable Usage'!$A:$A,$A91,'Consumable Usage'!$D:$D,15))</f>
        <v/>
      </c>
      <c r="ET91" s="12" t="str">
        <f>IF($A91="","",SUMIFS('Nursing Charges'!$I:$I,'Nursing Charges'!$A:$A,$A91,'Nursing Charges'!$C:$C,15))</f>
        <v/>
      </c>
      <c r="EU91" s="12" t="str">
        <f>IF($A91="","",ER91+(ET91-SUMIFS('Nursing Charges'!$J:$J,'Nursing Charges'!$A:$A,$A91,'Nursing Charges'!$C:$C,15))+(ES91-SUMIFS('Consumable Usage'!$F:$F,'Consumable Usage'!$A:$A,$A91,'Consumable Usage'!$D:$D,15)))</f>
        <v/>
      </c>
      <c r="EV91" s="12" t="str">
        <f t="shared" si="43"/>
        <v/>
      </c>
      <c r="EW91" s="20"/>
      <c r="EX91" s="12" t="str">
        <f t="shared" si="44"/>
        <v/>
      </c>
      <c r="EY91" s="45" t="str">
        <f t="shared" si="45"/>
        <v/>
      </c>
      <c r="EZ91" s="15"/>
      <c r="FA91" s="15"/>
      <c r="FB91" s="20"/>
      <c r="FC91" s="12" t="str">
        <f>IF($A91="","",SUMIFS('Consumable Usage'!$E:$E,'Consumable Usage'!$A:$A,$A91,'Consumable Usage'!$D:$D,16))</f>
        <v/>
      </c>
      <c r="FD91" s="12" t="str">
        <f>IF($A91="","",SUMIFS('Nursing Charges'!$I:$I,'Nursing Charges'!$A:$A,$A91,'Nursing Charges'!$C:$C,16))</f>
        <v/>
      </c>
      <c r="FE91" s="12" t="str">
        <f>IF($A91="","",FB91+(FD91-SUMIFS('Nursing Charges'!$J:$J,'Nursing Charges'!$A:$A,$A91,'Nursing Charges'!$C:$C,16))+(FC91-SUMIFS('Consumable Usage'!$F:$F,'Consumable Usage'!$A:$A,$A91,'Consumable Usage'!$D:$D,16)))</f>
        <v/>
      </c>
      <c r="FF91" s="12" t="str">
        <f t="shared" si="46"/>
        <v/>
      </c>
      <c r="FG91" s="20"/>
      <c r="FH91" s="12" t="str">
        <f t="shared" si="47"/>
        <v/>
      </c>
      <c r="FI91" s="45" t="str">
        <f t="shared" si="48"/>
        <v/>
      </c>
      <c r="FJ91" s="53"/>
      <c r="FK91" s="53"/>
      <c r="FL91" s="63"/>
      <c r="FM91" s="63" t="str">
        <f>IF($A91="","",SUMIFS('Consumable Usage'!$E:$E,'Consumable Usage'!$A:$A,$A91,'Consumable Usage'!$D:$D,16))</f>
        <v/>
      </c>
      <c r="FN91" s="63" t="str">
        <f>IF($A91="","",SUMIFS('Nursing Charges'!$I:$I,'Nursing Charges'!$A:$A,$A91,'Nursing Charges'!$C:$C,16))</f>
        <v/>
      </c>
      <c r="FO91" s="63" t="str">
        <f>IF($A91="","",FL91+(FN91-SUMIFS('Nursing Charges'!$J:$J,'Nursing Charges'!$A:$A,$A91,'Nursing Charges'!$C:$C,16))+(FM91-SUMIFS('Consumable Usage'!$F:$F,'Consumable Usage'!$A:$A,$A91,'Consumable Usage'!$D:$D,16)))</f>
        <v/>
      </c>
      <c r="FP91" s="63" t="str">
        <f t="shared" si="49"/>
        <v/>
      </c>
      <c r="FQ91" s="63"/>
      <c r="FR91" s="63" t="str">
        <f t="shared" si="50"/>
        <v/>
      </c>
      <c r="FS91" s="53" t="str">
        <f t="shared" si="51"/>
        <v/>
      </c>
    </row>
    <row r="92" ht="15.0" customHeight="1">
      <c r="A92" s="15"/>
      <c r="B92" s="15"/>
      <c r="C92" s="15"/>
      <c r="D92" s="15"/>
      <c r="E92" s="15"/>
      <c r="F92" s="15"/>
      <c r="G92" s="15"/>
      <c r="H92" s="20"/>
      <c r="I92" s="12" t="str">
        <f>IF($A92="","",SUMIFS('Consumable Usage'!$E:$E,'Consumable Usage'!$A:$A,$A92,'Consumable Usage'!$D:$D,1))</f>
        <v/>
      </c>
      <c r="J92" s="12" t="str">
        <f>IF($A92="","",SUMIFS('Nursing Charges'!$I:$I,'Nursing Charges'!$A:$A,$A92,'Nursing Charges'!$C:$C,1))</f>
        <v/>
      </c>
      <c r="K92" s="12" t="str">
        <f>IF($A92="","",H92+(J92-SUMIFS('Nursing Charges'!$J:$J,'Nursing Charges'!$A:$A,$A92,'Nursing Charges'!$C:$C,1))+(I92-SUMIFS('Consumable Usage'!$F:$F,'Consumable Usage'!$A:$A,$A92,'Consumable Usage'!$D:$D,1)))</f>
        <v/>
      </c>
      <c r="L92" s="12" t="str">
        <f t="shared" si="1"/>
        <v/>
      </c>
      <c r="M92" s="20"/>
      <c r="N92" s="12" t="str">
        <f t="shared" si="2"/>
        <v/>
      </c>
      <c r="O92" s="45" t="str">
        <f t="shared" si="3"/>
        <v/>
      </c>
      <c r="P92" s="15"/>
      <c r="Q92" s="15"/>
      <c r="R92" s="20"/>
      <c r="S92" s="12" t="str">
        <f>IF($A92="","",SUMIFS('Consumable Usage'!$E:$E,'Consumable Usage'!$A:$A,$A92,'Consumable Usage'!$D:$D,2))</f>
        <v/>
      </c>
      <c r="T92" s="12" t="str">
        <f>IF($A92="","",SUMIFS('Nursing Charges'!$I:$I,'Nursing Charges'!$A:$A,$A92,'Nursing Charges'!$C:$C,2))</f>
        <v/>
      </c>
      <c r="U92" s="12" t="str">
        <f>IF($A92="","",R92+(T92-SUMIFS('Nursing Charges'!$J:$J,'Nursing Charges'!$A:$A,$A92,'Nursing Charges'!$C:$C,2))+(S92-SUMIFS('Consumable Usage'!$F:$F,'Consumable Usage'!$A:$A,$A92,'Consumable Usage'!$D:$D,2)))</f>
        <v/>
      </c>
      <c r="V92" s="12" t="str">
        <f t="shared" si="4"/>
        <v/>
      </c>
      <c r="W92" s="20"/>
      <c r="X92" s="12" t="str">
        <f t="shared" si="5"/>
        <v/>
      </c>
      <c r="Y92" s="45" t="str">
        <f t="shared" si="6"/>
        <v/>
      </c>
      <c r="Z92" s="15"/>
      <c r="AA92" s="15"/>
      <c r="AB92" s="20"/>
      <c r="AC92" s="12" t="str">
        <f>IF($A92="","",SUMIFS('Consumable Usage'!$E:$E,'Consumable Usage'!$A:$A,$A92,'Consumable Usage'!$D:$D,3))</f>
        <v/>
      </c>
      <c r="AD92" s="12" t="str">
        <f>IF($A92="","",SUMIFS('Nursing Charges'!$I:$I,'Nursing Charges'!$A:$A,$A92,'Nursing Charges'!$C:$C,3))</f>
        <v/>
      </c>
      <c r="AE92" s="12" t="str">
        <f>IF($A92="","",AB92+(AD92-SUMIFS('Nursing Charges'!$J:$J,'Nursing Charges'!$A:$A,$A92,'Nursing Charges'!$C:$C,3))+(AC92-SUMIFS('Consumable Usage'!$F:$F,'Consumable Usage'!$A:$A,$A92,'Consumable Usage'!$D:$D,3)))</f>
        <v/>
      </c>
      <c r="AF92" s="12" t="str">
        <f t="shared" si="7"/>
        <v/>
      </c>
      <c r="AG92" s="20"/>
      <c r="AH92" s="12" t="str">
        <f t="shared" si="8"/>
        <v/>
      </c>
      <c r="AI92" s="45" t="str">
        <f t="shared" si="9"/>
        <v/>
      </c>
      <c r="AJ92" s="15"/>
      <c r="AK92" s="15"/>
      <c r="AL92" s="20"/>
      <c r="AM92" s="12" t="str">
        <f>IF($A92="","",SUMIFS('Consumable Usage'!$E:$E,'Consumable Usage'!$A:$A,$A92,'Consumable Usage'!$D:$D,4))</f>
        <v/>
      </c>
      <c r="AN92" s="12" t="str">
        <f>IF($A92="","",SUMIFS('Nursing Charges'!$I:$I,'Nursing Charges'!$A:$A,$A92,'Nursing Charges'!$C:$C,4))</f>
        <v/>
      </c>
      <c r="AO92" s="12" t="str">
        <f>IF($A92="","",AL92+(AN92-SUMIFS('Nursing Charges'!$J:$J,'Nursing Charges'!$A:$A,$A92,'Nursing Charges'!$C:$C,4))+(AM92-SUMIFS('Consumable Usage'!$F:$F,'Consumable Usage'!$A:$A,$A92,'Consumable Usage'!$D:$D,4)))</f>
        <v/>
      </c>
      <c r="AP92" s="12" t="str">
        <f t="shared" si="10"/>
        <v/>
      </c>
      <c r="AQ92" s="20"/>
      <c r="AR92" s="12" t="str">
        <f t="shared" si="11"/>
        <v/>
      </c>
      <c r="AS92" s="45" t="str">
        <f t="shared" si="12"/>
        <v/>
      </c>
      <c r="AT92" s="15"/>
      <c r="AU92" s="15"/>
      <c r="AV92" s="20"/>
      <c r="AW92" s="12" t="str">
        <f>IF($A92="","",SUMIFS('Consumable Usage'!$E:$E,'Consumable Usage'!$A:$A,$A92,'Consumable Usage'!$D:$D,5))</f>
        <v/>
      </c>
      <c r="AX92" s="12" t="str">
        <f>IF($A92="","",SUMIFS('Nursing Charges'!$I:$I,'Nursing Charges'!$A:$A,$A92,'Nursing Charges'!$C:$C,5))</f>
        <v/>
      </c>
      <c r="AY92" s="12" t="str">
        <f>IF($A92="","",AV92+(AX92-SUMIFS('Nursing Charges'!$J:$J,'Nursing Charges'!$A:$A,$A92,'Nursing Charges'!$C:$C,5))+(AW92-SUMIFS('Consumable Usage'!$F:$F,'Consumable Usage'!$A:$A,$A92,'Consumable Usage'!$D:$D,5)))</f>
        <v/>
      </c>
      <c r="AZ92" s="12" t="str">
        <f t="shared" si="13"/>
        <v/>
      </c>
      <c r="BA92" s="20"/>
      <c r="BB92" s="12" t="str">
        <f t="shared" si="14"/>
        <v/>
      </c>
      <c r="BC92" s="45" t="str">
        <f t="shared" si="15"/>
        <v/>
      </c>
      <c r="BD92" s="15"/>
      <c r="BE92" s="15"/>
      <c r="BF92" s="20"/>
      <c r="BG92" s="12" t="str">
        <f>IF($A92="","",SUMIFS('Consumable Usage'!$E:$E,'Consumable Usage'!$A:$A,$A92,'Consumable Usage'!$D:$D,6))</f>
        <v/>
      </c>
      <c r="BH92" s="12" t="str">
        <f>IF($A92="","",SUMIFS('Nursing Charges'!$I:$I,'Nursing Charges'!$A:$A,$A92,'Nursing Charges'!$C:$C,6))</f>
        <v/>
      </c>
      <c r="BI92" s="12" t="str">
        <f>IF($A92="","",BF92+(BH92-SUMIFS('Nursing Charges'!$J:$J,'Nursing Charges'!$A:$A,$A92,'Nursing Charges'!$C:$C,6))+(BG92-SUMIFS('Consumable Usage'!$F:$F,'Consumable Usage'!$A:$A,$A92,'Consumable Usage'!$D:$D,6)))</f>
        <v/>
      </c>
      <c r="BJ92" s="12" t="str">
        <f t="shared" si="16"/>
        <v/>
      </c>
      <c r="BK92" s="20"/>
      <c r="BL92" s="12" t="str">
        <f t="shared" si="17"/>
        <v/>
      </c>
      <c r="BM92" s="45" t="str">
        <f t="shared" si="18"/>
        <v/>
      </c>
      <c r="BN92" s="15"/>
      <c r="BO92" s="15"/>
      <c r="BP92" s="20"/>
      <c r="BQ92" s="12" t="str">
        <f>IF($A92="","",SUMIFS('Consumable Usage'!$E:$E,'Consumable Usage'!$A:$A,$A92,'Consumable Usage'!$D:$D,7))</f>
        <v/>
      </c>
      <c r="BR92" s="12" t="str">
        <f>IF($A92="","",SUMIFS('Nursing Charges'!$I:$I,'Nursing Charges'!$A:$A,$A92,'Nursing Charges'!$C:$C,7))</f>
        <v/>
      </c>
      <c r="BS92" s="12" t="str">
        <f>IF($A92="","",BP92+(BR92-SUMIFS('Nursing Charges'!$J:$J,'Nursing Charges'!$A:$A,$A92,'Nursing Charges'!$C:$C,7))+(BQ92-SUMIFS('Consumable Usage'!$F:$F,'Consumable Usage'!$A:$A,$A92,'Consumable Usage'!$D:$D,7)))</f>
        <v/>
      </c>
      <c r="BT92" s="12" t="str">
        <f t="shared" si="19"/>
        <v/>
      </c>
      <c r="BU92" s="20"/>
      <c r="BV92" s="12" t="str">
        <f t="shared" si="20"/>
        <v/>
      </c>
      <c r="BW92" s="45" t="str">
        <f t="shared" si="21"/>
        <v/>
      </c>
      <c r="BX92" s="15"/>
      <c r="BY92" s="15"/>
      <c r="BZ92" s="20"/>
      <c r="CA92" s="12" t="str">
        <f>IF($A92="","",SUMIFS('Consumable Usage'!$E:$E,'Consumable Usage'!$A:$A,$A92,'Consumable Usage'!$D:$D,8))</f>
        <v/>
      </c>
      <c r="CB92" s="12" t="str">
        <f>IF($A92="","",SUMIFS('Nursing Charges'!$I:$I,'Nursing Charges'!$A:$A,$A92,'Nursing Charges'!$C:$C,8))</f>
        <v/>
      </c>
      <c r="CC92" s="12" t="str">
        <f>IF($A92="","",BZ92+(CB92-SUMIFS('Nursing Charges'!$J:$J,'Nursing Charges'!$A:$A,$A92,'Nursing Charges'!$C:$C,8))+(CA92-SUMIFS('Consumable Usage'!$F:$F,'Consumable Usage'!$A:$A,$A92,'Consumable Usage'!$D:$D,8)))</f>
        <v/>
      </c>
      <c r="CD92" s="12" t="str">
        <f t="shared" si="22"/>
        <v/>
      </c>
      <c r="CE92" s="20"/>
      <c r="CF92" s="12" t="str">
        <f t="shared" si="23"/>
        <v/>
      </c>
      <c r="CG92" s="45" t="str">
        <f t="shared" si="24"/>
        <v/>
      </c>
      <c r="CH92" s="15"/>
      <c r="CI92" s="15"/>
      <c r="CJ92" s="20"/>
      <c r="CK92" s="12" t="str">
        <f>IF($A92="","",SUMIFS('Consumable Usage'!$E:$E,'Consumable Usage'!$A:$A,$A92,'Consumable Usage'!$D:$D,9))</f>
        <v/>
      </c>
      <c r="CL92" s="12" t="str">
        <f>IF($A92="","",SUMIFS('Nursing Charges'!$I:$I,'Nursing Charges'!$A:$A,$A92,'Nursing Charges'!$C:$C,9))</f>
        <v/>
      </c>
      <c r="CM92" s="12" t="str">
        <f>IF($A92="","",CJ92+(CL92-SUMIFS('Nursing Charges'!$J:$J,'Nursing Charges'!$A:$A,$A92,'Nursing Charges'!$C:$C,9))+(CK92-SUMIFS('Consumable Usage'!$F:$F,'Consumable Usage'!$A:$A,$A92,'Consumable Usage'!$D:$D,9)))</f>
        <v/>
      </c>
      <c r="CN92" s="12" t="str">
        <f t="shared" si="25"/>
        <v/>
      </c>
      <c r="CO92" s="20"/>
      <c r="CP92" s="12" t="str">
        <f t="shared" si="26"/>
        <v/>
      </c>
      <c r="CQ92" s="45" t="str">
        <f t="shared" si="27"/>
        <v/>
      </c>
      <c r="CR92" s="15"/>
      <c r="CS92" s="15"/>
      <c r="CT92" s="20"/>
      <c r="CU92" s="12" t="str">
        <f>IF($A92="","",SUMIFS('Consumable Usage'!$E:$E,'Consumable Usage'!$A:$A,$A92,'Consumable Usage'!$D:$D,10))</f>
        <v/>
      </c>
      <c r="CV92" s="12" t="str">
        <f>IF($A92="","",SUMIFS('Nursing Charges'!$I:$I,'Nursing Charges'!$A:$A,$A92,'Nursing Charges'!$C:$C,10))</f>
        <v/>
      </c>
      <c r="CW92" s="12" t="str">
        <f>IF($A92="","",CT92+(CV92-SUMIFS('Nursing Charges'!$J:$J,'Nursing Charges'!$A:$A,$A92,'Nursing Charges'!$C:$C,10))+(CU92-SUMIFS('Consumable Usage'!$F:$F,'Consumable Usage'!$A:$A,$A92,'Consumable Usage'!$D:$D,10)))</f>
        <v/>
      </c>
      <c r="CX92" s="12" t="str">
        <f t="shared" si="28"/>
        <v/>
      </c>
      <c r="CY92" s="20"/>
      <c r="CZ92" s="12" t="str">
        <f t="shared" si="29"/>
        <v/>
      </c>
      <c r="DA92" s="45" t="str">
        <f t="shared" si="30"/>
        <v/>
      </c>
      <c r="DB92" s="15"/>
      <c r="DC92" s="15"/>
      <c r="DD92" s="20"/>
      <c r="DE92" s="12" t="str">
        <f>IF($A92="","",SUMIFS('Consumable Usage'!$E:$E,'Consumable Usage'!$A:$A,$A92,'Consumable Usage'!$D:$D,11))</f>
        <v/>
      </c>
      <c r="DF92" s="12" t="str">
        <f>IF($A92="","",SUMIFS('Nursing Charges'!$I:$I,'Nursing Charges'!$A:$A,$A92,'Nursing Charges'!$C:$C,11))</f>
        <v/>
      </c>
      <c r="DG92" s="12" t="str">
        <f>IF($A92="","",DD92+(DF92-SUMIFS('Nursing Charges'!$J:$J,'Nursing Charges'!$A:$A,$A92,'Nursing Charges'!$C:$C,11))+(DE92-SUMIFS('Consumable Usage'!$F:$F,'Consumable Usage'!$A:$A,$A92,'Consumable Usage'!$D:$D,11)))</f>
        <v/>
      </c>
      <c r="DH92" s="12" t="str">
        <f t="shared" si="31"/>
        <v/>
      </c>
      <c r="DI92" s="20"/>
      <c r="DJ92" s="12" t="str">
        <f t="shared" si="32"/>
        <v/>
      </c>
      <c r="DK92" s="45" t="str">
        <f t="shared" si="33"/>
        <v/>
      </c>
      <c r="DL92" s="15"/>
      <c r="DM92" s="15"/>
      <c r="DN92" s="20"/>
      <c r="DO92" s="12" t="str">
        <f>IF($A92="","",SUMIFS('Consumable Usage'!$E:$E,'Consumable Usage'!$A:$A,$A92,'Consumable Usage'!$D:$D,12))</f>
        <v/>
      </c>
      <c r="DP92" s="12" t="str">
        <f>IF($A92="","",SUMIFS('Nursing Charges'!$I:$I,'Nursing Charges'!$A:$A,$A92,'Nursing Charges'!$C:$C,12))</f>
        <v/>
      </c>
      <c r="DQ92" s="12" t="str">
        <f>IF($A92="","",DN92+(DP92-SUMIFS('Nursing Charges'!$J:$J,'Nursing Charges'!$A:$A,$A92,'Nursing Charges'!$C:$C,12))+(DO92-SUMIFS('Consumable Usage'!$F:$F,'Consumable Usage'!$A:$A,$A92,'Consumable Usage'!$D:$D,12)))</f>
        <v/>
      </c>
      <c r="DR92" s="12" t="str">
        <f t="shared" si="34"/>
        <v/>
      </c>
      <c r="DS92" s="20"/>
      <c r="DT92" s="12" t="str">
        <f t="shared" si="35"/>
        <v/>
      </c>
      <c r="DU92" s="45" t="str">
        <f t="shared" si="36"/>
        <v/>
      </c>
      <c r="DV92" s="15"/>
      <c r="DW92" s="15"/>
      <c r="DX92" s="20"/>
      <c r="DY92" s="12" t="str">
        <f>IF($A92="","",SUMIFS('Consumable Usage'!$E:$E,'Consumable Usage'!$A:$A,$A92,'Consumable Usage'!$D:$D,13))</f>
        <v/>
      </c>
      <c r="DZ92" s="12" t="str">
        <f>IF($A92="","",SUMIFS('Nursing Charges'!$I:$I,'Nursing Charges'!$A:$A,$A92,'Nursing Charges'!$C:$C,13))</f>
        <v/>
      </c>
      <c r="EA92" s="12" t="str">
        <f>IF($A92="","",DX92+(DZ92-SUMIFS('Nursing Charges'!$J:$J,'Nursing Charges'!$A:$A,$A92,'Nursing Charges'!$C:$C,13))+(DY92-SUMIFS('Consumable Usage'!$F:$F,'Consumable Usage'!$A:$A,$A92,'Consumable Usage'!$D:$D,13)))</f>
        <v/>
      </c>
      <c r="EB92" s="12" t="str">
        <f t="shared" si="37"/>
        <v/>
      </c>
      <c r="EC92" s="20"/>
      <c r="ED92" s="12" t="str">
        <f t="shared" si="38"/>
        <v/>
      </c>
      <c r="EE92" s="45" t="str">
        <f t="shared" si="39"/>
        <v/>
      </c>
      <c r="EF92" s="15"/>
      <c r="EG92" s="15"/>
      <c r="EH92" s="20"/>
      <c r="EI92" s="12" t="str">
        <f>IF($A92="","",SUMIFS('Consumable Usage'!$E:$E,'Consumable Usage'!$A:$A,$A92,'Consumable Usage'!$D:$D,14))</f>
        <v/>
      </c>
      <c r="EJ92" s="12" t="str">
        <f>IF($A92="","",SUMIFS('Nursing Charges'!$I:$I,'Nursing Charges'!$A:$A,$A92,'Nursing Charges'!$C:$C,14))</f>
        <v/>
      </c>
      <c r="EK92" s="12" t="str">
        <f>IF($A92="","",EH92+(EJ92-SUMIFS('Nursing Charges'!$J:$J,'Nursing Charges'!$A:$A,$A92,'Nursing Charges'!$C:$C,14))+(EI92-SUMIFS('Consumable Usage'!$F:$F,'Consumable Usage'!$A:$A,$A92,'Consumable Usage'!$D:$D,14)))</f>
        <v/>
      </c>
      <c r="EL92" s="12" t="str">
        <f t="shared" si="40"/>
        <v/>
      </c>
      <c r="EM92" s="20"/>
      <c r="EN92" s="12" t="str">
        <f t="shared" si="41"/>
        <v/>
      </c>
      <c r="EO92" s="45" t="str">
        <f t="shared" si="42"/>
        <v/>
      </c>
      <c r="EP92" s="15"/>
      <c r="EQ92" s="15"/>
      <c r="ER92" s="20"/>
      <c r="ES92" s="12" t="str">
        <f>IF($A92="","",SUMIFS('Consumable Usage'!$E:$E,'Consumable Usage'!$A:$A,$A92,'Consumable Usage'!$D:$D,15))</f>
        <v/>
      </c>
      <c r="ET92" s="12" t="str">
        <f>IF($A92="","",SUMIFS('Nursing Charges'!$I:$I,'Nursing Charges'!$A:$A,$A92,'Nursing Charges'!$C:$C,15))</f>
        <v/>
      </c>
      <c r="EU92" s="12" t="str">
        <f>IF($A92="","",ER92+(ET92-SUMIFS('Nursing Charges'!$J:$J,'Nursing Charges'!$A:$A,$A92,'Nursing Charges'!$C:$C,15))+(ES92-SUMIFS('Consumable Usage'!$F:$F,'Consumable Usage'!$A:$A,$A92,'Consumable Usage'!$D:$D,15)))</f>
        <v/>
      </c>
      <c r="EV92" s="12" t="str">
        <f t="shared" si="43"/>
        <v/>
      </c>
      <c r="EW92" s="20"/>
      <c r="EX92" s="12" t="str">
        <f t="shared" si="44"/>
        <v/>
      </c>
      <c r="EY92" s="45" t="str">
        <f t="shared" si="45"/>
        <v/>
      </c>
      <c r="EZ92" s="15"/>
      <c r="FA92" s="15"/>
      <c r="FB92" s="20"/>
      <c r="FC92" s="12" t="str">
        <f>IF($A92="","",SUMIFS('Consumable Usage'!$E:$E,'Consumable Usage'!$A:$A,$A92,'Consumable Usage'!$D:$D,16))</f>
        <v/>
      </c>
      <c r="FD92" s="12" t="str">
        <f>IF($A92="","",SUMIFS('Nursing Charges'!$I:$I,'Nursing Charges'!$A:$A,$A92,'Nursing Charges'!$C:$C,16))</f>
        <v/>
      </c>
      <c r="FE92" s="12" t="str">
        <f>IF($A92="","",FB92+(FD92-SUMIFS('Nursing Charges'!$J:$J,'Nursing Charges'!$A:$A,$A92,'Nursing Charges'!$C:$C,16))+(FC92-SUMIFS('Consumable Usage'!$F:$F,'Consumable Usage'!$A:$A,$A92,'Consumable Usage'!$D:$D,16)))</f>
        <v/>
      </c>
      <c r="FF92" s="12" t="str">
        <f t="shared" si="46"/>
        <v/>
      </c>
      <c r="FG92" s="20"/>
      <c r="FH92" s="12" t="str">
        <f t="shared" si="47"/>
        <v/>
      </c>
      <c r="FI92" s="45" t="str">
        <f t="shared" si="48"/>
        <v/>
      </c>
      <c r="FJ92" s="53"/>
      <c r="FK92" s="53"/>
      <c r="FL92" s="63"/>
      <c r="FM92" s="63" t="str">
        <f>IF($A92="","",SUMIFS('Consumable Usage'!$E:$E,'Consumable Usage'!$A:$A,$A92,'Consumable Usage'!$D:$D,16))</f>
        <v/>
      </c>
      <c r="FN92" s="63" t="str">
        <f>IF($A92="","",SUMIFS('Nursing Charges'!$I:$I,'Nursing Charges'!$A:$A,$A92,'Nursing Charges'!$C:$C,16))</f>
        <v/>
      </c>
      <c r="FO92" s="63" t="str">
        <f>IF($A92="","",FL92+(FN92-SUMIFS('Nursing Charges'!$J:$J,'Nursing Charges'!$A:$A,$A92,'Nursing Charges'!$C:$C,16))+(FM92-SUMIFS('Consumable Usage'!$F:$F,'Consumable Usage'!$A:$A,$A92,'Consumable Usage'!$D:$D,16)))</f>
        <v/>
      </c>
      <c r="FP92" s="63" t="str">
        <f t="shared" si="49"/>
        <v/>
      </c>
      <c r="FQ92" s="63"/>
      <c r="FR92" s="63" t="str">
        <f t="shared" si="50"/>
        <v/>
      </c>
      <c r="FS92" s="53" t="str">
        <f t="shared" si="51"/>
        <v/>
      </c>
    </row>
    <row r="93" ht="15.0" customHeight="1">
      <c r="A93" s="15"/>
      <c r="B93" s="15"/>
      <c r="C93" s="15"/>
      <c r="D93" s="15"/>
      <c r="E93" s="15"/>
      <c r="F93" s="15"/>
      <c r="G93" s="15"/>
      <c r="H93" s="20"/>
      <c r="I93" s="12" t="str">
        <f>IF($A93="","",SUMIFS('Consumable Usage'!$E:$E,'Consumable Usage'!$A:$A,$A93,'Consumable Usage'!$D:$D,1))</f>
        <v/>
      </c>
      <c r="J93" s="12" t="str">
        <f>IF($A93="","",SUMIFS('Nursing Charges'!$I:$I,'Nursing Charges'!$A:$A,$A93,'Nursing Charges'!$C:$C,1))</f>
        <v/>
      </c>
      <c r="K93" s="12" t="str">
        <f>IF($A93="","",H93+(J93-SUMIFS('Nursing Charges'!$J:$J,'Nursing Charges'!$A:$A,$A93,'Nursing Charges'!$C:$C,1))+(I93-SUMIFS('Consumable Usage'!$F:$F,'Consumable Usage'!$A:$A,$A93,'Consumable Usage'!$D:$D,1)))</f>
        <v/>
      </c>
      <c r="L93" s="12" t="str">
        <f t="shared" si="1"/>
        <v/>
      </c>
      <c r="M93" s="20"/>
      <c r="N93" s="12" t="str">
        <f t="shared" si="2"/>
        <v/>
      </c>
      <c r="O93" s="45" t="str">
        <f t="shared" si="3"/>
        <v/>
      </c>
      <c r="P93" s="15"/>
      <c r="Q93" s="15"/>
      <c r="R93" s="20"/>
      <c r="S93" s="12" t="str">
        <f>IF($A93="","",SUMIFS('Consumable Usage'!$E:$E,'Consumable Usage'!$A:$A,$A93,'Consumable Usage'!$D:$D,2))</f>
        <v/>
      </c>
      <c r="T93" s="12" t="str">
        <f>IF($A93="","",SUMIFS('Nursing Charges'!$I:$I,'Nursing Charges'!$A:$A,$A93,'Nursing Charges'!$C:$C,2))</f>
        <v/>
      </c>
      <c r="U93" s="12" t="str">
        <f>IF($A93="","",R93+(T93-SUMIFS('Nursing Charges'!$J:$J,'Nursing Charges'!$A:$A,$A93,'Nursing Charges'!$C:$C,2))+(S93-SUMIFS('Consumable Usage'!$F:$F,'Consumable Usage'!$A:$A,$A93,'Consumable Usage'!$D:$D,2)))</f>
        <v/>
      </c>
      <c r="V93" s="12" t="str">
        <f t="shared" si="4"/>
        <v/>
      </c>
      <c r="W93" s="20"/>
      <c r="X93" s="12" t="str">
        <f t="shared" si="5"/>
        <v/>
      </c>
      <c r="Y93" s="45" t="str">
        <f t="shared" si="6"/>
        <v/>
      </c>
      <c r="Z93" s="15"/>
      <c r="AA93" s="15"/>
      <c r="AB93" s="20"/>
      <c r="AC93" s="12" t="str">
        <f>IF($A93="","",SUMIFS('Consumable Usage'!$E:$E,'Consumable Usage'!$A:$A,$A93,'Consumable Usage'!$D:$D,3))</f>
        <v/>
      </c>
      <c r="AD93" s="12" t="str">
        <f>IF($A93="","",SUMIFS('Nursing Charges'!$I:$I,'Nursing Charges'!$A:$A,$A93,'Nursing Charges'!$C:$C,3))</f>
        <v/>
      </c>
      <c r="AE93" s="12" t="str">
        <f>IF($A93="","",AB93+(AD93-SUMIFS('Nursing Charges'!$J:$J,'Nursing Charges'!$A:$A,$A93,'Nursing Charges'!$C:$C,3))+(AC93-SUMIFS('Consumable Usage'!$F:$F,'Consumable Usage'!$A:$A,$A93,'Consumable Usage'!$D:$D,3)))</f>
        <v/>
      </c>
      <c r="AF93" s="12" t="str">
        <f t="shared" si="7"/>
        <v/>
      </c>
      <c r="AG93" s="20"/>
      <c r="AH93" s="12" t="str">
        <f t="shared" si="8"/>
        <v/>
      </c>
      <c r="AI93" s="45" t="str">
        <f t="shared" si="9"/>
        <v/>
      </c>
      <c r="AJ93" s="15"/>
      <c r="AK93" s="15"/>
      <c r="AL93" s="20"/>
      <c r="AM93" s="12" t="str">
        <f>IF($A93="","",SUMIFS('Consumable Usage'!$E:$E,'Consumable Usage'!$A:$A,$A93,'Consumable Usage'!$D:$D,4))</f>
        <v/>
      </c>
      <c r="AN93" s="12" t="str">
        <f>IF($A93="","",SUMIFS('Nursing Charges'!$I:$I,'Nursing Charges'!$A:$A,$A93,'Nursing Charges'!$C:$C,4))</f>
        <v/>
      </c>
      <c r="AO93" s="12" t="str">
        <f>IF($A93="","",AL93+(AN93-SUMIFS('Nursing Charges'!$J:$J,'Nursing Charges'!$A:$A,$A93,'Nursing Charges'!$C:$C,4))+(AM93-SUMIFS('Consumable Usage'!$F:$F,'Consumable Usage'!$A:$A,$A93,'Consumable Usage'!$D:$D,4)))</f>
        <v/>
      </c>
      <c r="AP93" s="12" t="str">
        <f t="shared" si="10"/>
        <v/>
      </c>
      <c r="AQ93" s="20"/>
      <c r="AR93" s="12" t="str">
        <f t="shared" si="11"/>
        <v/>
      </c>
      <c r="AS93" s="45" t="str">
        <f t="shared" si="12"/>
        <v/>
      </c>
      <c r="AT93" s="15"/>
      <c r="AU93" s="15"/>
      <c r="AV93" s="20"/>
      <c r="AW93" s="12" t="str">
        <f>IF($A93="","",SUMIFS('Consumable Usage'!$E:$E,'Consumable Usage'!$A:$A,$A93,'Consumable Usage'!$D:$D,5))</f>
        <v/>
      </c>
      <c r="AX93" s="12" t="str">
        <f>IF($A93="","",SUMIFS('Nursing Charges'!$I:$I,'Nursing Charges'!$A:$A,$A93,'Nursing Charges'!$C:$C,5))</f>
        <v/>
      </c>
      <c r="AY93" s="12" t="str">
        <f>IF($A93="","",AV93+(AX93-SUMIFS('Nursing Charges'!$J:$J,'Nursing Charges'!$A:$A,$A93,'Nursing Charges'!$C:$C,5))+(AW93-SUMIFS('Consumable Usage'!$F:$F,'Consumable Usage'!$A:$A,$A93,'Consumable Usage'!$D:$D,5)))</f>
        <v/>
      </c>
      <c r="AZ93" s="12" t="str">
        <f t="shared" si="13"/>
        <v/>
      </c>
      <c r="BA93" s="20"/>
      <c r="BB93" s="12" t="str">
        <f t="shared" si="14"/>
        <v/>
      </c>
      <c r="BC93" s="45" t="str">
        <f t="shared" si="15"/>
        <v/>
      </c>
      <c r="BD93" s="15"/>
      <c r="BE93" s="15"/>
      <c r="BF93" s="20"/>
      <c r="BG93" s="12" t="str">
        <f>IF($A93="","",SUMIFS('Consumable Usage'!$E:$E,'Consumable Usage'!$A:$A,$A93,'Consumable Usage'!$D:$D,6))</f>
        <v/>
      </c>
      <c r="BH93" s="12" t="str">
        <f>IF($A93="","",SUMIFS('Nursing Charges'!$I:$I,'Nursing Charges'!$A:$A,$A93,'Nursing Charges'!$C:$C,6))</f>
        <v/>
      </c>
      <c r="BI93" s="12" t="str">
        <f>IF($A93="","",BF93+(BH93-SUMIFS('Nursing Charges'!$J:$J,'Nursing Charges'!$A:$A,$A93,'Nursing Charges'!$C:$C,6))+(BG93-SUMIFS('Consumable Usage'!$F:$F,'Consumable Usage'!$A:$A,$A93,'Consumable Usage'!$D:$D,6)))</f>
        <v/>
      </c>
      <c r="BJ93" s="12" t="str">
        <f t="shared" si="16"/>
        <v/>
      </c>
      <c r="BK93" s="20"/>
      <c r="BL93" s="12" t="str">
        <f t="shared" si="17"/>
        <v/>
      </c>
      <c r="BM93" s="45" t="str">
        <f t="shared" si="18"/>
        <v/>
      </c>
      <c r="BN93" s="15"/>
      <c r="BO93" s="15"/>
      <c r="BP93" s="20"/>
      <c r="BQ93" s="12" t="str">
        <f>IF($A93="","",SUMIFS('Consumable Usage'!$E:$E,'Consumable Usage'!$A:$A,$A93,'Consumable Usage'!$D:$D,7))</f>
        <v/>
      </c>
      <c r="BR93" s="12" t="str">
        <f>IF($A93="","",SUMIFS('Nursing Charges'!$I:$I,'Nursing Charges'!$A:$A,$A93,'Nursing Charges'!$C:$C,7))</f>
        <v/>
      </c>
      <c r="BS93" s="12" t="str">
        <f>IF($A93="","",BP93+(BR93-SUMIFS('Nursing Charges'!$J:$J,'Nursing Charges'!$A:$A,$A93,'Nursing Charges'!$C:$C,7))+(BQ93-SUMIFS('Consumable Usage'!$F:$F,'Consumable Usage'!$A:$A,$A93,'Consumable Usage'!$D:$D,7)))</f>
        <v/>
      </c>
      <c r="BT93" s="12" t="str">
        <f t="shared" si="19"/>
        <v/>
      </c>
      <c r="BU93" s="20"/>
      <c r="BV93" s="12" t="str">
        <f t="shared" si="20"/>
        <v/>
      </c>
      <c r="BW93" s="45" t="str">
        <f t="shared" si="21"/>
        <v/>
      </c>
      <c r="BX93" s="15"/>
      <c r="BY93" s="15"/>
      <c r="BZ93" s="20"/>
      <c r="CA93" s="12" t="str">
        <f>IF($A93="","",SUMIFS('Consumable Usage'!$E:$E,'Consumable Usage'!$A:$A,$A93,'Consumable Usage'!$D:$D,8))</f>
        <v/>
      </c>
      <c r="CB93" s="12" t="str">
        <f>IF($A93="","",SUMIFS('Nursing Charges'!$I:$I,'Nursing Charges'!$A:$A,$A93,'Nursing Charges'!$C:$C,8))</f>
        <v/>
      </c>
      <c r="CC93" s="12" t="str">
        <f>IF($A93="","",BZ93+(CB93-SUMIFS('Nursing Charges'!$J:$J,'Nursing Charges'!$A:$A,$A93,'Nursing Charges'!$C:$C,8))+(CA93-SUMIFS('Consumable Usage'!$F:$F,'Consumable Usage'!$A:$A,$A93,'Consumable Usage'!$D:$D,8)))</f>
        <v/>
      </c>
      <c r="CD93" s="12" t="str">
        <f t="shared" si="22"/>
        <v/>
      </c>
      <c r="CE93" s="20"/>
      <c r="CF93" s="12" t="str">
        <f t="shared" si="23"/>
        <v/>
      </c>
      <c r="CG93" s="45" t="str">
        <f t="shared" si="24"/>
        <v/>
      </c>
      <c r="CH93" s="15"/>
      <c r="CI93" s="15"/>
      <c r="CJ93" s="20"/>
      <c r="CK93" s="12" t="str">
        <f>IF($A93="","",SUMIFS('Consumable Usage'!$E:$E,'Consumable Usage'!$A:$A,$A93,'Consumable Usage'!$D:$D,9))</f>
        <v/>
      </c>
      <c r="CL93" s="12" t="str">
        <f>IF($A93="","",SUMIFS('Nursing Charges'!$I:$I,'Nursing Charges'!$A:$A,$A93,'Nursing Charges'!$C:$C,9))</f>
        <v/>
      </c>
      <c r="CM93" s="12" t="str">
        <f>IF($A93="","",CJ93+(CL93-SUMIFS('Nursing Charges'!$J:$J,'Nursing Charges'!$A:$A,$A93,'Nursing Charges'!$C:$C,9))+(CK93-SUMIFS('Consumable Usage'!$F:$F,'Consumable Usage'!$A:$A,$A93,'Consumable Usage'!$D:$D,9)))</f>
        <v/>
      </c>
      <c r="CN93" s="12" t="str">
        <f t="shared" si="25"/>
        <v/>
      </c>
      <c r="CO93" s="20"/>
      <c r="CP93" s="12" t="str">
        <f t="shared" si="26"/>
        <v/>
      </c>
      <c r="CQ93" s="45" t="str">
        <f t="shared" si="27"/>
        <v/>
      </c>
      <c r="CR93" s="15"/>
      <c r="CS93" s="15"/>
      <c r="CT93" s="20"/>
      <c r="CU93" s="12" t="str">
        <f>IF($A93="","",SUMIFS('Consumable Usage'!$E:$E,'Consumable Usage'!$A:$A,$A93,'Consumable Usage'!$D:$D,10))</f>
        <v/>
      </c>
      <c r="CV93" s="12" t="str">
        <f>IF($A93="","",SUMIFS('Nursing Charges'!$I:$I,'Nursing Charges'!$A:$A,$A93,'Nursing Charges'!$C:$C,10))</f>
        <v/>
      </c>
      <c r="CW93" s="12" t="str">
        <f>IF($A93="","",CT93+(CV93-SUMIFS('Nursing Charges'!$J:$J,'Nursing Charges'!$A:$A,$A93,'Nursing Charges'!$C:$C,10))+(CU93-SUMIFS('Consumable Usage'!$F:$F,'Consumable Usage'!$A:$A,$A93,'Consumable Usage'!$D:$D,10)))</f>
        <v/>
      </c>
      <c r="CX93" s="12" t="str">
        <f t="shared" si="28"/>
        <v/>
      </c>
      <c r="CY93" s="20"/>
      <c r="CZ93" s="12" t="str">
        <f t="shared" si="29"/>
        <v/>
      </c>
      <c r="DA93" s="45" t="str">
        <f t="shared" si="30"/>
        <v/>
      </c>
      <c r="DB93" s="15"/>
      <c r="DC93" s="15"/>
      <c r="DD93" s="20"/>
      <c r="DE93" s="12" t="str">
        <f>IF($A93="","",SUMIFS('Consumable Usage'!$E:$E,'Consumable Usage'!$A:$A,$A93,'Consumable Usage'!$D:$D,11))</f>
        <v/>
      </c>
      <c r="DF93" s="12" t="str">
        <f>IF($A93="","",SUMIFS('Nursing Charges'!$I:$I,'Nursing Charges'!$A:$A,$A93,'Nursing Charges'!$C:$C,11))</f>
        <v/>
      </c>
      <c r="DG93" s="12" t="str">
        <f>IF($A93="","",DD93+(DF93-SUMIFS('Nursing Charges'!$J:$J,'Nursing Charges'!$A:$A,$A93,'Nursing Charges'!$C:$C,11))+(DE93-SUMIFS('Consumable Usage'!$F:$F,'Consumable Usage'!$A:$A,$A93,'Consumable Usage'!$D:$D,11)))</f>
        <v/>
      </c>
      <c r="DH93" s="12" t="str">
        <f t="shared" si="31"/>
        <v/>
      </c>
      <c r="DI93" s="20"/>
      <c r="DJ93" s="12" t="str">
        <f t="shared" si="32"/>
        <v/>
      </c>
      <c r="DK93" s="45" t="str">
        <f t="shared" si="33"/>
        <v/>
      </c>
      <c r="DL93" s="15"/>
      <c r="DM93" s="15"/>
      <c r="DN93" s="20"/>
      <c r="DO93" s="12" t="str">
        <f>IF($A93="","",SUMIFS('Consumable Usage'!$E:$E,'Consumable Usage'!$A:$A,$A93,'Consumable Usage'!$D:$D,12))</f>
        <v/>
      </c>
      <c r="DP93" s="12" t="str">
        <f>IF($A93="","",SUMIFS('Nursing Charges'!$I:$I,'Nursing Charges'!$A:$A,$A93,'Nursing Charges'!$C:$C,12))</f>
        <v/>
      </c>
      <c r="DQ93" s="12" t="str">
        <f>IF($A93="","",DN93+(DP93-SUMIFS('Nursing Charges'!$J:$J,'Nursing Charges'!$A:$A,$A93,'Nursing Charges'!$C:$C,12))+(DO93-SUMIFS('Consumable Usage'!$F:$F,'Consumable Usage'!$A:$A,$A93,'Consumable Usage'!$D:$D,12)))</f>
        <v/>
      </c>
      <c r="DR93" s="12" t="str">
        <f t="shared" si="34"/>
        <v/>
      </c>
      <c r="DS93" s="20"/>
      <c r="DT93" s="12" t="str">
        <f t="shared" si="35"/>
        <v/>
      </c>
      <c r="DU93" s="45" t="str">
        <f t="shared" si="36"/>
        <v/>
      </c>
      <c r="DV93" s="15"/>
      <c r="DW93" s="15"/>
      <c r="DX93" s="20"/>
      <c r="DY93" s="12" t="str">
        <f>IF($A93="","",SUMIFS('Consumable Usage'!$E:$E,'Consumable Usage'!$A:$A,$A93,'Consumable Usage'!$D:$D,13))</f>
        <v/>
      </c>
      <c r="DZ93" s="12" t="str">
        <f>IF($A93="","",SUMIFS('Nursing Charges'!$I:$I,'Nursing Charges'!$A:$A,$A93,'Nursing Charges'!$C:$C,13))</f>
        <v/>
      </c>
      <c r="EA93" s="12" t="str">
        <f>IF($A93="","",DX93+(DZ93-SUMIFS('Nursing Charges'!$J:$J,'Nursing Charges'!$A:$A,$A93,'Nursing Charges'!$C:$C,13))+(DY93-SUMIFS('Consumable Usage'!$F:$F,'Consumable Usage'!$A:$A,$A93,'Consumable Usage'!$D:$D,13)))</f>
        <v/>
      </c>
      <c r="EB93" s="12" t="str">
        <f t="shared" si="37"/>
        <v/>
      </c>
      <c r="EC93" s="20"/>
      <c r="ED93" s="12" t="str">
        <f t="shared" si="38"/>
        <v/>
      </c>
      <c r="EE93" s="45" t="str">
        <f t="shared" si="39"/>
        <v/>
      </c>
      <c r="EF93" s="15"/>
      <c r="EG93" s="15"/>
      <c r="EH93" s="20"/>
      <c r="EI93" s="12" t="str">
        <f>IF($A93="","",SUMIFS('Consumable Usage'!$E:$E,'Consumable Usage'!$A:$A,$A93,'Consumable Usage'!$D:$D,14))</f>
        <v/>
      </c>
      <c r="EJ93" s="12" t="str">
        <f>IF($A93="","",SUMIFS('Nursing Charges'!$I:$I,'Nursing Charges'!$A:$A,$A93,'Nursing Charges'!$C:$C,14))</f>
        <v/>
      </c>
      <c r="EK93" s="12" t="str">
        <f>IF($A93="","",EH93+(EJ93-SUMIFS('Nursing Charges'!$J:$J,'Nursing Charges'!$A:$A,$A93,'Nursing Charges'!$C:$C,14))+(EI93-SUMIFS('Consumable Usage'!$F:$F,'Consumable Usage'!$A:$A,$A93,'Consumable Usage'!$D:$D,14)))</f>
        <v/>
      </c>
      <c r="EL93" s="12" t="str">
        <f t="shared" si="40"/>
        <v/>
      </c>
      <c r="EM93" s="20"/>
      <c r="EN93" s="12" t="str">
        <f t="shared" si="41"/>
        <v/>
      </c>
      <c r="EO93" s="45" t="str">
        <f t="shared" si="42"/>
        <v/>
      </c>
      <c r="EP93" s="15"/>
      <c r="EQ93" s="15"/>
      <c r="ER93" s="20"/>
      <c r="ES93" s="12" t="str">
        <f>IF($A93="","",SUMIFS('Consumable Usage'!$E:$E,'Consumable Usage'!$A:$A,$A93,'Consumable Usage'!$D:$D,15))</f>
        <v/>
      </c>
      <c r="ET93" s="12" t="str">
        <f>IF($A93="","",SUMIFS('Nursing Charges'!$I:$I,'Nursing Charges'!$A:$A,$A93,'Nursing Charges'!$C:$C,15))</f>
        <v/>
      </c>
      <c r="EU93" s="12" t="str">
        <f>IF($A93="","",ER93+(ET93-SUMIFS('Nursing Charges'!$J:$J,'Nursing Charges'!$A:$A,$A93,'Nursing Charges'!$C:$C,15))+(ES93-SUMIFS('Consumable Usage'!$F:$F,'Consumable Usage'!$A:$A,$A93,'Consumable Usage'!$D:$D,15)))</f>
        <v/>
      </c>
      <c r="EV93" s="12" t="str">
        <f t="shared" si="43"/>
        <v/>
      </c>
      <c r="EW93" s="20"/>
      <c r="EX93" s="12" t="str">
        <f t="shared" si="44"/>
        <v/>
      </c>
      <c r="EY93" s="45" t="str">
        <f t="shared" si="45"/>
        <v/>
      </c>
      <c r="EZ93" s="15"/>
      <c r="FA93" s="15"/>
      <c r="FB93" s="20"/>
      <c r="FC93" s="12" t="str">
        <f>IF($A93="","",SUMIFS('Consumable Usage'!$E:$E,'Consumable Usage'!$A:$A,$A93,'Consumable Usage'!$D:$D,16))</f>
        <v/>
      </c>
      <c r="FD93" s="12" t="str">
        <f>IF($A93="","",SUMIFS('Nursing Charges'!$I:$I,'Nursing Charges'!$A:$A,$A93,'Nursing Charges'!$C:$C,16))</f>
        <v/>
      </c>
      <c r="FE93" s="12" t="str">
        <f>IF($A93="","",FB93+(FD93-SUMIFS('Nursing Charges'!$J:$J,'Nursing Charges'!$A:$A,$A93,'Nursing Charges'!$C:$C,16))+(FC93-SUMIFS('Consumable Usage'!$F:$F,'Consumable Usage'!$A:$A,$A93,'Consumable Usage'!$D:$D,16)))</f>
        <v/>
      </c>
      <c r="FF93" s="12" t="str">
        <f t="shared" si="46"/>
        <v/>
      </c>
      <c r="FG93" s="20"/>
      <c r="FH93" s="12" t="str">
        <f t="shared" si="47"/>
        <v/>
      </c>
      <c r="FI93" s="45" t="str">
        <f t="shared" si="48"/>
        <v/>
      </c>
      <c r="FJ93" s="53"/>
      <c r="FK93" s="53"/>
      <c r="FL93" s="63"/>
      <c r="FM93" s="63" t="str">
        <f>IF($A93="","",SUMIFS('Consumable Usage'!$E:$E,'Consumable Usage'!$A:$A,$A93,'Consumable Usage'!$D:$D,16))</f>
        <v/>
      </c>
      <c r="FN93" s="63" t="str">
        <f>IF($A93="","",SUMIFS('Nursing Charges'!$I:$I,'Nursing Charges'!$A:$A,$A93,'Nursing Charges'!$C:$C,16))</f>
        <v/>
      </c>
      <c r="FO93" s="63" t="str">
        <f>IF($A93="","",FL93+(FN93-SUMIFS('Nursing Charges'!$J:$J,'Nursing Charges'!$A:$A,$A93,'Nursing Charges'!$C:$C,16))+(FM93-SUMIFS('Consumable Usage'!$F:$F,'Consumable Usage'!$A:$A,$A93,'Consumable Usage'!$D:$D,16)))</f>
        <v/>
      </c>
      <c r="FP93" s="63" t="str">
        <f t="shared" si="49"/>
        <v/>
      </c>
      <c r="FQ93" s="63"/>
      <c r="FR93" s="63" t="str">
        <f t="shared" si="50"/>
        <v/>
      </c>
      <c r="FS93" s="53" t="str">
        <f t="shared" si="51"/>
        <v/>
      </c>
    </row>
    <row r="94" ht="15.0" customHeight="1">
      <c r="A94" s="15"/>
      <c r="B94" s="15"/>
      <c r="C94" s="15"/>
      <c r="D94" s="15"/>
      <c r="E94" s="15"/>
      <c r="F94" s="15"/>
      <c r="G94" s="15"/>
      <c r="H94" s="20"/>
      <c r="I94" s="12" t="str">
        <f>IF($A94="","",SUMIFS('Consumable Usage'!$E:$E,'Consumable Usage'!$A:$A,$A94,'Consumable Usage'!$D:$D,1))</f>
        <v/>
      </c>
      <c r="J94" s="12" t="str">
        <f>IF($A94="","",SUMIFS('Nursing Charges'!$I:$I,'Nursing Charges'!$A:$A,$A94,'Nursing Charges'!$C:$C,1))</f>
        <v/>
      </c>
      <c r="K94" s="12" t="str">
        <f>IF($A94="","",H94+(J94-SUMIFS('Nursing Charges'!$J:$J,'Nursing Charges'!$A:$A,$A94,'Nursing Charges'!$C:$C,1))+(I94-SUMIFS('Consumable Usage'!$F:$F,'Consumable Usage'!$A:$A,$A94,'Consumable Usage'!$D:$D,1)))</f>
        <v/>
      </c>
      <c r="L94" s="12" t="str">
        <f t="shared" si="1"/>
        <v/>
      </c>
      <c r="M94" s="20"/>
      <c r="N94" s="12" t="str">
        <f t="shared" si="2"/>
        <v/>
      </c>
      <c r="O94" s="45" t="str">
        <f t="shared" si="3"/>
        <v/>
      </c>
      <c r="P94" s="15"/>
      <c r="Q94" s="15"/>
      <c r="R94" s="20"/>
      <c r="S94" s="12" t="str">
        <f>IF($A94="","",SUMIFS('Consumable Usage'!$E:$E,'Consumable Usage'!$A:$A,$A94,'Consumable Usage'!$D:$D,2))</f>
        <v/>
      </c>
      <c r="T94" s="12" t="str">
        <f>IF($A94="","",SUMIFS('Nursing Charges'!$I:$I,'Nursing Charges'!$A:$A,$A94,'Nursing Charges'!$C:$C,2))</f>
        <v/>
      </c>
      <c r="U94" s="12" t="str">
        <f>IF($A94="","",R94+(T94-SUMIFS('Nursing Charges'!$J:$J,'Nursing Charges'!$A:$A,$A94,'Nursing Charges'!$C:$C,2))+(S94-SUMIFS('Consumable Usage'!$F:$F,'Consumable Usage'!$A:$A,$A94,'Consumable Usage'!$D:$D,2)))</f>
        <v/>
      </c>
      <c r="V94" s="12" t="str">
        <f t="shared" si="4"/>
        <v/>
      </c>
      <c r="W94" s="20"/>
      <c r="X94" s="12" t="str">
        <f t="shared" si="5"/>
        <v/>
      </c>
      <c r="Y94" s="45" t="str">
        <f t="shared" si="6"/>
        <v/>
      </c>
      <c r="Z94" s="15"/>
      <c r="AA94" s="15"/>
      <c r="AB94" s="20"/>
      <c r="AC94" s="12" t="str">
        <f>IF($A94="","",SUMIFS('Consumable Usage'!$E:$E,'Consumable Usage'!$A:$A,$A94,'Consumable Usage'!$D:$D,3))</f>
        <v/>
      </c>
      <c r="AD94" s="12" t="str">
        <f>IF($A94="","",SUMIFS('Nursing Charges'!$I:$I,'Nursing Charges'!$A:$A,$A94,'Nursing Charges'!$C:$C,3))</f>
        <v/>
      </c>
      <c r="AE94" s="12" t="str">
        <f>IF($A94="","",AB94+(AD94-SUMIFS('Nursing Charges'!$J:$J,'Nursing Charges'!$A:$A,$A94,'Nursing Charges'!$C:$C,3))+(AC94-SUMIFS('Consumable Usage'!$F:$F,'Consumable Usage'!$A:$A,$A94,'Consumable Usage'!$D:$D,3)))</f>
        <v/>
      </c>
      <c r="AF94" s="12" t="str">
        <f t="shared" si="7"/>
        <v/>
      </c>
      <c r="AG94" s="20"/>
      <c r="AH94" s="12" t="str">
        <f t="shared" si="8"/>
        <v/>
      </c>
      <c r="AI94" s="45" t="str">
        <f t="shared" si="9"/>
        <v/>
      </c>
      <c r="AJ94" s="15"/>
      <c r="AK94" s="15"/>
      <c r="AL94" s="20"/>
      <c r="AM94" s="12" t="str">
        <f>IF($A94="","",SUMIFS('Consumable Usage'!$E:$E,'Consumable Usage'!$A:$A,$A94,'Consumable Usage'!$D:$D,4))</f>
        <v/>
      </c>
      <c r="AN94" s="12" t="str">
        <f>IF($A94="","",SUMIFS('Nursing Charges'!$I:$I,'Nursing Charges'!$A:$A,$A94,'Nursing Charges'!$C:$C,4))</f>
        <v/>
      </c>
      <c r="AO94" s="12" t="str">
        <f>IF($A94="","",AL94+(AN94-SUMIFS('Nursing Charges'!$J:$J,'Nursing Charges'!$A:$A,$A94,'Nursing Charges'!$C:$C,4))+(AM94-SUMIFS('Consumable Usage'!$F:$F,'Consumable Usage'!$A:$A,$A94,'Consumable Usage'!$D:$D,4)))</f>
        <v/>
      </c>
      <c r="AP94" s="12" t="str">
        <f t="shared" si="10"/>
        <v/>
      </c>
      <c r="AQ94" s="20"/>
      <c r="AR94" s="12" t="str">
        <f t="shared" si="11"/>
        <v/>
      </c>
      <c r="AS94" s="45" t="str">
        <f t="shared" si="12"/>
        <v/>
      </c>
      <c r="AT94" s="15"/>
      <c r="AU94" s="15"/>
      <c r="AV94" s="20"/>
      <c r="AW94" s="12" t="str">
        <f>IF($A94="","",SUMIFS('Consumable Usage'!$E:$E,'Consumable Usage'!$A:$A,$A94,'Consumable Usage'!$D:$D,5))</f>
        <v/>
      </c>
      <c r="AX94" s="12" t="str">
        <f>IF($A94="","",SUMIFS('Nursing Charges'!$I:$I,'Nursing Charges'!$A:$A,$A94,'Nursing Charges'!$C:$C,5))</f>
        <v/>
      </c>
      <c r="AY94" s="12" t="str">
        <f>IF($A94="","",AV94+(AX94-SUMIFS('Nursing Charges'!$J:$J,'Nursing Charges'!$A:$A,$A94,'Nursing Charges'!$C:$C,5))+(AW94-SUMIFS('Consumable Usage'!$F:$F,'Consumable Usage'!$A:$A,$A94,'Consumable Usage'!$D:$D,5)))</f>
        <v/>
      </c>
      <c r="AZ94" s="12" t="str">
        <f t="shared" si="13"/>
        <v/>
      </c>
      <c r="BA94" s="20"/>
      <c r="BB94" s="12" t="str">
        <f t="shared" si="14"/>
        <v/>
      </c>
      <c r="BC94" s="45" t="str">
        <f t="shared" si="15"/>
        <v/>
      </c>
      <c r="BD94" s="15"/>
      <c r="BE94" s="15"/>
      <c r="BF94" s="20"/>
      <c r="BG94" s="12" t="str">
        <f>IF($A94="","",SUMIFS('Consumable Usage'!$E:$E,'Consumable Usage'!$A:$A,$A94,'Consumable Usage'!$D:$D,6))</f>
        <v/>
      </c>
      <c r="BH94" s="12" t="str">
        <f>IF($A94="","",SUMIFS('Nursing Charges'!$I:$I,'Nursing Charges'!$A:$A,$A94,'Nursing Charges'!$C:$C,6))</f>
        <v/>
      </c>
      <c r="BI94" s="12" t="str">
        <f>IF($A94="","",BF94+(BH94-SUMIFS('Nursing Charges'!$J:$J,'Nursing Charges'!$A:$A,$A94,'Nursing Charges'!$C:$C,6))+(BG94-SUMIFS('Consumable Usage'!$F:$F,'Consumable Usage'!$A:$A,$A94,'Consumable Usage'!$D:$D,6)))</f>
        <v/>
      </c>
      <c r="BJ94" s="12" t="str">
        <f t="shared" si="16"/>
        <v/>
      </c>
      <c r="BK94" s="20"/>
      <c r="BL94" s="12" t="str">
        <f t="shared" si="17"/>
        <v/>
      </c>
      <c r="BM94" s="45" t="str">
        <f t="shared" si="18"/>
        <v/>
      </c>
      <c r="BN94" s="15"/>
      <c r="BO94" s="15"/>
      <c r="BP94" s="20"/>
      <c r="BQ94" s="12" t="str">
        <f>IF($A94="","",SUMIFS('Consumable Usage'!$E:$E,'Consumable Usage'!$A:$A,$A94,'Consumable Usage'!$D:$D,7))</f>
        <v/>
      </c>
      <c r="BR94" s="12" t="str">
        <f>IF($A94="","",SUMIFS('Nursing Charges'!$I:$I,'Nursing Charges'!$A:$A,$A94,'Nursing Charges'!$C:$C,7))</f>
        <v/>
      </c>
      <c r="BS94" s="12" t="str">
        <f>IF($A94="","",BP94+(BR94-SUMIFS('Nursing Charges'!$J:$J,'Nursing Charges'!$A:$A,$A94,'Nursing Charges'!$C:$C,7))+(BQ94-SUMIFS('Consumable Usage'!$F:$F,'Consumable Usage'!$A:$A,$A94,'Consumable Usage'!$D:$D,7)))</f>
        <v/>
      </c>
      <c r="BT94" s="12" t="str">
        <f t="shared" si="19"/>
        <v/>
      </c>
      <c r="BU94" s="20"/>
      <c r="BV94" s="12" t="str">
        <f t="shared" si="20"/>
        <v/>
      </c>
      <c r="BW94" s="45" t="str">
        <f t="shared" si="21"/>
        <v/>
      </c>
      <c r="BX94" s="15"/>
      <c r="BY94" s="15"/>
      <c r="BZ94" s="20"/>
      <c r="CA94" s="12" t="str">
        <f>IF($A94="","",SUMIFS('Consumable Usage'!$E:$E,'Consumable Usage'!$A:$A,$A94,'Consumable Usage'!$D:$D,8))</f>
        <v/>
      </c>
      <c r="CB94" s="12" t="str">
        <f>IF($A94="","",SUMIFS('Nursing Charges'!$I:$I,'Nursing Charges'!$A:$A,$A94,'Nursing Charges'!$C:$C,8))</f>
        <v/>
      </c>
      <c r="CC94" s="12" t="str">
        <f>IF($A94="","",BZ94+(CB94-SUMIFS('Nursing Charges'!$J:$J,'Nursing Charges'!$A:$A,$A94,'Nursing Charges'!$C:$C,8))+(CA94-SUMIFS('Consumable Usage'!$F:$F,'Consumable Usage'!$A:$A,$A94,'Consumable Usage'!$D:$D,8)))</f>
        <v/>
      </c>
      <c r="CD94" s="12" t="str">
        <f t="shared" si="22"/>
        <v/>
      </c>
      <c r="CE94" s="20"/>
      <c r="CF94" s="12" t="str">
        <f t="shared" si="23"/>
        <v/>
      </c>
      <c r="CG94" s="45" t="str">
        <f t="shared" si="24"/>
        <v/>
      </c>
      <c r="CH94" s="15"/>
      <c r="CI94" s="15"/>
      <c r="CJ94" s="20"/>
      <c r="CK94" s="12" t="str">
        <f>IF($A94="","",SUMIFS('Consumable Usage'!$E:$E,'Consumable Usage'!$A:$A,$A94,'Consumable Usage'!$D:$D,9))</f>
        <v/>
      </c>
      <c r="CL94" s="12" t="str">
        <f>IF($A94="","",SUMIFS('Nursing Charges'!$I:$I,'Nursing Charges'!$A:$A,$A94,'Nursing Charges'!$C:$C,9))</f>
        <v/>
      </c>
      <c r="CM94" s="12" t="str">
        <f>IF($A94="","",CJ94+(CL94-SUMIFS('Nursing Charges'!$J:$J,'Nursing Charges'!$A:$A,$A94,'Nursing Charges'!$C:$C,9))+(CK94-SUMIFS('Consumable Usage'!$F:$F,'Consumable Usage'!$A:$A,$A94,'Consumable Usage'!$D:$D,9)))</f>
        <v/>
      </c>
      <c r="CN94" s="12" t="str">
        <f t="shared" si="25"/>
        <v/>
      </c>
      <c r="CO94" s="20"/>
      <c r="CP94" s="12" t="str">
        <f t="shared" si="26"/>
        <v/>
      </c>
      <c r="CQ94" s="45" t="str">
        <f t="shared" si="27"/>
        <v/>
      </c>
      <c r="CR94" s="15"/>
      <c r="CS94" s="15"/>
      <c r="CT94" s="20"/>
      <c r="CU94" s="12" t="str">
        <f>IF($A94="","",SUMIFS('Consumable Usage'!$E:$E,'Consumable Usage'!$A:$A,$A94,'Consumable Usage'!$D:$D,10))</f>
        <v/>
      </c>
      <c r="CV94" s="12" t="str">
        <f>IF($A94="","",SUMIFS('Nursing Charges'!$I:$I,'Nursing Charges'!$A:$A,$A94,'Nursing Charges'!$C:$C,10))</f>
        <v/>
      </c>
      <c r="CW94" s="12" t="str">
        <f>IF($A94="","",CT94+(CV94-SUMIFS('Nursing Charges'!$J:$J,'Nursing Charges'!$A:$A,$A94,'Nursing Charges'!$C:$C,10))+(CU94-SUMIFS('Consumable Usage'!$F:$F,'Consumable Usage'!$A:$A,$A94,'Consumable Usage'!$D:$D,10)))</f>
        <v/>
      </c>
      <c r="CX94" s="12" t="str">
        <f t="shared" si="28"/>
        <v/>
      </c>
      <c r="CY94" s="20"/>
      <c r="CZ94" s="12" t="str">
        <f t="shared" si="29"/>
        <v/>
      </c>
      <c r="DA94" s="45" t="str">
        <f t="shared" si="30"/>
        <v/>
      </c>
      <c r="DB94" s="15"/>
      <c r="DC94" s="15"/>
      <c r="DD94" s="20"/>
      <c r="DE94" s="12" t="str">
        <f>IF($A94="","",SUMIFS('Consumable Usage'!$E:$E,'Consumable Usage'!$A:$A,$A94,'Consumable Usage'!$D:$D,11))</f>
        <v/>
      </c>
      <c r="DF94" s="12" t="str">
        <f>IF($A94="","",SUMIFS('Nursing Charges'!$I:$I,'Nursing Charges'!$A:$A,$A94,'Nursing Charges'!$C:$C,11))</f>
        <v/>
      </c>
      <c r="DG94" s="12" t="str">
        <f>IF($A94="","",DD94+(DF94-SUMIFS('Nursing Charges'!$J:$J,'Nursing Charges'!$A:$A,$A94,'Nursing Charges'!$C:$C,11))+(DE94-SUMIFS('Consumable Usage'!$F:$F,'Consumable Usage'!$A:$A,$A94,'Consumable Usage'!$D:$D,11)))</f>
        <v/>
      </c>
      <c r="DH94" s="12" t="str">
        <f t="shared" si="31"/>
        <v/>
      </c>
      <c r="DI94" s="20"/>
      <c r="DJ94" s="12" t="str">
        <f t="shared" si="32"/>
        <v/>
      </c>
      <c r="DK94" s="45" t="str">
        <f t="shared" si="33"/>
        <v/>
      </c>
      <c r="DL94" s="15"/>
      <c r="DM94" s="15"/>
      <c r="DN94" s="20"/>
      <c r="DO94" s="12" t="str">
        <f>IF($A94="","",SUMIFS('Consumable Usage'!$E:$E,'Consumable Usage'!$A:$A,$A94,'Consumable Usage'!$D:$D,12))</f>
        <v/>
      </c>
      <c r="DP94" s="12" t="str">
        <f>IF($A94="","",SUMIFS('Nursing Charges'!$I:$I,'Nursing Charges'!$A:$A,$A94,'Nursing Charges'!$C:$C,12))</f>
        <v/>
      </c>
      <c r="DQ94" s="12" t="str">
        <f>IF($A94="","",DN94+(DP94-SUMIFS('Nursing Charges'!$J:$J,'Nursing Charges'!$A:$A,$A94,'Nursing Charges'!$C:$C,12))+(DO94-SUMIFS('Consumable Usage'!$F:$F,'Consumable Usage'!$A:$A,$A94,'Consumable Usage'!$D:$D,12)))</f>
        <v/>
      </c>
      <c r="DR94" s="12" t="str">
        <f t="shared" si="34"/>
        <v/>
      </c>
      <c r="DS94" s="20"/>
      <c r="DT94" s="12" t="str">
        <f t="shared" si="35"/>
        <v/>
      </c>
      <c r="DU94" s="45" t="str">
        <f t="shared" si="36"/>
        <v/>
      </c>
      <c r="DV94" s="15"/>
      <c r="DW94" s="15"/>
      <c r="DX94" s="20"/>
      <c r="DY94" s="12" t="str">
        <f>IF($A94="","",SUMIFS('Consumable Usage'!$E:$E,'Consumable Usage'!$A:$A,$A94,'Consumable Usage'!$D:$D,13))</f>
        <v/>
      </c>
      <c r="DZ94" s="12" t="str">
        <f>IF($A94="","",SUMIFS('Nursing Charges'!$I:$I,'Nursing Charges'!$A:$A,$A94,'Nursing Charges'!$C:$C,13))</f>
        <v/>
      </c>
      <c r="EA94" s="12" t="str">
        <f>IF($A94="","",DX94+(DZ94-SUMIFS('Nursing Charges'!$J:$J,'Nursing Charges'!$A:$A,$A94,'Nursing Charges'!$C:$C,13))+(DY94-SUMIFS('Consumable Usage'!$F:$F,'Consumable Usage'!$A:$A,$A94,'Consumable Usage'!$D:$D,13)))</f>
        <v/>
      </c>
      <c r="EB94" s="12" t="str">
        <f t="shared" si="37"/>
        <v/>
      </c>
      <c r="EC94" s="20"/>
      <c r="ED94" s="12" t="str">
        <f t="shared" si="38"/>
        <v/>
      </c>
      <c r="EE94" s="45" t="str">
        <f t="shared" si="39"/>
        <v/>
      </c>
      <c r="EF94" s="15"/>
      <c r="EG94" s="15"/>
      <c r="EH94" s="20"/>
      <c r="EI94" s="12" t="str">
        <f>IF($A94="","",SUMIFS('Consumable Usage'!$E:$E,'Consumable Usage'!$A:$A,$A94,'Consumable Usage'!$D:$D,14))</f>
        <v/>
      </c>
      <c r="EJ94" s="12" t="str">
        <f>IF($A94="","",SUMIFS('Nursing Charges'!$I:$I,'Nursing Charges'!$A:$A,$A94,'Nursing Charges'!$C:$C,14))</f>
        <v/>
      </c>
      <c r="EK94" s="12" t="str">
        <f>IF($A94="","",EH94+(EJ94-SUMIFS('Nursing Charges'!$J:$J,'Nursing Charges'!$A:$A,$A94,'Nursing Charges'!$C:$C,14))+(EI94-SUMIFS('Consumable Usage'!$F:$F,'Consumable Usage'!$A:$A,$A94,'Consumable Usage'!$D:$D,14)))</f>
        <v/>
      </c>
      <c r="EL94" s="12" t="str">
        <f t="shared" si="40"/>
        <v/>
      </c>
      <c r="EM94" s="20"/>
      <c r="EN94" s="12" t="str">
        <f t="shared" si="41"/>
        <v/>
      </c>
      <c r="EO94" s="45" t="str">
        <f t="shared" si="42"/>
        <v/>
      </c>
      <c r="EP94" s="15"/>
      <c r="EQ94" s="15"/>
      <c r="ER94" s="20"/>
      <c r="ES94" s="12" t="str">
        <f>IF($A94="","",SUMIFS('Consumable Usage'!$E:$E,'Consumable Usage'!$A:$A,$A94,'Consumable Usage'!$D:$D,15))</f>
        <v/>
      </c>
      <c r="ET94" s="12" t="str">
        <f>IF($A94="","",SUMIFS('Nursing Charges'!$I:$I,'Nursing Charges'!$A:$A,$A94,'Nursing Charges'!$C:$C,15))</f>
        <v/>
      </c>
      <c r="EU94" s="12" t="str">
        <f>IF($A94="","",ER94+(ET94-SUMIFS('Nursing Charges'!$J:$J,'Nursing Charges'!$A:$A,$A94,'Nursing Charges'!$C:$C,15))+(ES94-SUMIFS('Consumable Usage'!$F:$F,'Consumable Usage'!$A:$A,$A94,'Consumable Usage'!$D:$D,15)))</f>
        <v/>
      </c>
      <c r="EV94" s="12" t="str">
        <f t="shared" si="43"/>
        <v/>
      </c>
      <c r="EW94" s="20"/>
      <c r="EX94" s="12" t="str">
        <f t="shared" si="44"/>
        <v/>
      </c>
      <c r="EY94" s="45" t="str">
        <f t="shared" si="45"/>
        <v/>
      </c>
      <c r="EZ94" s="15"/>
      <c r="FA94" s="15"/>
      <c r="FB94" s="20"/>
      <c r="FC94" s="12" t="str">
        <f>IF($A94="","",SUMIFS('Consumable Usage'!$E:$E,'Consumable Usage'!$A:$A,$A94,'Consumable Usage'!$D:$D,16))</f>
        <v/>
      </c>
      <c r="FD94" s="12" t="str">
        <f>IF($A94="","",SUMIFS('Nursing Charges'!$I:$I,'Nursing Charges'!$A:$A,$A94,'Nursing Charges'!$C:$C,16))</f>
        <v/>
      </c>
      <c r="FE94" s="12" t="str">
        <f>IF($A94="","",FB94+(FD94-SUMIFS('Nursing Charges'!$J:$J,'Nursing Charges'!$A:$A,$A94,'Nursing Charges'!$C:$C,16))+(FC94-SUMIFS('Consumable Usage'!$F:$F,'Consumable Usage'!$A:$A,$A94,'Consumable Usage'!$D:$D,16)))</f>
        <v/>
      </c>
      <c r="FF94" s="12" t="str">
        <f t="shared" si="46"/>
        <v/>
      </c>
      <c r="FG94" s="20"/>
      <c r="FH94" s="12" t="str">
        <f t="shared" si="47"/>
        <v/>
      </c>
      <c r="FI94" s="45" t="str">
        <f t="shared" si="48"/>
        <v/>
      </c>
      <c r="FJ94" s="53"/>
      <c r="FK94" s="53"/>
      <c r="FL94" s="63"/>
      <c r="FM94" s="63" t="str">
        <f>IF($A94="","",SUMIFS('Consumable Usage'!$E:$E,'Consumable Usage'!$A:$A,$A94,'Consumable Usage'!$D:$D,16))</f>
        <v/>
      </c>
      <c r="FN94" s="63" t="str">
        <f>IF($A94="","",SUMIFS('Nursing Charges'!$I:$I,'Nursing Charges'!$A:$A,$A94,'Nursing Charges'!$C:$C,16))</f>
        <v/>
      </c>
      <c r="FO94" s="63" t="str">
        <f>IF($A94="","",FL94+(FN94-SUMIFS('Nursing Charges'!$J:$J,'Nursing Charges'!$A:$A,$A94,'Nursing Charges'!$C:$C,16))+(FM94-SUMIFS('Consumable Usage'!$F:$F,'Consumable Usage'!$A:$A,$A94,'Consumable Usage'!$D:$D,16)))</f>
        <v/>
      </c>
      <c r="FP94" s="63" t="str">
        <f t="shared" si="49"/>
        <v/>
      </c>
      <c r="FQ94" s="63"/>
      <c r="FR94" s="63" t="str">
        <f t="shared" si="50"/>
        <v/>
      </c>
      <c r="FS94" s="53" t="str">
        <f t="shared" si="51"/>
        <v/>
      </c>
    </row>
    <row r="95" ht="15.0" customHeight="1">
      <c r="A95" s="15"/>
      <c r="B95" s="15"/>
      <c r="C95" s="15"/>
      <c r="D95" s="15"/>
      <c r="E95" s="15"/>
      <c r="F95" s="15"/>
      <c r="G95" s="15"/>
      <c r="H95" s="20"/>
      <c r="I95" s="12" t="str">
        <f>IF($A95="","",SUMIFS('Consumable Usage'!$E:$E,'Consumable Usage'!$A:$A,$A95,'Consumable Usage'!$D:$D,1))</f>
        <v/>
      </c>
      <c r="J95" s="12" t="str">
        <f>IF($A95="","",SUMIFS('Nursing Charges'!$I:$I,'Nursing Charges'!$A:$A,$A95,'Nursing Charges'!$C:$C,1))</f>
        <v/>
      </c>
      <c r="K95" s="12" t="str">
        <f>IF($A95="","",H95+(J95-SUMIFS('Nursing Charges'!$J:$J,'Nursing Charges'!$A:$A,$A95,'Nursing Charges'!$C:$C,1))+(I95-SUMIFS('Consumable Usage'!$F:$F,'Consumable Usage'!$A:$A,$A95,'Consumable Usage'!$D:$D,1)))</f>
        <v/>
      </c>
      <c r="L95" s="12" t="str">
        <f t="shared" si="1"/>
        <v/>
      </c>
      <c r="M95" s="20"/>
      <c r="N95" s="12" t="str">
        <f t="shared" si="2"/>
        <v/>
      </c>
      <c r="O95" s="45" t="str">
        <f t="shared" si="3"/>
        <v/>
      </c>
      <c r="P95" s="15"/>
      <c r="Q95" s="15"/>
      <c r="R95" s="20"/>
      <c r="S95" s="12" t="str">
        <f>IF($A95="","",SUMIFS('Consumable Usage'!$E:$E,'Consumable Usage'!$A:$A,$A95,'Consumable Usage'!$D:$D,2))</f>
        <v/>
      </c>
      <c r="T95" s="12" t="str">
        <f>IF($A95="","",SUMIFS('Nursing Charges'!$I:$I,'Nursing Charges'!$A:$A,$A95,'Nursing Charges'!$C:$C,2))</f>
        <v/>
      </c>
      <c r="U95" s="12" t="str">
        <f>IF($A95="","",R95+(T95-SUMIFS('Nursing Charges'!$J:$J,'Nursing Charges'!$A:$A,$A95,'Nursing Charges'!$C:$C,2))+(S95-SUMIFS('Consumable Usage'!$F:$F,'Consumable Usage'!$A:$A,$A95,'Consumable Usage'!$D:$D,2)))</f>
        <v/>
      </c>
      <c r="V95" s="12" t="str">
        <f t="shared" si="4"/>
        <v/>
      </c>
      <c r="W95" s="20"/>
      <c r="X95" s="12" t="str">
        <f t="shared" si="5"/>
        <v/>
      </c>
      <c r="Y95" s="45" t="str">
        <f t="shared" si="6"/>
        <v/>
      </c>
      <c r="Z95" s="15"/>
      <c r="AA95" s="15"/>
      <c r="AB95" s="20"/>
      <c r="AC95" s="12" t="str">
        <f>IF($A95="","",SUMIFS('Consumable Usage'!$E:$E,'Consumable Usage'!$A:$A,$A95,'Consumable Usage'!$D:$D,3))</f>
        <v/>
      </c>
      <c r="AD95" s="12" t="str">
        <f>IF($A95="","",SUMIFS('Nursing Charges'!$I:$I,'Nursing Charges'!$A:$A,$A95,'Nursing Charges'!$C:$C,3))</f>
        <v/>
      </c>
      <c r="AE95" s="12" t="str">
        <f>IF($A95="","",AB95+(AD95-SUMIFS('Nursing Charges'!$J:$J,'Nursing Charges'!$A:$A,$A95,'Nursing Charges'!$C:$C,3))+(AC95-SUMIFS('Consumable Usage'!$F:$F,'Consumable Usage'!$A:$A,$A95,'Consumable Usage'!$D:$D,3)))</f>
        <v/>
      </c>
      <c r="AF95" s="12" t="str">
        <f t="shared" si="7"/>
        <v/>
      </c>
      <c r="AG95" s="20"/>
      <c r="AH95" s="12" t="str">
        <f t="shared" si="8"/>
        <v/>
      </c>
      <c r="AI95" s="45" t="str">
        <f t="shared" si="9"/>
        <v/>
      </c>
      <c r="AJ95" s="15"/>
      <c r="AK95" s="15"/>
      <c r="AL95" s="20"/>
      <c r="AM95" s="12" t="str">
        <f>IF($A95="","",SUMIFS('Consumable Usage'!$E:$E,'Consumable Usage'!$A:$A,$A95,'Consumable Usage'!$D:$D,4))</f>
        <v/>
      </c>
      <c r="AN95" s="12" t="str">
        <f>IF($A95="","",SUMIFS('Nursing Charges'!$I:$I,'Nursing Charges'!$A:$A,$A95,'Nursing Charges'!$C:$C,4))</f>
        <v/>
      </c>
      <c r="AO95" s="12" t="str">
        <f>IF($A95="","",AL95+(AN95-SUMIFS('Nursing Charges'!$J:$J,'Nursing Charges'!$A:$A,$A95,'Nursing Charges'!$C:$C,4))+(AM95-SUMIFS('Consumable Usage'!$F:$F,'Consumable Usage'!$A:$A,$A95,'Consumable Usage'!$D:$D,4)))</f>
        <v/>
      </c>
      <c r="AP95" s="12" t="str">
        <f t="shared" si="10"/>
        <v/>
      </c>
      <c r="AQ95" s="20"/>
      <c r="AR95" s="12" t="str">
        <f t="shared" si="11"/>
        <v/>
      </c>
      <c r="AS95" s="45" t="str">
        <f t="shared" si="12"/>
        <v/>
      </c>
      <c r="AT95" s="15"/>
      <c r="AU95" s="15"/>
      <c r="AV95" s="20"/>
      <c r="AW95" s="12" t="str">
        <f>IF($A95="","",SUMIFS('Consumable Usage'!$E:$E,'Consumable Usage'!$A:$A,$A95,'Consumable Usage'!$D:$D,5))</f>
        <v/>
      </c>
      <c r="AX95" s="12" t="str">
        <f>IF($A95="","",SUMIFS('Nursing Charges'!$I:$I,'Nursing Charges'!$A:$A,$A95,'Nursing Charges'!$C:$C,5))</f>
        <v/>
      </c>
      <c r="AY95" s="12" t="str">
        <f>IF($A95="","",AV95+(AX95-SUMIFS('Nursing Charges'!$J:$J,'Nursing Charges'!$A:$A,$A95,'Nursing Charges'!$C:$C,5))+(AW95-SUMIFS('Consumable Usage'!$F:$F,'Consumable Usage'!$A:$A,$A95,'Consumable Usage'!$D:$D,5)))</f>
        <v/>
      </c>
      <c r="AZ95" s="12" t="str">
        <f t="shared" si="13"/>
        <v/>
      </c>
      <c r="BA95" s="20"/>
      <c r="BB95" s="12" t="str">
        <f t="shared" si="14"/>
        <v/>
      </c>
      <c r="BC95" s="45" t="str">
        <f t="shared" si="15"/>
        <v/>
      </c>
      <c r="BD95" s="15"/>
      <c r="BE95" s="15"/>
      <c r="BF95" s="20"/>
      <c r="BG95" s="12" t="str">
        <f>IF($A95="","",SUMIFS('Consumable Usage'!$E:$E,'Consumable Usage'!$A:$A,$A95,'Consumable Usage'!$D:$D,6))</f>
        <v/>
      </c>
      <c r="BH95" s="12" t="str">
        <f>IF($A95="","",SUMIFS('Nursing Charges'!$I:$I,'Nursing Charges'!$A:$A,$A95,'Nursing Charges'!$C:$C,6))</f>
        <v/>
      </c>
      <c r="BI95" s="12" t="str">
        <f>IF($A95="","",BF95+(BH95-SUMIFS('Nursing Charges'!$J:$J,'Nursing Charges'!$A:$A,$A95,'Nursing Charges'!$C:$C,6))+(BG95-SUMIFS('Consumable Usage'!$F:$F,'Consumable Usage'!$A:$A,$A95,'Consumable Usage'!$D:$D,6)))</f>
        <v/>
      </c>
      <c r="BJ95" s="12" t="str">
        <f t="shared" si="16"/>
        <v/>
      </c>
      <c r="BK95" s="20"/>
      <c r="BL95" s="12" t="str">
        <f t="shared" si="17"/>
        <v/>
      </c>
      <c r="BM95" s="45" t="str">
        <f t="shared" si="18"/>
        <v/>
      </c>
      <c r="BN95" s="15"/>
      <c r="BO95" s="15"/>
      <c r="BP95" s="20"/>
      <c r="BQ95" s="12" t="str">
        <f>IF($A95="","",SUMIFS('Consumable Usage'!$E:$E,'Consumable Usage'!$A:$A,$A95,'Consumable Usage'!$D:$D,7))</f>
        <v/>
      </c>
      <c r="BR95" s="12" t="str">
        <f>IF($A95="","",SUMIFS('Nursing Charges'!$I:$I,'Nursing Charges'!$A:$A,$A95,'Nursing Charges'!$C:$C,7))</f>
        <v/>
      </c>
      <c r="BS95" s="12" t="str">
        <f>IF($A95="","",BP95+(BR95-SUMIFS('Nursing Charges'!$J:$J,'Nursing Charges'!$A:$A,$A95,'Nursing Charges'!$C:$C,7))+(BQ95-SUMIFS('Consumable Usage'!$F:$F,'Consumable Usage'!$A:$A,$A95,'Consumable Usage'!$D:$D,7)))</f>
        <v/>
      </c>
      <c r="BT95" s="12" t="str">
        <f t="shared" si="19"/>
        <v/>
      </c>
      <c r="BU95" s="20"/>
      <c r="BV95" s="12" t="str">
        <f t="shared" si="20"/>
        <v/>
      </c>
      <c r="BW95" s="45" t="str">
        <f t="shared" si="21"/>
        <v/>
      </c>
      <c r="BX95" s="15"/>
      <c r="BY95" s="15"/>
      <c r="BZ95" s="20"/>
      <c r="CA95" s="12" t="str">
        <f>IF($A95="","",SUMIFS('Consumable Usage'!$E:$E,'Consumable Usage'!$A:$A,$A95,'Consumable Usage'!$D:$D,8))</f>
        <v/>
      </c>
      <c r="CB95" s="12" t="str">
        <f>IF($A95="","",SUMIFS('Nursing Charges'!$I:$I,'Nursing Charges'!$A:$A,$A95,'Nursing Charges'!$C:$C,8))</f>
        <v/>
      </c>
      <c r="CC95" s="12" t="str">
        <f>IF($A95="","",BZ95+(CB95-SUMIFS('Nursing Charges'!$J:$J,'Nursing Charges'!$A:$A,$A95,'Nursing Charges'!$C:$C,8))+(CA95-SUMIFS('Consumable Usage'!$F:$F,'Consumable Usage'!$A:$A,$A95,'Consumable Usage'!$D:$D,8)))</f>
        <v/>
      </c>
      <c r="CD95" s="12" t="str">
        <f t="shared" si="22"/>
        <v/>
      </c>
      <c r="CE95" s="20"/>
      <c r="CF95" s="12" t="str">
        <f t="shared" si="23"/>
        <v/>
      </c>
      <c r="CG95" s="45" t="str">
        <f t="shared" si="24"/>
        <v/>
      </c>
      <c r="CH95" s="15"/>
      <c r="CI95" s="15"/>
      <c r="CJ95" s="20"/>
      <c r="CK95" s="12" t="str">
        <f>IF($A95="","",SUMIFS('Consumable Usage'!$E:$E,'Consumable Usage'!$A:$A,$A95,'Consumable Usage'!$D:$D,9))</f>
        <v/>
      </c>
      <c r="CL95" s="12" t="str">
        <f>IF($A95="","",SUMIFS('Nursing Charges'!$I:$I,'Nursing Charges'!$A:$A,$A95,'Nursing Charges'!$C:$C,9))</f>
        <v/>
      </c>
      <c r="CM95" s="12" t="str">
        <f>IF($A95="","",CJ95+(CL95-SUMIFS('Nursing Charges'!$J:$J,'Nursing Charges'!$A:$A,$A95,'Nursing Charges'!$C:$C,9))+(CK95-SUMIFS('Consumable Usage'!$F:$F,'Consumable Usage'!$A:$A,$A95,'Consumable Usage'!$D:$D,9)))</f>
        <v/>
      </c>
      <c r="CN95" s="12" t="str">
        <f t="shared" si="25"/>
        <v/>
      </c>
      <c r="CO95" s="20"/>
      <c r="CP95" s="12" t="str">
        <f t="shared" si="26"/>
        <v/>
      </c>
      <c r="CQ95" s="45" t="str">
        <f t="shared" si="27"/>
        <v/>
      </c>
      <c r="CR95" s="15"/>
      <c r="CS95" s="15"/>
      <c r="CT95" s="20"/>
      <c r="CU95" s="12" t="str">
        <f>IF($A95="","",SUMIFS('Consumable Usage'!$E:$E,'Consumable Usage'!$A:$A,$A95,'Consumable Usage'!$D:$D,10))</f>
        <v/>
      </c>
      <c r="CV95" s="12" t="str">
        <f>IF($A95="","",SUMIFS('Nursing Charges'!$I:$I,'Nursing Charges'!$A:$A,$A95,'Nursing Charges'!$C:$C,10))</f>
        <v/>
      </c>
      <c r="CW95" s="12" t="str">
        <f>IF($A95="","",CT95+(CV95-SUMIFS('Nursing Charges'!$J:$J,'Nursing Charges'!$A:$A,$A95,'Nursing Charges'!$C:$C,10))+(CU95-SUMIFS('Consumable Usage'!$F:$F,'Consumable Usage'!$A:$A,$A95,'Consumable Usage'!$D:$D,10)))</f>
        <v/>
      </c>
      <c r="CX95" s="12" t="str">
        <f t="shared" si="28"/>
        <v/>
      </c>
      <c r="CY95" s="20"/>
      <c r="CZ95" s="12" t="str">
        <f t="shared" si="29"/>
        <v/>
      </c>
      <c r="DA95" s="45" t="str">
        <f t="shared" si="30"/>
        <v/>
      </c>
      <c r="DB95" s="15"/>
      <c r="DC95" s="15"/>
      <c r="DD95" s="20"/>
      <c r="DE95" s="12" t="str">
        <f>IF($A95="","",SUMIFS('Consumable Usage'!$E:$E,'Consumable Usage'!$A:$A,$A95,'Consumable Usage'!$D:$D,11))</f>
        <v/>
      </c>
      <c r="DF95" s="12" t="str">
        <f>IF($A95="","",SUMIFS('Nursing Charges'!$I:$I,'Nursing Charges'!$A:$A,$A95,'Nursing Charges'!$C:$C,11))</f>
        <v/>
      </c>
      <c r="DG95" s="12" t="str">
        <f>IF($A95="","",DD95+(DF95-SUMIFS('Nursing Charges'!$J:$J,'Nursing Charges'!$A:$A,$A95,'Nursing Charges'!$C:$C,11))+(DE95-SUMIFS('Consumable Usage'!$F:$F,'Consumable Usage'!$A:$A,$A95,'Consumable Usage'!$D:$D,11)))</f>
        <v/>
      </c>
      <c r="DH95" s="12" t="str">
        <f t="shared" si="31"/>
        <v/>
      </c>
      <c r="DI95" s="20"/>
      <c r="DJ95" s="12" t="str">
        <f t="shared" si="32"/>
        <v/>
      </c>
      <c r="DK95" s="45" t="str">
        <f t="shared" si="33"/>
        <v/>
      </c>
      <c r="DL95" s="15"/>
      <c r="DM95" s="15"/>
      <c r="DN95" s="20"/>
      <c r="DO95" s="12" t="str">
        <f>IF($A95="","",SUMIFS('Consumable Usage'!$E:$E,'Consumable Usage'!$A:$A,$A95,'Consumable Usage'!$D:$D,12))</f>
        <v/>
      </c>
      <c r="DP95" s="12" t="str">
        <f>IF($A95="","",SUMIFS('Nursing Charges'!$I:$I,'Nursing Charges'!$A:$A,$A95,'Nursing Charges'!$C:$C,12))</f>
        <v/>
      </c>
      <c r="DQ95" s="12" t="str">
        <f>IF($A95="","",DN95+(DP95-SUMIFS('Nursing Charges'!$J:$J,'Nursing Charges'!$A:$A,$A95,'Nursing Charges'!$C:$C,12))+(DO95-SUMIFS('Consumable Usage'!$F:$F,'Consumable Usage'!$A:$A,$A95,'Consumable Usage'!$D:$D,12)))</f>
        <v/>
      </c>
      <c r="DR95" s="12" t="str">
        <f t="shared" si="34"/>
        <v/>
      </c>
      <c r="DS95" s="20"/>
      <c r="DT95" s="12" t="str">
        <f t="shared" si="35"/>
        <v/>
      </c>
      <c r="DU95" s="45" t="str">
        <f t="shared" si="36"/>
        <v/>
      </c>
      <c r="DV95" s="15"/>
      <c r="DW95" s="15"/>
      <c r="DX95" s="20"/>
      <c r="DY95" s="12" t="str">
        <f>IF($A95="","",SUMIFS('Consumable Usage'!$E:$E,'Consumable Usage'!$A:$A,$A95,'Consumable Usage'!$D:$D,13))</f>
        <v/>
      </c>
      <c r="DZ95" s="12" t="str">
        <f>IF($A95="","",SUMIFS('Nursing Charges'!$I:$I,'Nursing Charges'!$A:$A,$A95,'Nursing Charges'!$C:$C,13))</f>
        <v/>
      </c>
      <c r="EA95" s="12" t="str">
        <f>IF($A95="","",DX95+(DZ95-SUMIFS('Nursing Charges'!$J:$J,'Nursing Charges'!$A:$A,$A95,'Nursing Charges'!$C:$C,13))+(DY95-SUMIFS('Consumable Usage'!$F:$F,'Consumable Usage'!$A:$A,$A95,'Consumable Usage'!$D:$D,13)))</f>
        <v/>
      </c>
      <c r="EB95" s="12" t="str">
        <f t="shared" si="37"/>
        <v/>
      </c>
      <c r="EC95" s="20"/>
      <c r="ED95" s="12" t="str">
        <f t="shared" si="38"/>
        <v/>
      </c>
      <c r="EE95" s="45" t="str">
        <f t="shared" si="39"/>
        <v/>
      </c>
      <c r="EF95" s="15"/>
      <c r="EG95" s="15"/>
      <c r="EH95" s="20"/>
      <c r="EI95" s="12" t="str">
        <f>IF($A95="","",SUMIFS('Consumable Usage'!$E:$E,'Consumable Usage'!$A:$A,$A95,'Consumable Usage'!$D:$D,14))</f>
        <v/>
      </c>
      <c r="EJ95" s="12" t="str">
        <f>IF($A95="","",SUMIFS('Nursing Charges'!$I:$I,'Nursing Charges'!$A:$A,$A95,'Nursing Charges'!$C:$C,14))</f>
        <v/>
      </c>
      <c r="EK95" s="12" t="str">
        <f>IF($A95="","",EH95+(EJ95-SUMIFS('Nursing Charges'!$J:$J,'Nursing Charges'!$A:$A,$A95,'Nursing Charges'!$C:$C,14))+(EI95-SUMIFS('Consumable Usage'!$F:$F,'Consumable Usage'!$A:$A,$A95,'Consumable Usage'!$D:$D,14)))</f>
        <v/>
      </c>
      <c r="EL95" s="12" t="str">
        <f t="shared" si="40"/>
        <v/>
      </c>
      <c r="EM95" s="20"/>
      <c r="EN95" s="12" t="str">
        <f t="shared" si="41"/>
        <v/>
      </c>
      <c r="EO95" s="45" t="str">
        <f t="shared" si="42"/>
        <v/>
      </c>
      <c r="EP95" s="15"/>
      <c r="EQ95" s="15"/>
      <c r="ER95" s="20"/>
      <c r="ES95" s="12" t="str">
        <f>IF($A95="","",SUMIFS('Consumable Usage'!$E:$E,'Consumable Usage'!$A:$A,$A95,'Consumable Usage'!$D:$D,15))</f>
        <v/>
      </c>
      <c r="ET95" s="12" t="str">
        <f>IF($A95="","",SUMIFS('Nursing Charges'!$I:$I,'Nursing Charges'!$A:$A,$A95,'Nursing Charges'!$C:$C,15))</f>
        <v/>
      </c>
      <c r="EU95" s="12" t="str">
        <f>IF($A95="","",ER95+(ET95-SUMIFS('Nursing Charges'!$J:$J,'Nursing Charges'!$A:$A,$A95,'Nursing Charges'!$C:$C,15))+(ES95-SUMIFS('Consumable Usage'!$F:$F,'Consumable Usage'!$A:$A,$A95,'Consumable Usage'!$D:$D,15)))</f>
        <v/>
      </c>
      <c r="EV95" s="12" t="str">
        <f t="shared" si="43"/>
        <v/>
      </c>
      <c r="EW95" s="20"/>
      <c r="EX95" s="12" t="str">
        <f t="shared" si="44"/>
        <v/>
      </c>
      <c r="EY95" s="45" t="str">
        <f t="shared" si="45"/>
        <v/>
      </c>
      <c r="EZ95" s="15"/>
      <c r="FA95" s="15"/>
      <c r="FB95" s="20"/>
      <c r="FC95" s="12" t="str">
        <f>IF($A95="","",SUMIFS('Consumable Usage'!$E:$E,'Consumable Usage'!$A:$A,$A95,'Consumable Usage'!$D:$D,16))</f>
        <v/>
      </c>
      <c r="FD95" s="12" t="str">
        <f>IF($A95="","",SUMIFS('Nursing Charges'!$I:$I,'Nursing Charges'!$A:$A,$A95,'Nursing Charges'!$C:$C,16))</f>
        <v/>
      </c>
      <c r="FE95" s="12" t="str">
        <f>IF($A95="","",FB95+(FD95-SUMIFS('Nursing Charges'!$J:$J,'Nursing Charges'!$A:$A,$A95,'Nursing Charges'!$C:$C,16))+(FC95-SUMIFS('Consumable Usage'!$F:$F,'Consumable Usage'!$A:$A,$A95,'Consumable Usage'!$D:$D,16)))</f>
        <v/>
      </c>
      <c r="FF95" s="12" t="str">
        <f t="shared" si="46"/>
        <v/>
      </c>
      <c r="FG95" s="20"/>
      <c r="FH95" s="12" t="str">
        <f t="shared" si="47"/>
        <v/>
      </c>
      <c r="FI95" s="45" t="str">
        <f t="shared" si="48"/>
        <v/>
      </c>
      <c r="FJ95" s="53"/>
      <c r="FK95" s="53"/>
      <c r="FL95" s="63"/>
      <c r="FM95" s="63" t="str">
        <f>IF($A95="","",SUMIFS('Consumable Usage'!$E:$E,'Consumable Usage'!$A:$A,$A95,'Consumable Usage'!$D:$D,16))</f>
        <v/>
      </c>
      <c r="FN95" s="63" t="str">
        <f>IF($A95="","",SUMIFS('Nursing Charges'!$I:$I,'Nursing Charges'!$A:$A,$A95,'Nursing Charges'!$C:$C,16))</f>
        <v/>
      </c>
      <c r="FO95" s="63" t="str">
        <f>IF($A95="","",FL95+(FN95-SUMIFS('Nursing Charges'!$J:$J,'Nursing Charges'!$A:$A,$A95,'Nursing Charges'!$C:$C,16))+(FM95-SUMIFS('Consumable Usage'!$F:$F,'Consumable Usage'!$A:$A,$A95,'Consumable Usage'!$D:$D,16)))</f>
        <v/>
      </c>
      <c r="FP95" s="63" t="str">
        <f t="shared" si="49"/>
        <v/>
      </c>
      <c r="FQ95" s="63"/>
      <c r="FR95" s="63" t="str">
        <f t="shared" si="50"/>
        <v/>
      </c>
      <c r="FS95" s="53" t="str">
        <f t="shared" si="51"/>
        <v/>
      </c>
    </row>
    <row r="96" ht="15.0" customHeight="1">
      <c r="A96" s="15"/>
      <c r="B96" s="15"/>
      <c r="C96" s="15"/>
      <c r="D96" s="15"/>
      <c r="E96" s="15"/>
      <c r="F96" s="15"/>
      <c r="G96" s="15"/>
      <c r="H96" s="20"/>
      <c r="I96" s="12" t="str">
        <f>IF($A96="","",SUMIFS('Consumable Usage'!$E:$E,'Consumable Usage'!$A:$A,$A96,'Consumable Usage'!$D:$D,1))</f>
        <v/>
      </c>
      <c r="J96" s="12" t="str">
        <f>IF($A96="","",SUMIFS('Nursing Charges'!$I:$I,'Nursing Charges'!$A:$A,$A96,'Nursing Charges'!$C:$C,1))</f>
        <v/>
      </c>
      <c r="K96" s="12" t="str">
        <f>IF($A96="","",H96+(J96-SUMIFS('Nursing Charges'!$J:$J,'Nursing Charges'!$A:$A,$A96,'Nursing Charges'!$C:$C,1))+(I96-SUMIFS('Consumable Usage'!$F:$F,'Consumable Usage'!$A:$A,$A96,'Consumable Usage'!$D:$D,1)))</f>
        <v/>
      </c>
      <c r="L96" s="12" t="str">
        <f t="shared" si="1"/>
        <v/>
      </c>
      <c r="M96" s="20"/>
      <c r="N96" s="12" t="str">
        <f t="shared" si="2"/>
        <v/>
      </c>
      <c r="O96" s="45" t="str">
        <f t="shared" si="3"/>
        <v/>
      </c>
      <c r="P96" s="15"/>
      <c r="Q96" s="15"/>
      <c r="R96" s="20"/>
      <c r="S96" s="12" t="str">
        <f>IF($A96="","",SUMIFS('Consumable Usage'!$E:$E,'Consumable Usage'!$A:$A,$A96,'Consumable Usage'!$D:$D,2))</f>
        <v/>
      </c>
      <c r="T96" s="12" t="str">
        <f>IF($A96="","",SUMIFS('Nursing Charges'!$I:$I,'Nursing Charges'!$A:$A,$A96,'Nursing Charges'!$C:$C,2))</f>
        <v/>
      </c>
      <c r="U96" s="12" t="str">
        <f>IF($A96="","",R96+(T96-SUMIFS('Nursing Charges'!$J:$J,'Nursing Charges'!$A:$A,$A96,'Nursing Charges'!$C:$C,2))+(S96-SUMIFS('Consumable Usage'!$F:$F,'Consumable Usage'!$A:$A,$A96,'Consumable Usage'!$D:$D,2)))</f>
        <v/>
      </c>
      <c r="V96" s="12" t="str">
        <f t="shared" si="4"/>
        <v/>
      </c>
      <c r="W96" s="20"/>
      <c r="X96" s="12" t="str">
        <f t="shared" si="5"/>
        <v/>
      </c>
      <c r="Y96" s="45" t="str">
        <f t="shared" si="6"/>
        <v/>
      </c>
      <c r="Z96" s="15"/>
      <c r="AA96" s="15"/>
      <c r="AB96" s="20"/>
      <c r="AC96" s="12" t="str">
        <f>IF($A96="","",SUMIFS('Consumable Usage'!$E:$E,'Consumable Usage'!$A:$A,$A96,'Consumable Usage'!$D:$D,3))</f>
        <v/>
      </c>
      <c r="AD96" s="12" t="str">
        <f>IF($A96="","",SUMIFS('Nursing Charges'!$I:$I,'Nursing Charges'!$A:$A,$A96,'Nursing Charges'!$C:$C,3))</f>
        <v/>
      </c>
      <c r="AE96" s="12" t="str">
        <f>IF($A96="","",AB96+(AD96-SUMIFS('Nursing Charges'!$J:$J,'Nursing Charges'!$A:$A,$A96,'Nursing Charges'!$C:$C,3))+(AC96-SUMIFS('Consumable Usage'!$F:$F,'Consumable Usage'!$A:$A,$A96,'Consumable Usage'!$D:$D,3)))</f>
        <v/>
      </c>
      <c r="AF96" s="12" t="str">
        <f t="shared" si="7"/>
        <v/>
      </c>
      <c r="AG96" s="20"/>
      <c r="AH96" s="12" t="str">
        <f t="shared" si="8"/>
        <v/>
      </c>
      <c r="AI96" s="45" t="str">
        <f t="shared" si="9"/>
        <v/>
      </c>
      <c r="AJ96" s="15"/>
      <c r="AK96" s="15"/>
      <c r="AL96" s="20"/>
      <c r="AM96" s="12" t="str">
        <f>IF($A96="","",SUMIFS('Consumable Usage'!$E:$E,'Consumable Usage'!$A:$A,$A96,'Consumable Usage'!$D:$D,4))</f>
        <v/>
      </c>
      <c r="AN96" s="12" t="str">
        <f>IF($A96="","",SUMIFS('Nursing Charges'!$I:$I,'Nursing Charges'!$A:$A,$A96,'Nursing Charges'!$C:$C,4))</f>
        <v/>
      </c>
      <c r="AO96" s="12" t="str">
        <f>IF($A96="","",AL96+(AN96-SUMIFS('Nursing Charges'!$J:$J,'Nursing Charges'!$A:$A,$A96,'Nursing Charges'!$C:$C,4))+(AM96-SUMIFS('Consumable Usage'!$F:$F,'Consumable Usage'!$A:$A,$A96,'Consumable Usage'!$D:$D,4)))</f>
        <v/>
      </c>
      <c r="AP96" s="12" t="str">
        <f t="shared" si="10"/>
        <v/>
      </c>
      <c r="AQ96" s="20"/>
      <c r="AR96" s="12" t="str">
        <f t="shared" si="11"/>
        <v/>
      </c>
      <c r="AS96" s="45" t="str">
        <f t="shared" si="12"/>
        <v/>
      </c>
      <c r="AT96" s="15"/>
      <c r="AU96" s="15"/>
      <c r="AV96" s="20"/>
      <c r="AW96" s="12" t="str">
        <f>IF($A96="","",SUMIFS('Consumable Usage'!$E:$E,'Consumable Usage'!$A:$A,$A96,'Consumable Usage'!$D:$D,5))</f>
        <v/>
      </c>
      <c r="AX96" s="12" t="str">
        <f>IF($A96="","",SUMIFS('Nursing Charges'!$I:$I,'Nursing Charges'!$A:$A,$A96,'Nursing Charges'!$C:$C,5))</f>
        <v/>
      </c>
      <c r="AY96" s="12" t="str">
        <f>IF($A96="","",AV96+(AX96-SUMIFS('Nursing Charges'!$J:$J,'Nursing Charges'!$A:$A,$A96,'Nursing Charges'!$C:$C,5))+(AW96-SUMIFS('Consumable Usage'!$F:$F,'Consumable Usage'!$A:$A,$A96,'Consumable Usage'!$D:$D,5)))</f>
        <v/>
      </c>
      <c r="AZ96" s="12" t="str">
        <f t="shared" si="13"/>
        <v/>
      </c>
      <c r="BA96" s="20"/>
      <c r="BB96" s="12" t="str">
        <f t="shared" si="14"/>
        <v/>
      </c>
      <c r="BC96" s="45" t="str">
        <f t="shared" si="15"/>
        <v/>
      </c>
      <c r="BD96" s="15"/>
      <c r="BE96" s="15"/>
      <c r="BF96" s="20"/>
      <c r="BG96" s="12" t="str">
        <f>IF($A96="","",SUMIFS('Consumable Usage'!$E:$E,'Consumable Usage'!$A:$A,$A96,'Consumable Usage'!$D:$D,6))</f>
        <v/>
      </c>
      <c r="BH96" s="12" t="str">
        <f>IF($A96="","",SUMIFS('Nursing Charges'!$I:$I,'Nursing Charges'!$A:$A,$A96,'Nursing Charges'!$C:$C,6))</f>
        <v/>
      </c>
      <c r="BI96" s="12" t="str">
        <f>IF($A96="","",BF96+(BH96-SUMIFS('Nursing Charges'!$J:$J,'Nursing Charges'!$A:$A,$A96,'Nursing Charges'!$C:$C,6))+(BG96-SUMIFS('Consumable Usage'!$F:$F,'Consumable Usage'!$A:$A,$A96,'Consumable Usage'!$D:$D,6)))</f>
        <v/>
      </c>
      <c r="BJ96" s="12" t="str">
        <f t="shared" si="16"/>
        <v/>
      </c>
      <c r="BK96" s="20"/>
      <c r="BL96" s="12" t="str">
        <f t="shared" si="17"/>
        <v/>
      </c>
      <c r="BM96" s="45" t="str">
        <f t="shared" si="18"/>
        <v/>
      </c>
      <c r="BN96" s="15"/>
      <c r="BO96" s="15"/>
      <c r="BP96" s="20"/>
      <c r="BQ96" s="12" t="str">
        <f>IF($A96="","",SUMIFS('Consumable Usage'!$E:$E,'Consumable Usage'!$A:$A,$A96,'Consumable Usage'!$D:$D,7))</f>
        <v/>
      </c>
      <c r="BR96" s="12" t="str">
        <f>IF($A96="","",SUMIFS('Nursing Charges'!$I:$I,'Nursing Charges'!$A:$A,$A96,'Nursing Charges'!$C:$C,7))</f>
        <v/>
      </c>
      <c r="BS96" s="12" t="str">
        <f>IF($A96="","",BP96+(BR96-SUMIFS('Nursing Charges'!$J:$J,'Nursing Charges'!$A:$A,$A96,'Nursing Charges'!$C:$C,7))+(BQ96-SUMIFS('Consumable Usage'!$F:$F,'Consumable Usage'!$A:$A,$A96,'Consumable Usage'!$D:$D,7)))</f>
        <v/>
      </c>
      <c r="BT96" s="12" t="str">
        <f t="shared" si="19"/>
        <v/>
      </c>
      <c r="BU96" s="20"/>
      <c r="BV96" s="12" t="str">
        <f t="shared" si="20"/>
        <v/>
      </c>
      <c r="BW96" s="45" t="str">
        <f t="shared" si="21"/>
        <v/>
      </c>
      <c r="BX96" s="15"/>
      <c r="BY96" s="15"/>
      <c r="BZ96" s="20"/>
      <c r="CA96" s="12" t="str">
        <f>IF($A96="","",SUMIFS('Consumable Usage'!$E:$E,'Consumable Usage'!$A:$A,$A96,'Consumable Usage'!$D:$D,8))</f>
        <v/>
      </c>
      <c r="CB96" s="12" t="str">
        <f>IF($A96="","",SUMIFS('Nursing Charges'!$I:$I,'Nursing Charges'!$A:$A,$A96,'Nursing Charges'!$C:$C,8))</f>
        <v/>
      </c>
      <c r="CC96" s="12" t="str">
        <f>IF($A96="","",BZ96+(CB96-SUMIFS('Nursing Charges'!$J:$J,'Nursing Charges'!$A:$A,$A96,'Nursing Charges'!$C:$C,8))+(CA96-SUMIFS('Consumable Usage'!$F:$F,'Consumable Usage'!$A:$A,$A96,'Consumable Usage'!$D:$D,8)))</f>
        <v/>
      </c>
      <c r="CD96" s="12" t="str">
        <f t="shared" si="22"/>
        <v/>
      </c>
      <c r="CE96" s="20"/>
      <c r="CF96" s="12" t="str">
        <f t="shared" si="23"/>
        <v/>
      </c>
      <c r="CG96" s="45" t="str">
        <f t="shared" si="24"/>
        <v/>
      </c>
      <c r="CH96" s="15"/>
      <c r="CI96" s="15"/>
      <c r="CJ96" s="20"/>
      <c r="CK96" s="12" t="str">
        <f>IF($A96="","",SUMIFS('Consumable Usage'!$E:$E,'Consumable Usage'!$A:$A,$A96,'Consumable Usage'!$D:$D,9))</f>
        <v/>
      </c>
      <c r="CL96" s="12" t="str">
        <f>IF($A96="","",SUMIFS('Nursing Charges'!$I:$I,'Nursing Charges'!$A:$A,$A96,'Nursing Charges'!$C:$C,9))</f>
        <v/>
      </c>
      <c r="CM96" s="12" t="str">
        <f>IF($A96="","",CJ96+(CL96-SUMIFS('Nursing Charges'!$J:$J,'Nursing Charges'!$A:$A,$A96,'Nursing Charges'!$C:$C,9))+(CK96-SUMIFS('Consumable Usage'!$F:$F,'Consumable Usage'!$A:$A,$A96,'Consumable Usage'!$D:$D,9)))</f>
        <v/>
      </c>
      <c r="CN96" s="12" t="str">
        <f t="shared" si="25"/>
        <v/>
      </c>
      <c r="CO96" s="20"/>
      <c r="CP96" s="12" t="str">
        <f t="shared" si="26"/>
        <v/>
      </c>
      <c r="CQ96" s="45" t="str">
        <f t="shared" si="27"/>
        <v/>
      </c>
      <c r="CR96" s="15"/>
      <c r="CS96" s="15"/>
      <c r="CT96" s="20"/>
      <c r="CU96" s="12" t="str">
        <f>IF($A96="","",SUMIFS('Consumable Usage'!$E:$E,'Consumable Usage'!$A:$A,$A96,'Consumable Usage'!$D:$D,10))</f>
        <v/>
      </c>
      <c r="CV96" s="12" t="str">
        <f>IF($A96="","",SUMIFS('Nursing Charges'!$I:$I,'Nursing Charges'!$A:$A,$A96,'Nursing Charges'!$C:$C,10))</f>
        <v/>
      </c>
      <c r="CW96" s="12" t="str">
        <f>IF($A96="","",CT96+(CV96-SUMIFS('Nursing Charges'!$J:$J,'Nursing Charges'!$A:$A,$A96,'Nursing Charges'!$C:$C,10))+(CU96-SUMIFS('Consumable Usage'!$F:$F,'Consumable Usage'!$A:$A,$A96,'Consumable Usage'!$D:$D,10)))</f>
        <v/>
      </c>
      <c r="CX96" s="12" t="str">
        <f t="shared" si="28"/>
        <v/>
      </c>
      <c r="CY96" s="20"/>
      <c r="CZ96" s="12" t="str">
        <f t="shared" si="29"/>
        <v/>
      </c>
      <c r="DA96" s="45" t="str">
        <f t="shared" si="30"/>
        <v/>
      </c>
      <c r="DB96" s="15"/>
      <c r="DC96" s="15"/>
      <c r="DD96" s="20"/>
      <c r="DE96" s="12" t="str">
        <f>IF($A96="","",SUMIFS('Consumable Usage'!$E:$E,'Consumable Usage'!$A:$A,$A96,'Consumable Usage'!$D:$D,11))</f>
        <v/>
      </c>
      <c r="DF96" s="12" t="str">
        <f>IF($A96="","",SUMIFS('Nursing Charges'!$I:$I,'Nursing Charges'!$A:$A,$A96,'Nursing Charges'!$C:$C,11))</f>
        <v/>
      </c>
      <c r="DG96" s="12" t="str">
        <f>IF($A96="","",DD96+(DF96-SUMIFS('Nursing Charges'!$J:$J,'Nursing Charges'!$A:$A,$A96,'Nursing Charges'!$C:$C,11))+(DE96-SUMIFS('Consumable Usage'!$F:$F,'Consumable Usage'!$A:$A,$A96,'Consumable Usage'!$D:$D,11)))</f>
        <v/>
      </c>
      <c r="DH96" s="12" t="str">
        <f t="shared" si="31"/>
        <v/>
      </c>
      <c r="DI96" s="20"/>
      <c r="DJ96" s="12" t="str">
        <f t="shared" si="32"/>
        <v/>
      </c>
      <c r="DK96" s="45" t="str">
        <f t="shared" si="33"/>
        <v/>
      </c>
      <c r="DL96" s="15"/>
      <c r="DM96" s="15"/>
      <c r="DN96" s="20"/>
      <c r="DO96" s="12" t="str">
        <f>IF($A96="","",SUMIFS('Consumable Usage'!$E:$E,'Consumable Usage'!$A:$A,$A96,'Consumable Usage'!$D:$D,12))</f>
        <v/>
      </c>
      <c r="DP96" s="12" t="str">
        <f>IF($A96="","",SUMIFS('Nursing Charges'!$I:$I,'Nursing Charges'!$A:$A,$A96,'Nursing Charges'!$C:$C,12))</f>
        <v/>
      </c>
      <c r="DQ96" s="12" t="str">
        <f>IF($A96="","",DN96+(DP96-SUMIFS('Nursing Charges'!$J:$J,'Nursing Charges'!$A:$A,$A96,'Nursing Charges'!$C:$C,12))+(DO96-SUMIFS('Consumable Usage'!$F:$F,'Consumable Usage'!$A:$A,$A96,'Consumable Usage'!$D:$D,12)))</f>
        <v/>
      </c>
      <c r="DR96" s="12" t="str">
        <f t="shared" si="34"/>
        <v/>
      </c>
      <c r="DS96" s="20"/>
      <c r="DT96" s="12" t="str">
        <f t="shared" si="35"/>
        <v/>
      </c>
      <c r="DU96" s="45" t="str">
        <f t="shared" si="36"/>
        <v/>
      </c>
      <c r="DV96" s="15"/>
      <c r="DW96" s="15"/>
      <c r="DX96" s="20"/>
      <c r="DY96" s="12" t="str">
        <f>IF($A96="","",SUMIFS('Consumable Usage'!$E:$E,'Consumable Usage'!$A:$A,$A96,'Consumable Usage'!$D:$D,13))</f>
        <v/>
      </c>
      <c r="DZ96" s="12" t="str">
        <f>IF($A96="","",SUMIFS('Nursing Charges'!$I:$I,'Nursing Charges'!$A:$A,$A96,'Nursing Charges'!$C:$C,13))</f>
        <v/>
      </c>
      <c r="EA96" s="12" t="str">
        <f>IF($A96="","",DX96+(DZ96-SUMIFS('Nursing Charges'!$J:$J,'Nursing Charges'!$A:$A,$A96,'Nursing Charges'!$C:$C,13))+(DY96-SUMIFS('Consumable Usage'!$F:$F,'Consumable Usage'!$A:$A,$A96,'Consumable Usage'!$D:$D,13)))</f>
        <v/>
      </c>
      <c r="EB96" s="12" t="str">
        <f t="shared" si="37"/>
        <v/>
      </c>
      <c r="EC96" s="20"/>
      <c r="ED96" s="12" t="str">
        <f t="shared" si="38"/>
        <v/>
      </c>
      <c r="EE96" s="45" t="str">
        <f t="shared" si="39"/>
        <v/>
      </c>
      <c r="EF96" s="15"/>
      <c r="EG96" s="15"/>
      <c r="EH96" s="20"/>
      <c r="EI96" s="12" t="str">
        <f>IF($A96="","",SUMIFS('Consumable Usage'!$E:$E,'Consumable Usage'!$A:$A,$A96,'Consumable Usage'!$D:$D,14))</f>
        <v/>
      </c>
      <c r="EJ96" s="12" t="str">
        <f>IF($A96="","",SUMIFS('Nursing Charges'!$I:$I,'Nursing Charges'!$A:$A,$A96,'Nursing Charges'!$C:$C,14))</f>
        <v/>
      </c>
      <c r="EK96" s="12" t="str">
        <f>IF($A96="","",EH96+(EJ96-SUMIFS('Nursing Charges'!$J:$J,'Nursing Charges'!$A:$A,$A96,'Nursing Charges'!$C:$C,14))+(EI96-SUMIFS('Consumable Usage'!$F:$F,'Consumable Usage'!$A:$A,$A96,'Consumable Usage'!$D:$D,14)))</f>
        <v/>
      </c>
      <c r="EL96" s="12" t="str">
        <f t="shared" si="40"/>
        <v/>
      </c>
      <c r="EM96" s="20"/>
      <c r="EN96" s="12" t="str">
        <f t="shared" si="41"/>
        <v/>
      </c>
      <c r="EO96" s="45" t="str">
        <f t="shared" si="42"/>
        <v/>
      </c>
      <c r="EP96" s="15"/>
      <c r="EQ96" s="15"/>
      <c r="ER96" s="20"/>
      <c r="ES96" s="12" t="str">
        <f>IF($A96="","",SUMIFS('Consumable Usage'!$E:$E,'Consumable Usage'!$A:$A,$A96,'Consumable Usage'!$D:$D,15))</f>
        <v/>
      </c>
      <c r="ET96" s="12" t="str">
        <f>IF($A96="","",SUMIFS('Nursing Charges'!$I:$I,'Nursing Charges'!$A:$A,$A96,'Nursing Charges'!$C:$C,15))</f>
        <v/>
      </c>
      <c r="EU96" s="12" t="str">
        <f>IF($A96="","",ER96+(ET96-SUMIFS('Nursing Charges'!$J:$J,'Nursing Charges'!$A:$A,$A96,'Nursing Charges'!$C:$C,15))+(ES96-SUMIFS('Consumable Usage'!$F:$F,'Consumable Usage'!$A:$A,$A96,'Consumable Usage'!$D:$D,15)))</f>
        <v/>
      </c>
      <c r="EV96" s="12" t="str">
        <f t="shared" si="43"/>
        <v/>
      </c>
      <c r="EW96" s="20"/>
      <c r="EX96" s="12" t="str">
        <f t="shared" si="44"/>
        <v/>
      </c>
      <c r="EY96" s="45" t="str">
        <f t="shared" si="45"/>
        <v/>
      </c>
      <c r="EZ96" s="15"/>
      <c r="FA96" s="15"/>
      <c r="FB96" s="20"/>
      <c r="FC96" s="12" t="str">
        <f>IF($A96="","",SUMIFS('Consumable Usage'!$E:$E,'Consumable Usage'!$A:$A,$A96,'Consumable Usage'!$D:$D,16))</f>
        <v/>
      </c>
      <c r="FD96" s="12" t="str">
        <f>IF($A96="","",SUMIFS('Nursing Charges'!$I:$I,'Nursing Charges'!$A:$A,$A96,'Nursing Charges'!$C:$C,16))</f>
        <v/>
      </c>
      <c r="FE96" s="12" t="str">
        <f>IF($A96="","",FB96+(FD96-SUMIFS('Nursing Charges'!$J:$J,'Nursing Charges'!$A:$A,$A96,'Nursing Charges'!$C:$C,16))+(FC96-SUMIFS('Consumable Usage'!$F:$F,'Consumable Usage'!$A:$A,$A96,'Consumable Usage'!$D:$D,16)))</f>
        <v/>
      </c>
      <c r="FF96" s="12" t="str">
        <f t="shared" si="46"/>
        <v/>
      </c>
      <c r="FG96" s="20"/>
      <c r="FH96" s="12" t="str">
        <f t="shared" si="47"/>
        <v/>
      </c>
      <c r="FI96" s="45" t="str">
        <f t="shared" si="48"/>
        <v/>
      </c>
      <c r="FJ96" s="53"/>
      <c r="FK96" s="53"/>
      <c r="FL96" s="63"/>
      <c r="FM96" s="63" t="str">
        <f>IF($A96="","",SUMIFS('Consumable Usage'!$E:$E,'Consumable Usage'!$A:$A,$A96,'Consumable Usage'!$D:$D,16))</f>
        <v/>
      </c>
      <c r="FN96" s="63" t="str">
        <f>IF($A96="","",SUMIFS('Nursing Charges'!$I:$I,'Nursing Charges'!$A:$A,$A96,'Nursing Charges'!$C:$C,16))</f>
        <v/>
      </c>
      <c r="FO96" s="63" t="str">
        <f>IF($A96="","",FL96+(FN96-SUMIFS('Nursing Charges'!$J:$J,'Nursing Charges'!$A:$A,$A96,'Nursing Charges'!$C:$C,16))+(FM96-SUMIFS('Consumable Usage'!$F:$F,'Consumable Usage'!$A:$A,$A96,'Consumable Usage'!$D:$D,16)))</f>
        <v/>
      </c>
      <c r="FP96" s="63" t="str">
        <f t="shared" si="49"/>
        <v/>
      </c>
      <c r="FQ96" s="63"/>
      <c r="FR96" s="63" t="str">
        <f t="shared" si="50"/>
        <v/>
      </c>
      <c r="FS96" s="53" t="str">
        <f t="shared" si="51"/>
        <v/>
      </c>
    </row>
    <row r="97" ht="15.0" customHeight="1">
      <c r="A97" s="15"/>
      <c r="B97" s="15"/>
      <c r="C97" s="15"/>
      <c r="D97" s="15"/>
      <c r="E97" s="15"/>
      <c r="F97" s="15"/>
      <c r="G97" s="15"/>
      <c r="H97" s="20"/>
      <c r="I97" s="12" t="str">
        <f>IF($A97="","",SUMIFS('Consumable Usage'!$E:$E,'Consumable Usage'!$A:$A,$A97,'Consumable Usage'!$D:$D,1))</f>
        <v/>
      </c>
      <c r="J97" s="12" t="str">
        <f>IF($A97="","",SUMIFS('Nursing Charges'!$I:$I,'Nursing Charges'!$A:$A,$A97,'Nursing Charges'!$C:$C,1))</f>
        <v/>
      </c>
      <c r="K97" s="12" t="str">
        <f>IF($A97="","",H97+(J97-SUMIFS('Nursing Charges'!$J:$J,'Nursing Charges'!$A:$A,$A97,'Nursing Charges'!$C:$C,1))+(I97-SUMIFS('Consumable Usage'!$F:$F,'Consumable Usage'!$A:$A,$A97,'Consumable Usage'!$D:$D,1)))</f>
        <v/>
      </c>
      <c r="L97" s="12" t="str">
        <f t="shared" si="1"/>
        <v/>
      </c>
      <c r="M97" s="20"/>
      <c r="N97" s="12" t="str">
        <f t="shared" si="2"/>
        <v/>
      </c>
      <c r="O97" s="45" t="str">
        <f t="shared" si="3"/>
        <v/>
      </c>
      <c r="P97" s="15"/>
      <c r="Q97" s="15"/>
      <c r="R97" s="20"/>
      <c r="S97" s="12" t="str">
        <f>IF($A97="","",SUMIFS('Consumable Usage'!$E:$E,'Consumable Usage'!$A:$A,$A97,'Consumable Usage'!$D:$D,2))</f>
        <v/>
      </c>
      <c r="T97" s="12" t="str">
        <f>IF($A97="","",SUMIFS('Nursing Charges'!$I:$I,'Nursing Charges'!$A:$A,$A97,'Nursing Charges'!$C:$C,2))</f>
        <v/>
      </c>
      <c r="U97" s="12" t="str">
        <f>IF($A97="","",R97+(T97-SUMIFS('Nursing Charges'!$J:$J,'Nursing Charges'!$A:$A,$A97,'Nursing Charges'!$C:$C,2))+(S97-SUMIFS('Consumable Usage'!$F:$F,'Consumable Usage'!$A:$A,$A97,'Consumable Usage'!$D:$D,2)))</f>
        <v/>
      </c>
      <c r="V97" s="12" t="str">
        <f t="shared" si="4"/>
        <v/>
      </c>
      <c r="W97" s="20"/>
      <c r="X97" s="12" t="str">
        <f t="shared" si="5"/>
        <v/>
      </c>
      <c r="Y97" s="45" t="str">
        <f t="shared" si="6"/>
        <v/>
      </c>
      <c r="Z97" s="15"/>
      <c r="AA97" s="15"/>
      <c r="AB97" s="20"/>
      <c r="AC97" s="12" t="str">
        <f>IF($A97="","",SUMIFS('Consumable Usage'!$E:$E,'Consumable Usage'!$A:$A,$A97,'Consumable Usage'!$D:$D,3))</f>
        <v/>
      </c>
      <c r="AD97" s="12" t="str">
        <f>IF($A97="","",SUMIFS('Nursing Charges'!$I:$I,'Nursing Charges'!$A:$A,$A97,'Nursing Charges'!$C:$C,3))</f>
        <v/>
      </c>
      <c r="AE97" s="12" t="str">
        <f>IF($A97="","",AB97+(AD97-SUMIFS('Nursing Charges'!$J:$J,'Nursing Charges'!$A:$A,$A97,'Nursing Charges'!$C:$C,3))+(AC97-SUMIFS('Consumable Usage'!$F:$F,'Consumable Usage'!$A:$A,$A97,'Consumable Usage'!$D:$D,3)))</f>
        <v/>
      </c>
      <c r="AF97" s="12" t="str">
        <f t="shared" si="7"/>
        <v/>
      </c>
      <c r="AG97" s="20"/>
      <c r="AH97" s="12" t="str">
        <f t="shared" si="8"/>
        <v/>
      </c>
      <c r="AI97" s="45" t="str">
        <f t="shared" si="9"/>
        <v/>
      </c>
      <c r="AJ97" s="15"/>
      <c r="AK97" s="15"/>
      <c r="AL97" s="20"/>
      <c r="AM97" s="12" t="str">
        <f>IF($A97="","",SUMIFS('Consumable Usage'!$E:$E,'Consumable Usage'!$A:$A,$A97,'Consumable Usage'!$D:$D,4))</f>
        <v/>
      </c>
      <c r="AN97" s="12" t="str">
        <f>IF($A97="","",SUMIFS('Nursing Charges'!$I:$I,'Nursing Charges'!$A:$A,$A97,'Nursing Charges'!$C:$C,4))</f>
        <v/>
      </c>
      <c r="AO97" s="12" t="str">
        <f>IF($A97="","",AL97+(AN97-SUMIFS('Nursing Charges'!$J:$J,'Nursing Charges'!$A:$A,$A97,'Nursing Charges'!$C:$C,4))+(AM97-SUMIFS('Consumable Usage'!$F:$F,'Consumable Usage'!$A:$A,$A97,'Consumable Usage'!$D:$D,4)))</f>
        <v/>
      </c>
      <c r="AP97" s="12" t="str">
        <f t="shared" si="10"/>
        <v/>
      </c>
      <c r="AQ97" s="20"/>
      <c r="AR97" s="12" t="str">
        <f t="shared" si="11"/>
        <v/>
      </c>
      <c r="AS97" s="45" t="str">
        <f t="shared" si="12"/>
        <v/>
      </c>
      <c r="AT97" s="15"/>
      <c r="AU97" s="15"/>
      <c r="AV97" s="20"/>
      <c r="AW97" s="12" t="str">
        <f>IF($A97="","",SUMIFS('Consumable Usage'!$E:$E,'Consumable Usage'!$A:$A,$A97,'Consumable Usage'!$D:$D,5))</f>
        <v/>
      </c>
      <c r="AX97" s="12" t="str">
        <f>IF($A97="","",SUMIFS('Nursing Charges'!$I:$I,'Nursing Charges'!$A:$A,$A97,'Nursing Charges'!$C:$C,5))</f>
        <v/>
      </c>
      <c r="AY97" s="12" t="str">
        <f>IF($A97="","",AV97+(AX97-SUMIFS('Nursing Charges'!$J:$J,'Nursing Charges'!$A:$A,$A97,'Nursing Charges'!$C:$C,5))+(AW97-SUMIFS('Consumable Usage'!$F:$F,'Consumable Usage'!$A:$A,$A97,'Consumable Usage'!$D:$D,5)))</f>
        <v/>
      </c>
      <c r="AZ97" s="12" t="str">
        <f t="shared" si="13"/>
        <v/>
      </c>
      <c r="BA97" s="20"/>
      <c r="BB97" s="12" t="str">
        <f t="shared" si="14"/>
        <v/>
      </c>
      <c r="BC97" s="45" t="str">
        <f t="shared" si="15"/>
        <v/>
      </c>
      <c r="BD97" s="15"/>
      <c r="BE97" s="15"/>
      <c r="BF97" s="20"/>
      <c r="BG97" s="12" t="str">
        <f>IF($A97="","",SUMIFS('Consumable Usage'!$E:$E,'Consumable Usage'!$A:$A,$A97,'Consumable Usage'!$D:$D,6))</f>
        <v/>
      </c>
      <c r="BH97" s="12" t="str">
        <f>IF($A97="","",SUMIFS('Nursing Charges'!$I:$I,'Nursing Charges'!$A:$A,$A97,'Nursing Charges'!$C:$C,6))</f>
        <v/>
      </c>
      <c r="BI97" s="12" t="str">
        <f>IF($A97="","",BF97+(BH97-SUMIFS('Nursing Charges'!$J:$J,'Nursing Charges'!$A:$A,$A97,'Nursing Charges'!$C:$C,6))+(BG97-SUMIFS('Consumable Usage'!$F:$F,'Consumable Usage'!$A:$A,$A97,'Consumable Usage'!$D:$D,6)))</f>
        <v/>
      </c>
      <c r="BJ97" s="12" t="str">
        <f t="shared" si="16"/>
        <v/>
      </c>
      <c r="BK97" s="20"/>
      <c r="BL97" s="12" t="str">
        <f t="shared" si="17"/>
        <v/>
      </c>
      <c r="BM97" s="45" t="str">
        <f t="shared" si="18"/>
        <v/>
      </c>
      <c r="BN97" s="15"/>
      <c r="BO97" s="15"/>
      <c r="BP97" s="20"/>
      <c r="BQ97" s="12" t="str">
        <f>IF($A97="","",SUMIFS('Consumable Usage'!$E:$E,'Consumable Usage'!$A:$A,$A97,'Consumable Usage'!$D:$D,7))</f>
        <v/>
      </c>
      <c r="BR97" s="12" t="str">
        <f>IF($A97="","",SUMIFS('Nursing Charges'!$I:$I,'Nursing Charges'!$A:$A,$A97,'Nursing Charges'!$C:$C,7))</f>
        <v/>
      </c>
      <c r="BS97" s="12" t="str">
        <f>IF($A97="","",BP97+(BR97-SUMIFS('Nursing Charges'!$J:$J,'Nursing Charges'!$A:$A,$A97,'Nursing Charges'!$C:$C,7))+(BQ97-SUMIFS('Consumable Usage'!$F:$F,'Consumable Usage'!$A:$A,$A97,'Consumable Usage'!$D:$D,7)))</f>
        <v/>
      </c>
      <c r="BT97" s="12" t="str">
        <f t="shared" si="19"/>
        <v/>
      </c>
      <c r="BU97" s="20"/>
      <c r="BV97" s="12" t="str">
        <f t="shared" si="20"/>
        <v/>
      </c>
      <c r="BW97" s="45" t="str">
        <f t="shared" si="21"/>
        <v/>
      </c>
      <c r="BX97" s="15"/>
      <c r="BY97" s="15"/>
      <c r="BZ97" s="20"/>
      <c r="CA97" s="12" t="str">
        <f>IF($A97="","",SUMIFS('Consumable Usage'!$E:$E,'Consumable Usage'!$A:$A,$A97,'Consumable Usage'!$D:$D,8))</f>
        <v/>
      </c>
      <c r="CB97" s="12" t="str">
        <f>IF($A97="","",SUMIFS('Nursing Charges'!$I:$I,'Nursing Charges'!$A:$A,$A97,'Nursing Charges'!$C:$C,8))</f>
        <v/>
      </c>
      <c r="CC97" s="12" t="str">
        <f>IF($A97="","",BZ97+(CB97-SUMIFS('Nursing Charges'!$J:$J,'Nursing Charges'!$A:$A,$A97,'Nursing Charges'!$C:$C,8))+(CA97-SUMIFS('Consumable Usage'!$F:$F,'Consumable Usage'!$A:$A,$A97,'Consumable Usage'!$D:$D,8)))</f>
        <v/>
      </c>
      <c r="CD97" s="12" t="str">
        <f t="shared" si="22"/>
        <v/>
      </c>
      <c r="CE97" s="20"/>
      <c r="CF97" s="12" t="str">
        <f t="shared" si="23"/>
        <v/>
      </c>
      <c r="CG97" s="45" t="str">
        <f t="shared" si="24"/>
        <v/>
      </c>
      <c r="CH97" s="15"/>
      <c r="CI97" s="15"/>
      <c r="CJ97" s="20"/>
      <c r="CK97" s="12" t="str">
        <f>IF($A97="","",SUMIFS('Consumable Usage'!$E:$E,'Consumable Usage'!$A:$A,$A97,'Consumable Usage'!$D:$D,9))</f>
        <v/>
      </c>
      <c r="CL97" s="12" t="str">
        <f>IF($A97="","",SUMIFS('Nursing Charges'!$I:$I,'Nursing Charges'!$A:$A,$A97,'Nursing Charges'!$C:$C,9))</f>
        <v/>
      </c>
      <c r="CM97" s="12" t="str">
        <f>IF($A97="","",CJ97+(CL97-SUMIFS('Nursing Charges'!$J:$J,'Nursing Charges'!$A:$A,$A97,'Nursing Charges'!$C:$C,9))+(CK97-SUMIFS('Consumable Usage'!$F:$F,'Consumable Usage'!$A:$A,$A97,'Consumable Usage'!$D:$D,9)))</f>
        <v/>
      </c>
      <c r="CN97" s="12" t="str">
        <f t="shared" si="25"/>
        <v/>
      </c>
      <c r="CO97" s="20"/>
      <c r="CP97" s="12" t="str">
        <f t="shared" si="26"/>
        <v/>
      </c>
      <c r="CQ97" s="45" t="str">
        <f t="shared" si="27"/>
        <v/>
      </c>
      <c r="CR97" s="15"/>
      <c r="CS97" s="15"/>
      <c r="CT97" s="20"/>
      <c r="CU97" s="12" t="str">
        <f>IF($A97="","",SUMIFS('Consumable Usage'!$E:$E,'Consumable Usage'!$A:$A,$A97,'Consumable Usage'!$D:$D,10))</f>
        <v/>
      </c>
      <c r="CV97" s="12" t="str">
        <f>IF($A97="","",SUMIFS('Nursing Charges'!$I:$I,'Nursing Charges'!$A:$A,$A97,'Nursing Charges'!$C:$C,10))</f>
        <v/>
      </c>
      <c r="CW97" s="12" t="str">
        <f>IF($A97="","",CT97+(CV97-SUMIFS('Nursing Charges'!$J:$J,'Nursing Charges'!$A:$A,$A97,'Nursing Charges'!$C:$C,10))+(CU97-SUMIFS('Consumable Usage'!$F:$F,'Consumable Usage'!$A:$A,$A97,'Consumable Usage'!$D:$D,10)))</f>
        <v/>
      </c>
      <c r="CX97" s="12" t="str">
        <f t="shared" si="28"/>
        <v/>
      </c>
      <c r="CY97" s="20"/>
      <c r="CZ97" s="12" t="str">
        <f t="shared" si="29"/>
        <v/>
      </c>
      <c r="DA97" s="45" t="str">
        <f t="shared" si="30"/>
        <v/>
      </c>
      <c r="DB97" s="15"/>
      <c r="DC97" s="15"/>
      <c r="DD97" s="20"/>
      <c r="DE97" s="12" t="str">
        <f>IF($A97="","",SUMIFS('Consumable Usage'!$E:$E,'Consumable Usage'!$A:$A,$A97,'Consumable Usage'!$D:$D,11))</f>
        <v/>
      </c>
      <c r="DF97" s="12" t="str">
        <f>IF($A97="","",SUMIFS('Nursing Charges'!$I:$I,'Nursing Charges'!$A:$A,$A97,'Nursing Charges'!$C:$C,11))</f>
        <v/>
      </c>
      <c r="DG97" s="12" t="str">
        <f>IF($A97="","",DD97+(DF97-SUMIFS('Nursing Charges'!$J:$J,'Nursing Charges'!$A:$A,$A97,'Nursing Charges'!$C:$C,11))+(DE97-SUMIFS('Consumable Usage'!$F:$F,'Consumable Usage'!$A:$A,$A97,'Consumable Usage'!$D:$D,11)))</f>
        <v/>
      </c>
      <c r="DH97" s="12" t="str">
        <f t="shared" si="31"/>
        <v/>
      </c>
      <c r="DI97" s="20"/>
      <c r="DJ97" s="12" t="str">
        <f t="shared" si="32"/>
        <v/>
      </c>
      <c r="DK97" s="45" t="str">
        <f t="shared" si="33"/>
        <v/>
      </c>
      <c r="DL97" s="15"/>
      <c r="DM97" s="15"/>
      <c r="DN97" s="20"/>
      <c r="DO97" s="12" t="str">
        <f>IF($A97="","",SUMIFS('Consumable Usage'!$E:$E,'Consumable Usage'!$A:$A,$A97,'Consumable Usage'!$D:$D,12))</f>
        <v/>
      </c>
      <c r="DP97" s="12" t="str">
        <f>IF($A97="","",SUMIFS('Nursing Charges'!$I:$I,'Nursing Charges'!$A:$A,$A97,'Nursing Charges'!$C:$C,12))</f>
        <v/>
      </c>
      <c r="DQ97" s="12" t="str">
        <f>IF($A97="","",DN97+(DP97-SUMIFS('Nursing Charges'!$J:$J,'Nursing Charges'!$A:$A,$A97,'Nursing Charges'!$C:$C,12))+(DO97-SUMIFS('Consumable Usage'!$F:$F,'Consumable Usage'!$A:$A,$A97,'Consumable Usage'!$D:$D,12)))</f>
        <v/>
      </c>
      <c r="DR97" s="12" t="str">
        <f t="shared" si="34"/>
        <v/>
      </c>
      <c r="DS97" s="20"/>
      <c r="DT97" s="12" t="str">
        <f t="shared" si="35"/>
        <v/>
      </c>
      <c r="DU97" s="45" t="str">
        <f t="shared" si="36"/>
        <v/>
      </c>
      <c r="DV97" s="15"/>
      <c r="DW97" s="15"/>
      <c r="DX97" s="20"/>
      <c r="DY97" s="12" t="str">
        <f>IF($A97="","",SUMIFS('Consumable Usage'!$E:$E,'Consumable Usage'!$A:$A,$A97,'Consumable Usage'!$D:$D,13))</f>
        <v/>
      </c>
      <c r="DZ97" s="12" t="str">
        <f>IF($A97="","",SUMIFS('Nursing Charges'!$I:$I,'Nursing Charges'!$A:$A,$A97,'Nursing Charges'!$C:$C,13))</f>
        <v/>
      </c>
      <c r="EA97" s="12" t="str">
        <f>IF($A97="","",DX97+(DZ97-SUMIFS('Nursing Charges'!$J:$J,'Nursing Charges'!$A:$A,$A97,'Nursing Charges'!$C:$C,13))+(DY97-SUMIFS('Consumable Usage'!$F:$F,'Consumable Usage'!$A:$A,$A97,'Consumable Usage'!$D:$D,13)))</f>
        <v/>
      </c>
      <c r="EB97" s="12" t="str">
        <f t="shared" si="37"/>
        <v/>
      </c>
      <c r="EC97" s="20"/>
      <c r="ED97" s="12" t="str">
        <f t="shared" si="38"/>
        <v/>
      </c>
      <c r="EE97" s="45" t="str">
        <f t="shared" si="39"/>
        <v/>
      </c>
      <c r="EF97" s="15"/>
      <c r="EG97" s="15"/>
      <c r="EH97" s="20"/>
      <c r="EI97" s="12" t="str">
        <f>IF($A97="","",SUMIFS('Consumable Usage'!$E:$E,'Consumable Usage'!$A:$A,$A97,'Consumable Usage'!$D:$D,14))</f>
        <v/>
      </c>
      <c r="EJ97" s="12" t="str">
        <f>IF($A97="","",SUMIFS('Nursing Charges'!$I:$I,'Nursing Charges'!$A:$A,$A97,'Nursing Charges'!$C:$C,14))</f>
        <v/>
      </c>
      <c r="EK97" s="12" t="str">
        <f>IF($A97="","",EH97+(EJ97-SUMIFS('Nursing Charges'!$J:$J,'Nursing Charges'!$A:$A,$A97,'Nursing Charges'!$C:$C,14))+(EI97-SUMIFS('Consumable Usage'!$F:$F,'Consumable Usage'!$A:$A,$A97,'Consumable Usage'!$D:$D,14)))</f>
        <v/>
      </c>
      <c r="EL97" s="12" t="str">
        <f t="shared" si="40"/>
        <v/>
      </c>
      <c r="EM97" s="20"/>
      <c r="EN97" s="12" t="str">
        <f t="shared" si="41"/>
        <v/>
      </c>
      <c r="EO97" s="45" t="str">
        <f t="shared" si="42"/>
        <v/>
      </c>
      <c r="EP97" s="15"/>
      <c r="EQ97" s="15"/>
      <c r="ER97" s="20"/>
      <c r="ES97" s="12" t="str">
        <f>IF($A97="","",SUMIFS('Consumable Usage'!$E:$E,'Consumable Usage'!$A:$A,$A97,'Consumable Usage'!$D:$D,15))</f>
        <v/>
      </c>
      <c r="ET97" s="12" t="str">
        <f>IF($A97="","",SUMIFS('Nursing Charges'!$I:$I,'Nursing Charges'!$A:$A,$A97,'Nursing Charges'!$C:$C,15))</f>
        <v/>
      </c>
      <c r="EU97" s="12" t="str">
        <f>IF($A97="","",ER97+(ET97-SUMIFS('Nursing Charges'!$J:$J,'Nursing Charges'!$A:$A,$A97,'Nursing Charges'!$C:$C,15))+(ES97-SUMIFS('Consumable Usage'!$F:$F,'Consumable Usage'!$A:$A,$A97,'Consumable Usage'!$D:$D,15)))</f>
        <v/>
      </c>
      <c r="EV97" s="12" t="str">
        <f t="shared" si="43"/>
        <v/>
      </c>
      <c r="EW97" s="20"/>
      <c r="EX97" s="12" t="str">
        <f t="shared" si="44"/>
        <v/>
      </c>
      <c r="EY97" s="45" t="str">
        <f t="shared" si="45"/>
        <v/>
      </c>
      <c r="EZ97" s="15"/>
      <c r="FA97" s="15"/>
      <c r="FB97" s="20"/>
      <c r="FC97" s="12" t="str">
        <f>IF($A97="","",SUMIFS('Consumable Usage'!$E:$E,'Consumable Usage'!$A:$A,$A97,'Consumable Usage'!$D:$D,16))</f>
        <v/>
      </c>
      <c r="FD97" s="12" t="str">
        <f>IF($A97="","",SUMIFS('Nursing Charges'!$I:$I,'Nursing Charges'!$A:$A,$A97,'Nursing Charges'!$C:$C,16))</f>
        <v/>
      </c>
      <c r="FE97" s="12" t="str">
        <f>IF($A97="","",FB97+(FD97-SUMIFS('Nursing Charges'!$J:$J,'Nursing Charges'!$A:$A,$A97,'Nursing Charges'!$C:$C,16))+(FC97-SUMIFS('Consumable Usage'!$F:$F,'Consumable Usage'!$A:$A,$A97,'Consumable Usage'!$D:$D,16)))</f>
        <v/>
      </c>
      <c r="FF97" s="12" t="str">
        <f t="shared" si="46"/>
        <v/>
      </c>
      <c r="FG97" s="20"/>
      <c r="FH97" s="12" t="str">
        <f t="shared" si="47"/>
        <v/>
      </c>
      <c r="FI97" s="45" t="str">
        <f t="shared" si="48"/>
        <v/>
      </c>
      <c r="FJ97" s="53"/>
      <c r="FK97" s="53"/>
      <c r="FL97" s="63"/>
      <c r="FM97" s="63" t="str">
        <f>IF($A97="","",SUMIFS('Consumable Usage'!$E:$E,'Consumable Usage'!$A:$A,$A97,'Consumable Usage'!$D:$D,16))</f>
        <v/>
      </c>
      <c r="FN97" s="63" t="str">
        <f>IF($A97="","",SUMIFS('Nursing Charges'!$I:$I,'Nursing Charges'!$A:$A,$A97,'Nursing Charges'!$C:$C,16))</f>
        <v/>
      </c>
      <c r="FO97" s="63" t="str">
        <f>IF($A97="","",FL97+(FN97-SUMIFS('Nursing Charges'!$J:$J,'Nursing Charges'!$A:$A,$A97,'Nursing Charges'!$C:$C,16))+(FM97-SUMIFS('Consumable Usage'!$F:$F,'Consumable Usage'!$A:$A,$A97,'Consumable Usage'!$D:$D,16)))</f>
        <v/>
      </c>
      <c r="FP97" s="63" t="str">
        <f t="shared" si="49"/>
        <v/>
      </c>
      <c r="FQ97" s="63"/>
      <c r="FR97" s="63" t="str">
        <f t="shared" si="50"/>
        <v/>
      </c>
      <c r="FS97" s="53" t="str">
        <f t="shared" si="51"/>
        <v/>
      </c>
    </row>
    <row r="98" ht="15.0" customHeight="1">
      <c r="A98" s="15"/>
      <c r="B98" s="15"/>
      <c r="C98" s="15"/>
      <c r="D98" s="15"/>
      <c r="E98" s="15"/>
      <c r="F98" s="15"/>
      <c r="G98" s="15"/>
      <c r="H98" s="20"/>
      <c r="I98" s="12" t="str">
        <f>IF($A98="","",SUMIFS('Consumable Usage'!$E:$E,'Consumable Usage'!$A:$A,$A98,'Consumable Usage'!$D:$D,1))</f>
        <v/>
      </c>
      <c r="J98" s="12" t="str">
        <f>IF($A98="","",SUMIFS('Nursing Charges'!$I:$I,'Nursing Charges'!$A:$A,$A98,'Nursing Charges'!$C:$C,1))</f>
        <v/>
      </c>
      <c r="K98" s="12" t="str">
        <f>IF($A98="","",H98+(J98-SUMIFS('Nursing Charges'!$J:$J,'Nursing Charges'!$A:$A,$A98,'Nursing Charges'!$C:$C,1))+(I98-SUMIFS('Consumable Usage'!$F:$F,'Consumable Usage'!$A:$A,$A98,'Consumable Usage'!$D:$D,1)))</f>
        <v/>
      </c>
      <c r="L98" s="12" t="str">
        <f t="shared" si="1"/>
        <v/>
      </c>
      <c r="M98" s="20"/>
      <c r="N98" s="12" t="str">
        <f t="shared" si="2"/>
        <v/>
      </c>
      <c r="O98" s="45" t="str">
        <f t="shared" si="3"/>
        <v/>
      </c>
      <c r="P98" s="15"/>
      <c r="Q98" s="15"/>
      <c r="R98" s="20"/>
      <c r="S98" s="12" t="str">
        <f>IF($A98="","",SUMIFS('Consumable Usage'!$E:$E,'Consumable Usage'!$A:$A,$A98,'Consumable Usage'!$D:$D,2))</f>
        <v/>
      </c>
      <c r="T98" s="12" t="str">
        <f>IF($A98="","",SUMIFS('Nursing Charges'!$I:$I,'Nursing Charges'!$A:$A,$A98,'Nursing Charges'!$C:$C,2))</f>
        <v/>
      </c>
      <c r="U98" s="12" t="str">
        <f>IF($A98="","",R98+(T98-SUMIFS('Nursing Charges'!$J:$J,'Nursing Charges'!$A:$A,$A98,'Nursing Charges'!$C:$C,2))+(S98-SUMIFS('Consumable Usage'!$F:$F,'Consumable Usage'!$A:$A,$A98,'Consumable Usage'!$D:$D,2)))</f>
        <v/>
      </c>
      <c r="V98" s="12" t="str">
        <f t="shared" si="4"/>
        <v/>
      </c>
      <c r="W98" s="20"/>
      <c r="X98" s="12" t="str">
        <f t="shared" si="5"/>
        <v/>
      </c>
      <c r="Y98" s="45" t="str">
        <f t="shared" si="6"/>
        <v/>
      </c>
      <c r="Z98" s="15"/>
      <c r="AA98" s="15"/>
      <c r="AB98" s="20"/>
      <c r="AC98" s="12" t="str">
        <f>IF($A98="","",SUMIFS('Consumable Usage'!$E:$E,'Consumable Usage'!$A:$A,$A98,'Consumable Usage'!$D:$D,3))</f>
        <v/>
      </c>
      <c r="AD98" s="12" t="str">
        <f>IF($A98="","",SUMIFS('Nursing Charges'!$I:$I,'Nursing Charges'!$A:$A,$A98,'Nursing Charges'!$C:$C,3))</f>
        <v/>
      </c>
      <c r="AE98" s="12" t="str">
        <f>IF($A98="","",AB98+(AD98-SUMIFS('Nursing Charges'!$J:$J,'Nursing Charges'!$A:$A,$A98,'Nursing Charges'!$C:$C,3))+(AC98-SUMIFS('Consumable Usage'!$F:$F,'Consumable Usage'!$A:$A,$A98,'Consumable Usage'!$D:$D,3)))</f>
        <v/>
      </c>
      <c r="AF98" s="12" t="str">
        <f t="shared" si="7"/>
        <v/>
      </c>
      <c r="AG98" s="20"/>
      <c r="AH98" s="12" t="str">
        <f t="shared" si="8"/>
        <v/>
      </c>
      <c r="AI98" s="45" t="str">
        <f t="shared" si="9"/>
        <v/>
      </c>
      <c r="AJ98" s="15"/>
      <c r="AK98" s="15"/>
      <c r="AL98" s="20"/>
      <c r="AM98" s="12" t="str">
        <f>IF($A98="","",SUMIFS('Consumable Usage'!$E:$E,'Consumable Usage'!$A:$A,$A98,'Consumable Usage'!$D:$D,4))</f>
        <v/>
      </c>
      <c r="AN98" s="12" t="str">
        <f>IF($A98="","",SUMIFS('Nursing Charges'!$I:$I,'Nursing Charges'!$A:$A,$A98,'Nursing Charges'!$C:$C,4))</f>
        <v/>
      </c>
      <c r="AO98" s="12" t="str">
        <f>IF($A98="","",AL98+(AN98-SUMIFS('Nursing Charges'!$J:$J,'Nursing Charges'!$A:$A,$A98,'Nursing Charges'!$C:$C,4))+(AM98-SUMIFS('Consumable Usage'!$F:$F,'Consumable Usage'!$A:$A,$A98,'Consumable Usage'!$D:$D,4)))</f>
        <v/>
      </c>
      <c r="AP98" s="12" t="str">
        <f t="shared" si="10"/>
        <v/>
      </c>
      <c r="AQ98" s="20"/>
      <c r="AR98" s="12" t="str">
        <f t="shared" si="11"/>
        <v/>
      </c>
      <c r="AS98" s="45" t="str">
        <f t="shared" si="12"/>
        <v/>
      </c>
      <c r="AT98" s="15"/>
      <c r="AU98" s="15"/>
      <c r="AV98" s="20"/>
      <c r="AW98" s="12" t="str">
        <f>IF($A98="","",SUMIFS('Consumable Usage'!$E:$E,'Consumable Usage'!$A:$A,$A98,'Consumable Usage'!$D:$D,5))</f>
        <v/>
      </c>
      <c r="AX98" s="12" t="str">
        <f>IF($A98="","",SUMIFS('Nursing Charges'!$I:$I,'Nursing Charges'!$A:$A,$A98,'Nursing Charges'!$C:$C,5))</f>
        <v/>
      </c>
      <c r="AY98" s="12" t="str">
        <f>IF($A98="","",AV98+(AX98-SUMIFS('Nursing Charges'!$J:$J,'Nursing Charges'!$A:$A,$A98,'Nursing Charges'!$C:$C,5))+(AW98-SUMIFS('Consumable Usage'!$F:$F,'Consumable Usage'!$A:$A,$A98,'Consumable Usage'!$D:$D,5)))</f>
        <v/>
      </c>
      <c r="AZ98" s="12" t="str">
        <f t="shared" si="13"/>
        <v/>
      </c>
      <c r="BA98" s="20"/>
      <c r="BB98" s="12" t="str">
        <f t="shared" si="14"/>
        <v/>
      </c>
      <c r="BC98" s="45" t="str">
        <f t="shared" si="15"/>
        <v/>
      </c>
      <c r="BD98" s="15"/>
      <c r="BE98" s="15"/>
      <c r="BF98" s="20"/>
      <c r="BG98" s="12" t="str">
        <f>IF($A98="","",SUMIFS('Consumable Usage'!$E:$E,'Consumable Usage'!$A:$A,$A98,'Consumable Usage'!$D:$D,6))</f>
        <v/>
      </c>
      <c r="BH98" s="12" t="str">
        <f>IF($A98="","",SUMIFS('Nursing Charges'!$I:$I,'Nursing Charges'!$A:$A,$A98,'Nursing Charges'!$C:$C,6))</f>
        <v/>
      </c>
      <c r="BI98" s="12" t="str">
        <f>IF($A98="","",BF98+(BH98-SUMIFS('Nursing Charges'!$J:$J,'Nursing Charges'!$A:$A,$A98,'Nursing Charges'!$C:$C,6))+(BG98-SUMIFS('Consumable Usage'!$F:$F,'Consumable Usage'!$A:$A,$A98,'Consumable Usage'!$D:$D,6)))</f>
        <v/>
      </c>
      <c r="BJ98" s="12" t="str">
        <f t="shared" si="16"/>
        <v/>
      </c>
      <c r="BK98" s="20"/>
      <c r="BL98" s="12" t="str">
        <f t="shared" si="17"/>
        <v/>
      </c>
      <c r="BM98" s="45" t="str">
        <f t="shared" si="18"/>
        <v/>
      </c>
      <c r="BN98" s="15"/>
      <c r="BO98" s="15"/>
      <c r="BP98" s="20"/>
      <c r="BQ98" s="12" t="str">
        <f>IF($A98="","",SUMIFS('Consumable Usage'!$E:$E,'Consumable Usage'!$A:$A,$A98,'Consumable Usage'!$D:$D,7))</f>
        <v/>
      </c>
      <c r="BR98" s="12" t="str">
        <f>IF($A98="","",SUMIFS('Nursing Charges'!$I:$I,'Nursing Charges'!$A:$A,$A98,'Nursing Charges'!$C:$C,7))</f>
        <v/>
      </c>
      <c r="BS98" s="12" t="str">
        <f>IF($A98="","",BP98+(BR98-SUMIFS('Nursing Charges'!$J:$J,'Nursing Charges'!$A:$A,$A98,'Nursing Charges'!$C:$C,7))+(BQ98-SUMIFS('Consumable Usage'!$F:$F,'Consumable Usage'!$A:$A,$A98,'Consumable Usage'!$D:$D,7)))</f>
        <v/>
      </c>
      <c r="BT98" s="12" t="str">
        <f t="shared" si="19"/>
        <v/>
      </c>
      <c r="BU98" s="20"/>
      <c r="BV98" s="12" t="str">
        <f t="shared" si="20"/>
        <v/>
      </c>
      <c r="BW98" s="45" t="str">
        <f t="shared" si="21"/>
        <v/>
      </c>
      <c r="BX98" s="15"/>
      <c r="BY98" s="15"/>
      <c r="BZ98" s="20"/>
      <c r="CA98" s="12" t="str">
        <f>IF($A98="","",SUMIFS('Consumable Usage'!$E:$E,'Consumable Usage'!$A:$A,$A98,'Consumable Usage'!$D:$D,8))</f>
        <v/>
      </c>
      <c r="CB98" s="12" t="str">
        <f>IF($A98="","",SUMIFS('Nursing Charges'!$I:$I,'Nursing Charges'!$A:$A,$A98,'Nursing Charges'!$C:$C,8))</f>
        <v/>
      </c>
      <c r="CC98" s="12" t="str">
        <f>IF($A98="","",BZ98+(CB98-SUMIFS('Nursing Charges'!$J:$J,'Nursing Charges'!$A:$A,$A98,'Nursing Charges'!$C:$C,8))+(CA98-SUMIFS('Consumable Usage'!$F:$F,'Consumable Usage'!$A:$A,$A98,'Consumable Usage'!$D:$D,8)))</f>
        <v/>
      </c>
      <c r="CD98" s="12" t="str">
        <f t="shared" si="22"/>
        <v/>
      </c>
      <c r="CE98" s="20"/>
      <c r="CF98" s="12" t="str">
        <f t="shared" si="23"/>
        <v/>
      </c>
      <c r="CG98" s="45" t="str">
        <f t="shared" si="24"/>
        <v/>
      </c>
      <c r="CH98" s="15"/>
      <c r="CI98" s="15"/>
      <c r="CJ98" s="20"/>
      <c r="CK98" s="12" t="str">
        <f>IF($A98="","",SUMIFS('Consumable Usage'!$E:$E,'Consumable Usage'!$A:$A,$A98,'Consumable Usage'!$D:$D,9))</f>
        <v/>
      </c>
      <c r="CL98" s="12" t="str">
        <f>IF($A98="","",SUMIFS('Nursing Charges'!$I:$I,'Nursing Charges'!$A:$A,$A98,'Nursing Charges'!$C:$C,9))</f>
        <v/>
      </c>
      <c r="CM98" s="12" t="str">
        <f>IF($A98="","",CJ98+(CL98-SUMIFS('Nursing Charges'!$J:$J,'Nursing Charges'!$A:$A,$A98,'Nursing Charges'!$C:$C,9))+(CK98-SUMIFS('Consumable Usage'!$F:$F,'Consumable Usage'!$A:$A,$A98,'Consumable Usage'!$D:$D,9)))</f>
        <v/>
      </c>
      <c r="CN98" s="12" t="str">
        <f t="shared" si="25"/>
        <v/>
      </c>
      <c r="CO98" s="20"/>
      <c r="CP98" s="12" t="str">
        <f t="shared" si="26"/>
        <v/>
      </c>
      <c r="CQ98" s="45" t="str">
        <f t="shared" si="27"/>
        <v/>
      </c>
      <c r="CR98" s="15"/>
      <c r="CS98" s="15"/>
      <c r="CT98" s="20"/>
      <c r="CU98" s="12" t="str">
        <f>IF($A98="","",SUMIFS('Consumable Usage'!$E:$E,'Consumable Usage'!$A:$A,$A98,'Consumable Usage'!$D:$D,10))</f>
        <v/>
      </c>
      <c r="CV98" s="12" t="str">
        <f>IF($A98="","",SUMIFS('Nursing Charges'!$I:$I,'Nursing Charges'!$A:$A,$A98,'Nursing Charges'!$C:$C,10))</f>
        <v/>
      </c>
      <c r="CW98" s="12" t="str">
        <f>IF($A98="","",CT98+(CV98-SUMIFS('Nursing Charges'!$J:$J,'Nursing Charges'!$A:$A,$A98,'Nursing Charges'!$C:$C,10))+(CU98-SUMIFS('Consumable Usage'!$F:$F,'Consumable Usage'!$A:$A,$A98,'Consumable Usage'!$D:$D,10)))</f>
        <v/>
      </c>
      <c r="CX98" s="12" t="str">
        <f t="shared" si="28"/>
        <v/>
      </c>
      <c r="CY98" s="20"/>
      <c r="CZ98" s="12" t="str">
        <f t="shared" si="29"/>
        <v/>
      </c>
      <c r="DA98" s="45" t="str">
        <f t="shared" si="30"/>
        <v/>
      </c>
      <c r="DB98" s="15"/>
      <c r="DC98" s="15"/>
      <c r="DD98" s="20"/>
      <c r="DE98" s="12" t="str">
        <f>IF($A98="","",SUMIFS('Consumable Usage'!$E:$E,'Consumable Usage'!$A:$A,$A98,'Consumable Usage'!$D:$D,11))</f>
        <v/>
      </c>
      <c r="DF98" s="12" t="str">
        <f>IF($A98="","",SUMIFS('Nursing Charges'!$I:$I,'Nursing Charges'!$A:$A,$A98,'Nursing Charges'!$C:$C,11))</f>
        <v/>
      </c>
      <c r="DG98" s="12" t="str">
        <f>IF($A98="","",DD98+(DF98-SUMIFS('Nursing Charges'!$J:$J,'Nursing Charges'!$A:$A,$A98,'Nursing Charges'!$C:$C,11))+(DE98-SUMIFS('Consumable Usage'!$F:$F,'Consumable Usage'!$A:$A,$A98,'Consumable Usage'!$D:$D,11)))</f>
        <v/>
      </c>
      <c r="DH98" s="12" t="str">
        <f t="shared" si="31"/>
        <v/>
      </c>
      <c r="DI98" s="20"/>
      <c r="DJ98" s="12" t="str">
        <f t="shared" si="32"/>
        <v/>
      </c>
      <c r="DK98" s="45" t="str">
        <f t="shared" si="33"/>
        <v/>
      </c>
      <c r="DL98" s="15"/>
      <c r="DM98" s="15"/>
      <c r="DN98" s="20"/>
      <c r="DO98" s="12" t="str">
        <f>IF($A98="","",SUMIFS('Consumable Usage'!$E:$E,'Consumable Usage'!$A:$A,$A98,'Consumable Usage'!$D:$D,12))</f>
        <v/>
      </c>
      <c r="DP98" s="12" t="str">
        <f>IF($A98="","",SUMIFS('Nursing Charges'!$I:$I,'Nursing Charges'!$A:$A,$A98,'Nursing Charges'!$C:$C,12))</f>
        <v/>
      </c>
      <c r="DQ98" s="12" t="str">
        <f>IF($A98="","",DN98+(DP98-SUMIFS('Nursing Charges'!$J:$J,'Nursing Charges'!$A:$A,$A98,'Nursing Charges'!$C:$C,12))+(DO98-SUMIFS('Consumable Usage'!$F:$F,'Consumable Usage'!$A:$A,$A98,'Consumable Usage'!$D:$D,12)))</f>
        <v/>
      </c>
      <c r="DR98" s="12" t="str">
        <f t="shared" si="34"/>
        <v/>
      </c>
      <c r="DS98" s="20"/>
      <c r="DT98" s="12" t="str">
        <f t="shared" si="35"/>
        <v/>
      </c>
      <c r="DU98" s="45" t="str">
        <f t="shared" si="36"/>
        <v/>
      </c>
      <c r="DV98" s="15"/>
      <c r="DW98" s="15"/>
      <c r="DX98" s="20"/>
      <c r="DY98" s="12" t="str">
        <f>IF($A98="","",SUMIFS('Consumable Usage'!$E:$E,'Consumable Usage'!$A:$A,$A98,'Consumable Usage'!$D:$D,13))</f>
        <v/>
      </c>
      <c r="DZ98" s="12" t="str">
        <f>IF($A98="","",SUMIFS('Nursing Charges'!$I:$I,'Nursing Charges'!$A:$A,$A98,'Nursing Charges'!$C:$C,13))</f>
        <v/>
      </c>
      <c r="EA98" s="12" t="str">
        <f>IF($A98="","",DX98+(DZ98-SUMIFS('Nursing Charges'!$J:$J,'Nursing Charges'!$A:$A,$A98,'Nursing Charges'!$C:$C,13))+(DY98-SUMIFS('Consumable Usage'!$F:$F,'Consumable Usage'!$A:$A,$A98,'Consumable Usage'!$D:$D,13)))</f>
        <v/>
      </c>
      <c r="EB98" s="12" t="str">
        <f t="shared" si="37"/>
        <v/>
      </c>
      <c r="EC98" s="20"/>
      <c r="ED98" s="12" t="str">
        <f t="shared" si="38"/>
        <v/>
      </c>
      <c r="EE98" s="45" t="str">
        <f t="shared" si="39"/>
        <v/>
      </c>
      <c r="EF98" s="15"/>
      <c r="EG98" s="15"/>
      <c r="EH98" s="20"/>
      <c r="EI98" s="12" t="str">
        <f>IF($A98="","",SUMIFS('Consumable Usage'!$E:$E,'Consumable Usage'!$A:$A,$A98,'Consumable Usage'!$D:$D,14))</f>
        <v/>
      </c>
      <c r="EJ98" s="12" t="str">
        <f>IF($A98="","",SUMIFS('Nursing Charges'!$I:$I,'Nursing Charges'!$A:$A,$A98,'Nursing Charges'!$C:$C,14))</f>
        <v/>
      </c>
      <c r="EK98" s="12" t="str">
        <f>IF($A98="","",EH98+(EJ98-SUMIFS('Nursing Charges'!$J:$J,'Nursing Charges'!$A:$A,$A98,'Nursing Charges'!$C:$C,14))+(EI98-SUMIFS('Consumable Usage'!$F:$F,'Consumable Usage'!$A:$A,$A98,'Consumable Usage'!$D:$D,14)))</f>
        <v/>
      </c>
      <c r="EL98" s="12" t="str">
        <f t="shared" si="40"/>
        <v/>
      </c>
      <c r="EM98" s="20"/>
      <c r="EN98" s="12" t="str">
        <f t="shared" si="41"/>
        <v/>
      </c>
      <c r="EO98" s="45" t="str">
        <f t="shared" si="42"/>
        <v/>
      </c>
      <c r="EP98" s="15"/>
      <c r="EQ98" s="15"/>
      <c r="ER98" s="20"/>
      <c r="ES98" s="12" t="str">
        <f>IF($A98="","",SUMIFS('Consumable Usage'!$E:$E,'Consumable Usage'!$A:$A,$A98,'Consumable Usage'!$D:$D,15))</f>
        <v/>
      </c>
      <c r="ET98" s="12" t="str">
        <f>IF($A98="","",SUMIFS('Nursing Charges'!$I:$I,'Nursing Charges'!$A:$A,$A98,'Nursing Charges'!$C:$C,15))</f>
        <v/>
      </c>
      <c r="EU98" s="12" t="str">
        <f>IF($A98="","",ER98+(ET98-SUMIFS('Nursing Charges'!$J:$J,'Nursing Charges'!$A:$A,$A98,'Nursing Charges'!$C:$C,15))+(ES98-SUMIFS('Consumable Usage'!$F:$F,'Consumable Usage'!$A:$A,$A98,'Consumable Usage'!$D:$D,15)))</f>
        <v/>
      </c>
      <c r="EV98" s="12" t="str">
        <f t="shared" si="43"/>
        <v/>
      </c>
      <c r="EW98" s="20"/>
      <c r="EX98" s="12" t="str">
        <f t="shared" si="44"/>
        <v/>
      </c>
      <c r="EY98" s="45" t="str">
        <f t="shared" si="45"/>
        <v/>
      </c>
      <c r="EZ98" s="15"/>
      <c r="FA98" s="15"/>
      <c r="FB98" s="20"/>
      <c r="FC98" s="12" t="str">
        <f>IF($A98="","",SUMIFS('Consumable Usage'!$E:$E,'Consumable Usage'!$A:$A,$A98,'Consumable Usage'!$D:$D,16))</f>
        <v/>
      </c>
      <c r="FD98" s="12" t="str">
        <f>IF($A98="","",SUMIFS('Nursing Charges'!$I:$I,'Nursing Charges'!$A:$A,$A98,'Nursing Charges'!$C:$C,16))</f>
        <v/>
      </c>
      <c r="FE98" s="12" t="str">
        <f>IF($A98="","",FB98+(FD98-SUMIFS('Nursing Charges'!$J:$J,'Nursing Charges'!$A:$A,$A98,'Nursing Charges'!$C:$C,16))+(FC98-SUMIFS('Consumable Usage'!$F:$F,'Consumable Usage'!$A:$A,$A98,'Consumable Usage'!$D:$D,16)))</f>
        <v/>
      </c>
      <c r="FF98" s="12" t="str">
        <f t="shared" si="46"/>
        <v/>
      </c>
      <c r="FG98" s="20"/>
      <c r="FH98" s="12" t="str">
        <f t="shared" si="47"/>
        <v/>
      </c>
      <c r="FI98" s="45" t="str">
        <f t="shared" si="48"/>
        <v/>
      </c>
      <c r="FJ98" s="53"/>
      <c r="FK98" s="53"/>
      <c r="FL98" s="63"/>
      <c r="FM98" s="63" t="str">
        <f>IF($A98="","",SUMIFS('Consumable Usage'!$E:$E,'Consumable Usage'!$A:$A,$A98,'Consumable Usage'!$D:$D,16))</f>
        <v/>
      </c>
      <c r="FN98" s="63" t="str">
        <f>IF($A98="","",SUMIFS('Nursing Charges'!$I:$I,'Nursing Charges'!$A:$A,$A98,'Nursing Charges'!$C:$C,16))</f>
        <v/>
      </c>
      <c r="FO98" s="63" t="str">
        <f>IF($A98="","",FL98+(FN98-SUMIFS('Nursing Charges'!$J:$J,'Nursing Charges'!$A:$A,$A98,'Nursing Charges'!$C:$C,16))+(FM98-SUMIFS('Consumable Usage'!$F:$F,'Consumable Usage'!$A:$A,$A98,'Consumable Usage'!$D:$D,16)))</f>
        <v/>
      </c>
      <c r="FP98" s="63" t="str">
        <f t="shared" si="49"/>
        <v/>
      </c>
      <c r="FQ98" s="63"/>
      <c r="FR98" s="63" t="str">
        <f t="shared" si="50"/>
        <v/>
      </c>
      <c r="FS98" s="53" t="str">
        <f t="shared" si="51"/>
        <v/>
      </c>
    </row>
    <row r="99" ht="15.0" customHeight="1">
      <c r="A99" s="15"/>
      <c r="B99" s="15"/>
      <c r="C99" s="15"/>
      <c r="D99" s="15"/>
      <c r="E99" s="15"/>
      <c r="F99" s="15"/>
      <c r="G99" s="15"/>
      <c r="H99" s="20"/>
      <c r="I99" s="12" t="str">
        <f>IF($A99="","",SUMIFS('Consumable Usage'!$E:$E,'Consumable Usage'!$A:$A,$A99,'Consumable Usage'!$D:$D,1))</f>
        <v/>
      </c>
      <c r="J99" s="12" t="str">
        <f>IF($A99="","",SUMIFS('Nursing Charges'!$I:$I,'Nursing Charges'!$A:$A,$A99,'Nursing Charges'!$C:$C,1))</f>
        <v/>
      </c>
      <c r="K99" s="12" t="str">
        <f>IF($A99="","",H99+(J99-SUMIFS('Nursing Charges'!$J:$J,'Nursing Charges'!$A:$A,$A99,'Nursing Charges'!$C:$C,1))+(I99-SUMIFS('Consumable Usage'!$F:$F,'Consumable Usage'!$A:$A,$A99,'Consumable Usage'!$D:$D,1)))</f>
        <v/>
      </c>
      <c r="L99" s="12" t="str">
        <f t="shared" si="1"/>
        <v/>
      </c>
      <c r="M99" s="20"/>
      <c r="N99" s="12" t="str">
        <f t="shared" si="2"/>
        <v/>
      </c>
      <c r="O99" s="45" t="str">
        <f t="shared" si="3"/>
        <v/>
      </c>
      <c r="P99" s="15"/>
      <c r="Q99" s="15"/>
      <c r="R99" s="20"/>
      <c r="S99" s="12" t="str">
        <f>IF($A99="","",SUMIFS('Consumable Usage'!$E:$E,'Consumable Usage'!$A:$A,$A99,'Consumable Usage'!$D:$D,2))</f>
        <v/>
      </c>
      <c r="T99" s="12" t="str">
        <f>IF($A99="","",SUMIFS('Nursing Charges'!$I:$I,'Nursing Charges'!$A:$A,$A99,'Nursing Charges'!$C:$C,2))</f>
        <v/>
      </c>
      <c r="U99" s="12" t="str">
        <f>IF($A99="","",R99+(T99-SUMIFS('Nursing Charges'!$J:$J,'Nursing Charges'!$A:$A,$A99,'Nursing Charges'!$C:$C,2))+(S99-SUMIFS('Consumable Usage'!$F:$F,'Consumable Usage'!$A:$A,$A99,'Consumable Usage'!$D:$D,2)))</f>
        <v/>
      </c>
      <c r="V99" s="12" t="str">
        <f t="shared" si="4"/>
        <v/>
      </c>
      <c r="W99" s="20"/>
      <c r="X99" s="12" t="str">
        <f t="shared" si="5"/>
        <v/>
      </c>
      <c r="Y99" s="45" t="str">
        <f t="shared" si="6"/>
        <v/>
      </c>
      <c r="Z99" s="15"/>
      <c r="AA99" s="15"/>
      <c r="AB99" s="20"/>
      <c r="AC99" s="12" t="str">
        <f>IF($A99="","",SUMIFS('Consumable Usage'!$E:$E,'Consumable Usage'!$A:$A,$A99,'Consumable Usage'!$D:$D,3))</f>
        <v/>
      </c>
      <c r="AD99" s="12" t="str">
        <f>IF($A99="","",SUMIFS('Nursing Charges'!$I:$I,'Nursing Charges'!$A:$A,$A99,'Nursing Charges'!$C:$C,3))</f>
        <v/>
      </c>
      <c r="AE99" s="12" t="str">
        <f>IF($A99="","",AB99+(AD99-SUMIFS('Nursing Charges'!$J:$J,'Nursing Charges'!$A:$A,$A99,'Nursing Charges'!$C:$C,3))+(AC99-SUMIFS('Consumable Usage'!$F:$F,'Consumable Usage'!$A:$A,$A99,'Consumable Usage'!$D:$D,3)))</f>
        <v/>
      </c>
      <c r="AF99" s="12" t="str">
        <f t="shared" si="7"/>
        <v/>
      </c>
      <c r="AG99" s="20"/>
      <c r="AH99" s="12" t="str">
        <f t="shared" si="8"/>
        <v/>
      </c>
      <c r="AI99" s="45" t="str">
        <f t="shared" si="9"/>
        <v/>
      </c>
      <c r="AJ99" s="15"/>
      <c r="AK99" s="15"/>
      <c r="AL99" s="20"/>
      <c r="AM99" s="12" t="str">
        <f>IF($A99="","",SUMIFS('Consumable Usage'!$E:$E,'Consumable Usage'!$A:$A,$A99,'Consumable Usage'!$D:$D,4))</f>
        <v/>
      </c>
      <c r="AN99" s="12" t="str">
        <f>IF($A99="","",SUMIFS('Nursing Charges'!$I:$I,'Nursing Charges'!$A:$A,$A99,'Nursing Charges'!$C:$C,4))</f>
        <v/>
      </c>
      <c r="AO99" s="12" t="str">
        <f>IF($A99="","",AL99+(AN99-SUMIFS('Nursing Charges'!$J:$J,'Nursing Charges'!$A:$A,$A99,'Nursing Charges'!$C:$C,4))+(AM99-SUMIFS('Consumable Usage'!$F:$F,'Consumable Usage'!$A:$A,$A99,'Consumable Usage'!$D:$D,4)))</f>
        <v/>
      </c>
      <c r="AP99" s="12" t="str">
        <f t="shared" si="10"/>
        <v/>
      </c>
      <c r="AQ99" s="20"/>
      <c r="AR99" s="12" t="str">
        <f t="shared" si="11"/>
        <v/>
      </c>
      <c r="AS99" s="45" t="str">
        <f t="shared" si="12"/>
        <v/>
      </c>
      <c r="AT99" s="15"/>
      <c r="AU99" s="15"/>
      <c r="AV99" s="20"/>
      <c r="AW99" s="12" t="str">
        <f>IF($A99="","",SUMIFS('Consumable Usage'!$E:$E,'Consumable Usage'!$A:$A,$A99,'Consumable Usage'!$D:$D,5))</f>
        <v/>
      </c>
      <c r="AX99" s="12" t="str">
        <f>IF($A99="","",SUMIFS('Nursing Charges'!$I:$I,'Nursing Charges'!$A:$A,$A99,'Nursing Charges'!$C:$C,5))</f>
        <v/>
      </c>
      <c r="AY99" s="12" t="str">
        <f>IF($A99="","",AV99+(AX99-SUMIFS('Nursing Charges'!$J:$J,'Nursing Charges'!$A:$A,$A99,'Nursing Charges'!$C:$C,5))+(AW99-SUMIFS('Consumable Usage'!$F:$F,'Consumable Usage'!$A:$A,$A99,'Consumable Usage'!$D:$D,5)))</f>
        <v/>
      </c>
      <c r="AZ99" s="12" t="str">
        <f t="shared" si="13"/>
        <v/>
      </c>
      <c r="BA99" s="20"/>
      <c r="BB99" s="12" t="str">
        <f t="shared" si="14"/>
        <v/>
      </c>
      <c r="BC99" s="45" t="str">
        <f t="shared" si="15"/>
        <v/>
      </c>
      <c r="BD99" s="15"/>
      <c r="BE99" s="15"/>
      <c r="BF99" s="20"/>
      <c r="BG99" s="12" t="str">
        <f>IF($A99="","",SUMIFS('Consumable Usage'!$E:$E,'Consumable Usage'!$A:$A,$A99,'Consumable Usage'!$D:$D,6))</f>
        <v/>
      </c>
      <c r="BH99" s="12" t="str">
        <f>IF($A99="","",SUMIFS('Nursing Charges'!$I:$I,'Nursing Charges'!$A:$A,$A99,'Nursing Charges'!$C:$C,6))</f>
        <v/>
      </c>
      <c r="BI99" s="12" t="str">
        <f>IF($A99="","",BF99+(BH99-SUMIFS('Nursing Charges'!$J:$J,'Nursing Charges'!$A:$A,$A99,'Nursing Charges'!$C:$C,6))+(BG99-SUMIFS('Consumable Usage'!$F:$F,'Consumable Usage'!$A:$A,$A99,'Consumable Usage'!$D:$D,6)))</f>
        <v/>
      </c>
      <c r="BJ99" s="12" t="str">
        <f t="shared" si="16"/>
        <v/>
      </c>
      <c r="BK99" s="20"/>
      <c r="BL99" s="12" t="str">
        <f t="shared" si="17"/>
        <v/>
      </c>
      <c r="BM99" s="45" t="str">
        <f t="shared" si="18"/>
        <v/>
      </c>
      <c r="BN99" s="15"/>
      <c r="BO99" s="15"/>
      <c r="BP99" s="20"/>
      <c r="BQ99" s="12" t="str">
        <f>IF($A99="","",SUMIFS('Consumable Usage'!$E:$E,'Consumable Usage'!$A:$A,$A99,'Consumable Usage'!$D:$D,7))</f>
        <v/>
      </c>
      <c r="BR99" s="12" t="str">
        <f>IF($A99="","",SUMIFS('Nursing Charges'!$I:$I,'Nursing Charges'!$A:$A,$A99,'Nursing Charges'!$C:$C,7))</f>
        <v/>
      </c>
      <c r="BS99" s="12" t="str">
        <f>IF($A99="","",BP99+(BR99-SUMIFS('Nursing Charges'!$J:$J,'Nursing Charges'!$A:$A,$A99,'Nursing Charges'!$C:$C,7))+(BQ99-SUMIFS('Consumable Usage'!$F:$F,'Consumable Usage'!$A:$A,$A99,'Consumable Usage'!$D:$D,7)))</f>
        <v/>
      </c>
      <c r="BT99" s="12" t="str">
        <f t="shared" si="19"/>
        <v/>
      </c>
      <c r="BU99" s="20"/>
      <c r="BV99" s="12" t="str">
        <f t="shared" si="20"/>
        <v/>
      </c>
      <c r="BW99" s="45" t="str">
        <f t="shared" si="21"/>
        <v/>
      </c>
      <c r="BX99" s="15"/>
      <c r="BY99" s="15"/>
      <c r="BZ99" s="20"/>
      <c r="CA99" s="12" t="str">
        <f>IF($A99="","",SUMIFS('Consumable Usage'!$E:$E,'Consumable Usage'!$A:$A,$A99,'Consumable Usage'!$D:$D,8))</f>
        <v/>
      </c>
      <c r="CB99" s="12" t="str">
        <f>IF($A99="","",SUMIFS('Nursing Charges'!$I:$I,'Nursing Charges'!$A:$A,$A99,'Nursing Charges'!$C:$C,8))</f>
        <v/>
      </c>
      <c r="CC99" s="12" t="str">
        <f>IF($A99="","",BZ99+(CB99-SUMIFS('Nursing Charges'!$J:$J,'Nursing Charges'!$A:$A,$A99,'Nursing Charges'!$C:$C,8))+(CA99-SUMIFS('Consumable Usage'!$F:$F,'Consumable Usage'!$A:$A,$A99,'Consumable Usage'!$D:$D,8)))</f>
        <v/>
      </c>
      <c r="CD99" s="12" t="str">
        <f t="shared" si="22"/>
        <v/>
      </c>
      <c r="CE99" s="20"/>
      <c r="CF99" s="12" t="str">
        <f t="shared" si="23"/>
        <v/>
      </c>
      <c r="CG99" s="45" t="str">
        <f t="shared" si="24"/>
        <v/>
      </c>
      <c r="CH99" s="15"/>
      <c r="CI99" s="15"/>
      <c r="CJ99" s="20"/>
      <c r="CK99" s="12" t="str">
        <f>IF($A99="","",SUMIFS('Consumable Usage'!$E:$E,'Consumable Usage'!$A:$A,$A99,'Consumable Usage'!$D:$D,9))</f>
        <v/>
      </c>
      <c r="CL99" s="12" t="str">
        <f>IF($A99="","",SUMIFS('Nursing Charges'!$I:$I,'Nursing Charges'!$A:$A,$A99,'Nursing Charges'!$C:$C,9))</f>
        <v/>
      </c>
      <c r="CM99" s="12" t="str">
        <f>IF($A99="","",CJ99+(CL99-SUMIFS('Nursing Charges'!$J:$J,'Nursing Charges'!$A:$A,$A99,'Nursing Charges'!$C:$C,9))+(CK99-SUMIFS('Consumable Usage'!$F:$F,'Consumable Usage'!$A:$A,$A99,'Consumable Usage'!$D:$D,9)))</f>
        <v/>
      </c>
      <c r="CN99" s="12" t="str">
        <f t="shared" si="25"/>
        <v/>
      </c>
      <c r="CO99" s="20"/>
      <c r="CP99" s="12" t="str">
        <f t="shared" si="26"/>
        <v/>
      </c>
      <c r="CQ99" s="45" t="str">
        <f t="shared" si="27"/>
        <v/>
      </c>
      <c r="CR99" s="15"/>
      <c r="CS99" s="15"/>
      <c r="CT99" s="20"/>
      <c r="CU99" s="12" t="str">
        <f>IF($A99="","",SUMIFS('Consumable Usage'!$E:$E,'Consumable Usage'!$A:$A,$A99,'Consumable Usage'!$D:$D,10))</f>
        <v/>
      </c>
      <c r="CV99" s="12" t="str">
        <f>IF($A99="","",SUMIFS('Nursing Charges'!$I:$I,'Nursing Charges'!$A:$A,$A99,'Nursing Charges'!$C:$C,10))</f>
        <v/>
      </c>
      <c r="CW99" s="12" t="str">
        <f>IF($A99="","",CT99+(CV99-SUMIFS('Nursing Charges'!$J:$J,'Nursing Charges'!$A:$A,$A99,'Nursing Charges'!$C:$C,10))+(CU99-SUMIFS('Consumable Usage'!$F:$F,'Consumable Usage'!$A:$A,$A99,'Consumable Usage'!$D:$D,10)))</f>
        <v/>
      </c>
      <c r="CX99" s="12" t="str">
        <f t="shared" si="28"/>
        <v/>
      </c>
      <c r="CY99" s="20"/>
      <c r="CZ99" s="12" t="str">
        <f t="shared" si="29"/>
        <v/>
      </c>
      <c r="DA99" s="45" t="str">
        <f t="shared" si="30"/>
        <v/>
      </c>
      <c r="DB99" s="15"/>
      <c r="DC99" s="15"/>
      <c r="DD99" s="20"/>
      <c r="DE99" s="12" t="str">
        <f>IF($A99="","",SUMIFS('Consumable Usage'!$E:$E,'Consumable Usage'!$A:$A,$A99,'Consumable Usage'!$D:$D,11))</f>
        <v/>
      </c>
      <c r="DF99" s="12" t="str">
        <f>IF($A99="","",SUMIFS('Nursing Charges'!$I:$I,'Nursing Charges'!$A:$A,$A99,'Nursing Charges'!$C:$C,11))</f>
        <v/>
      </c>
      <c r="DG99" s="12" t="str">
        <f>IF($A99="","",DD99+(DF99-SUMIFS('Nursing Charges'!$J:$J,'Nursing Charges'!$A:$A,$A99,'Nursing Charges'!$C:$C,11))+(DE99-SUMIFS('Consumable Usage'!$F:$F,'Consumable Usage'!$A:$A,$A99,'Consumable Usage'!$D:$D,11)))</f>
        <v/>
      </c>
      <c r="DH99" s="12" t="str">
        <f t="shared" si="31"/>
        <v/>
      </c>
      <c r="DI99" s="20"/>
      <c r="DJ99" s="12" t="str">
        <f t="shared" si="32"/>
        <v/>
      </c>
      <c r="DK99" s="45" t="str">
        <f t="shared" si="33"/>
        <v/>
      </c>
      <c r="DL99" s="15"/>
      <c r="DM99" s="15"/>
      <c r="DN99" s="20"/>
      <c r="DO99" s="12" t="str">
        <f>IF($A99="","",SUMIFS('Consumable Usage'!$E:$E,'Consumable Usage'!$A:$A,$A99,'Consumable Usage'!$D:$D,12))</f>
        <v/>
      </c>
      <c r="DP99" s="12" t="str">
        <f>IF($A99="","",SUMIFS('Nursing Charges'!$I:$I,'Nursing Charges'!$A:$A,$A99,'Nursing Charges'!$C:$C,12))</f>
        <v/>
      </c>
      <c r="DQ99" s="12" t="str">
        <f>IF($A99="","",DN99+(DP99-SUMIFS('Nursing Charges'!$J:$J,'Nursing Charges'!$A:$A,$A99,'Nursing Charges'!$C:$C,12))+(DO99-SUMIFS('Consumable Usage'!$F:$F,'Consumable Usage'!$A:$A,$A99,'Consumable Usage'!$D:$D,12)))</f>
        <v/>
      </c>
      <c r="DR99" s="12" t="str">
        <f t="shared" si="34"/>
        <v/>
      </c>
      <c r="DS99" s="20"/>
      <c r="DT99" s="12" t="str">
        <f t="shared" si="35"/>
        <v/>
      </c>
      <c r="DU99" s="45" t="str">
        <f t="shared" si="36"/>
        <v/>
      </c>
      <c r="DV99" s="15"/>
      <c r="DW99" s="15"/>
      <c r="DX99" s="20"/>
      <c r="DY99" s="12" t="str">
        <f>IF($A99="","",SUMIFS('Consumable Usage'!$E:$E,'Consumable Usage'!$A:$A,$A99,'Consumable Usage'!$D:$D,13))</f>
        <v/>
      </c>
      <c r="DZ99" s="12" t="str">
        <f>IF($A99="","",SUMIFS('Nursing Charges'!$I:$I,'Nursing Charges'!$A:$A,$A99,'Nursing Charges'!$C:$C,13))</f>
        <v/>
      </c>
      <c r="EA99" s="12" t="str">
        <f>IF($A99="","",DX99+(DZ99-SUMIFS('Nursing Charges'!$J:$J,'Nursing Charges'!$A:$A,$A99,'Nursing Charges'!$C:$C,13))+(DY99-SUMIFS('Consumable Usage'!$F:$F,'Consumable Usage'!$A:$A,$A99,'Consumable Usage'!$D:$D,13)))</f>
        <v/>
      </c>
      <c r="EB99" s="12" t="str">
        <f t="shared" si="37"/>
        <v/>
      </c>
      <c r="EC99" s="20"/>
      <c r="ED99" s="12" t="str">
        <f t="shared" si="38"/>
        <v/>
      </c>
      <c r="EE99" s="45" t="str">
        <f t="shared" si="39"/>
        <v/>
      </c>
      <c r="EF99" s="15"/>
      <c r="EG99" s="15"/>
      <c r="EH99" s="20"/>
      <c r="EI99" s="12" t="str">
        <f>IF($A99="","",SUMIFS('Consumable Usage'!$E:$E,'Consumable Usage'!$A:$A,$A99,'Consumable Usage'!$D:$D,14))</f>
        <v/>
      </c>
      <c r="EJ99" s="12" t="str">
        <f>IF($A99="","",SUMIFS('Nursing Charges'!$I:$I,'Nursing Charges'!$A:$A,$A99,'Nursing Charges'!$C:$C,14))</f>
        <v/>
      </c>
      <c r="EK99" s="12" t="str">
        <f>IF($A99="","",EH99+(EJ99-SUMIFS('Nursing Charges'!$J:$J,'Nursing Charges'!$A:$A,$A99,'Nursing Charges'!$C:$C,14))+(EI99-SUMIFS('Consumable Usage'!$F:$F,'Consumable Usage'!$A:$A,$A99,'Consumable Usage'!$D:$D,14)))</f>
        <v/>
      </c>
      <c r="EL99" s="12" t="str">
        <f t="shared" si="40"/>
        <v/>
      </c>
      <c r="EM99" s="20"/>
      <c r="EN99" s="12" t="str">
        <f t="shared" si="41"/>
        <v/>
      </c>
      <c r="EO99" s="45" t="str">
        <f t="shared" si="42"/>
        <v/>
      </c>
      <c r="EP99" s="15"/>
      <c r="EQ99" s="15"/>
      <c r="ER99" s="20"/>
      <c r="ES99" s="12" t="str">
        <f>IF($A99="","",SUMIFS('Consumable Usage'!$E:$E,'Consumable Usage'!$A:$A,$A99,'Consumable Usage'!$D:$D,15))</f>
        <v/>
      </c>
      <c r="ET99" s="12" t="str">
        <f>IF($A99="","",SUMIFS('Nursing Charges'!$I:$I,'Nursing Charges'!$A:$A,$A99,'Nursing Charges'!$C:$C,15))</f>
        <v/>
      </c>
      <c r="EU99" s="12" t="str">
        <f>IF($A99="","",ER99+(ET99-SUMIFS('Nursing Charges'!$J:$J,'Nursing Charges'!$A:$A,$A99,'Nursing Charges'!$C:$C,15))+(ES99-SUMIFS('Consumable Usage'!$F:$F,'Consumable Usage'!$A:$A,$A99,'Consumable Usage'!$D:$D,15)))</f>
        <v/>
      </c>
      <c r="EV99" s="12" t="str">
        <f t="shared" si="43"/>
        <v/>
      </c>
      <c r="EW99" s="20"/>
      <c r="EX99" s="12" t="str">
        <f t="shared" si="44"/>
        <v/>
      </c>
      <c r="EY99" s="45" t="str">
        <f t="shared" si="45"/>
        <v/>
      </c>
      <c r="EZ99" s="15"/>
      <c r="FA99" s="15"/>
      <c r="FB99" s="20"/>
      <c r="FC99" s="12" t="str">
        <f>IF($A99="","",SUMIFS('Consumable Usage'!$E:$E,'Consumable Usage'!$A:$A,$A99,'Consumable Usage'!$D:$D,16))</f>
        <v/>
      </c>
      <c r="FD99" s="12" t="str">
        <f>IF($A99="","",SUMIFS('Nursing Charges'!$I:$I,'Nursing Charges'!$A:$A,$A99,'Nursing Charges'!$C:$C,16))</f>
        <v/>
      </c>
      <c r="FE99" s="12" t="str">
        <f>IF($A99="","",FB99+(FD99-SUMIFS('Nursing Charges'!$J:$J,'Nursing Charges'!$A:$A,$A99,'Nursing Charges'!$C:$C,16))+(FC99-SUMIFS('Consumable Usage'!$F:$F,'Consumable Usage'!$A:$A,$A99,'Consumable Usage'!$D:$D,16)))</f>
        <v/>
      </c>
      <c r="FF99" s="12" t="str">
        <f t="shared" si="46"/>
        <v/>
      </c>
      <c r="FG99" s="20"/>
      <c r="FH99" s="12" t="str">
        <f t="shared" si="47"/>
        <v/>
      </c>
      <c r="FI99" s="45" t="str">
        <f t="shared" si="48"/>
        <v/>
      </c>
      <c r="FJ99" s="53"/>
      <c r="FK99" s="53"/>
      <c r="FL99" s="63"/>
      <c r="FM99" s="63" t="str">
        <f>IF($A99="","",SUMIFS('Consumable Usage'!$E:$E,'Consumable Usage'!$A:$A,$A99,'Consumable Usage'!$D:$D,16))</f>
        <v/>
      </c>
      <c r="FN99" s="63" t="str">
        <f>IF($A99="","",SUMIFS('Nursing Charges'!$I:$I,'Nursing Charges'!$A:$A,$A99,'Nursing Charges'!$C:$C,16))</f>
        <v/>
      </c>
      <c r="FO99" s="63" t="str">
        <f>IF($A99="","",FL99+(FN99-SUMIFS('Nursing Charges'!$J:$J,'Nursing Charges'!$A:$A,$A99,'Nursing Charges'!$C:$C,16))+(FM99-SUMIFS('Consumable Usage'!$F:$F,'Consumable Usage'!$A:$A,$A99,'Consumable Usage'!$D:$D,16)))</f>
        <v/>
      </c>
      <c r="FP99" s="63" t="str">
        <f t="shared" si="49"/>
        <v/>
      </c>
      <c r="FQ99" s="63"/>
      <c r="FR99" s="63" t="str">
        <f t="shared" si="50"/>
        <v/>
      </c>
      <c r="FS99" s="53" t="str">
        <f t="shared" si="51"/>
        <v/>
      </c>
    </row>
    <row r="100" ht="15.0" customHeight="1">
      <c r="A100" s="15"/>
      <c r="B100" s="15"/>
      <c r="C100" s="15"/>
      <c r="D100" s="15"/>
      <c r="E100" s="15"/>
      <c r="F100" s="15"/>
      <c r="G100" s="15"/>
      <c r="H100" s="20"/>
      <c r="I100" s="12" t="str">
        <f>IF($A100="","",SUMIFS('Consumable Usage'!$E:$E,'Consumable Usage'!$A:$A,$A100,'Consumable Usage'!$D:$D,1))</f>
        <v/>
      </c>
      <c r="J100" s="12" t="str">
        <f>IF($A100="","",SUMIFS('Nursing Charges'!$I:$I,'Nursing Charges'!$A:$A,$A100,'Nursing Charges'!$C:$C,1))</f>
        <v/>
      </c>
      <c r="K100" s="12" t="str">
        <f>IF($A100="","",H100+(J100-SUMIFS('Nursing Charges'!$J:$J,'Nursing Charges'!$A:$A,$A100,'Nursing Charges'!$C:$C,1))+(I100-SUMIFS('Consumable Usage'!$F:$F,'Consumable Usage'!$A:$A,$A100,'Consumable Usage'!$D:$D,1)))</f>
        <v/>
      </c>
      <c r="L100" s="12" t="str">
        <f t="shared" si="1"/>
        <v/>
      </c>
      <c r="M100" s="20"/>
      <c r="N100" s="12" t="str">
        <f t="shared" si="2"/>
        <v/>
      </c>
      <c r="O100" s="45" t="str">
        <f t="shared" si="3"/>
        <v/>
      </c>
      <c r="P100" s="15"/>
      <c r="Q100" s="15"/>
      <c r="R100" s="20"/>
      <c r="S100" s="12" t="str">
        <f>IF($A100="","",SUMIFS('Consumable Usage'!$E:$E,'Consumable Usage'!$A:$A,$A100,'Consumable Usage'!$D:$D,2))</f>
        <v/>
      </c>
      <c r="T100" s="12" t="str">
        <f>IF($A100="","",SUMIFS('Nursing Charges'!$I:$I,'Nursing Charges'!$A:$A,$A100,'Nursing Charges'!$C:$C,2))</f>
        <v/>
      </c>
      <c r="U100" s="12" t="str">
        <f>IF($A100="","",R100+(T100-SUMIFS('Nursing Charges'!$J:$J,'Nursing Charges'!$A:$A,$A100,'Nursing Charges'!$C:$C,2))+(S100-SUMIFS('Consumable Usage'!$F:$F,'Consumable Usage'!$A:$A,$A100,'Consumable Usage'!$D:$D,2)))</f>
        <v/>
      </c>
      <c r="V100" s="12" t="str">
        <f t="shared" si="4"/>
        <v/>
      </c>
      <c r="W100" s="20"/>
      <c r="X100" s="12" t="str">
        <f t="shared" si="5"/>
        <v/>
      </c>
      <c r="Y100" s="45" t="str">
        <f t="shared" si="6"/>
        <v/>
      </c>
      <c r="Z100" s="15"/>
      <c r="AA100" s="15"/>
      <c r="AB100" s="20"/>
      <c r="AC100" s="12" t="str">
        <f>IF($A100="","",SUMIFS('Consumable Usage'!$E:$E,'Consumable Usage'!$A:$A,$A100,'Consumable Usage'!$D:$D,3))</f>
        <v/>
      </c>
      <c r="AD100" s="12" t="str">
        <f>IF($A100="","",SUMIFS('Nursing Charges'!$I:$I,'Nursing Charges'!$A:$A,$A100,'Nursing Charges'!$C:$C,3))</f>
        <v/>
      </c>
      <c r="AE100" s="12" t="str">
        <f>IF($A100="","",AB100+(AD100-SUMIFS('Nursing Charges'!$J:$J,'Nursing Charges'!$A:$A,$A100,'Nursing Charges'!$C:$C,3))+(AC100-SUMIFS('Consumable Usage'!$F:$F,'Consumable Usage'!$A:$A,$A100,'Consumable Usage'!$D:$D,3)))</f>
        <v/>
      </c>
      <c r="AF100" s="12" t="str">
        <f t="shared" si="7"/>
        <v/>
      </c>
      <c r="AG100" s="20"/>
      <c r="AH100" s="12" t="str">
        <f t="shared" si="8"/>
        <v/>
      </c>
      <c r="AI100" s="45" t="str">
        <f t="shared" si="9"/>
        <v/>
      </c>
      <c r="AJ100" s="15"/>
      <c r="AK100" s="15"/>
      <c r="AL100" s="20"/>
      <c r="AM100" s="12" t="str">
        <f>IF($A100="","",SUMIFS('Consumable Usage'!$E:$E,'Consumable Usage'!$A:$A,$A100,'Consumable Usage'!$D:$D,4))</f>
        <v/>
      </c>
      <c r="AN100" s="12" t="str">
        <f>IF($A100="","",SUMIFS('Nursing Charges'!$I:$I,'Nursing Charges'!$A:$A,$A100,'Nursing Charges'!$C:$C,4))</f>
        <v/>
      </c>
      <c r="AO100" s="12" t="str">
        <f>IF($A100="","",AL100+(AN100-SUMIFS('Nursing Charges'!$J:$J,'Nursing Charges'!$A:$A,$A100,'Nursing Charges'!$C:$C,4))+(AM100-SUMIFS('Consumable Usage'!$F:$F,'Consumable Usage'!$A:$A,$A100,'Consumable Usage'!$D:$D,4)))</f>
        <v/>
      </c>
      <c r="AP100" s="12" t="str">
        <f t="shared" si="10"/>
        <v/>
      </c>
      <c r="AQ100" s="20"/>
      <c r="AR100" s="12" t="str">
        <f t="shared" si="11"/>
        <v/>
      </c>
      <c r="AS100" s="45" t="str">
        <f t="shared" si="12"/>
        <v/>
      </c>
      <c r="AT100" s="15"/>
      <c r="AU100" s="15"/>
      <c r="AV100" s="20"/>
      <c r="AW100" s="12" t="str">
        <f>IF($A100="","",SUMIFS('Consumable Usage'!$E:$E,'Consumable Usage'!$A:$A,$A100,'Consumable Usage'!$D:$D,5))</f>
        <v/>
      </c>
      <c r="AX100" s="12" t="str">
        <f>IF($A100="","",SUMIFS('Nursing Charges'!$I:$I,'Nursing Charges'!$A:$A,$A100,'Nursing Charges'!$C:$C,5))</f>
        <v/>
      </c>
      <c r="AY100" s="12" t="str">
        <f>IF($A100="","",AV100+(AX100-SUMIFS('Nursing Charges'!$J:$J,'Nursing Charges'!$A:$A,$A100,'Nursing Charges'!$C:$C,5))+(AW100-SUMIFS('Consumable Usage'!$F:$F,'Consumable Usage'!$A:$A,$A100,'Consumable Usage'!$D:$D,5)))</f>
        <v/>
      </c>
      <c r="AZ100" s="12" t="str">
        <f t="shared" si="13"/>
        <v/>
      </c>
      <c r="BA100" s="20"/>
      <c r="BB100" s="12" t="str">
        <f t="shared" si="14"/>
        <v/>
      </c>
      <c r="BC100" s="45" t="str">
        <f t="shared" si="15"/>
        <v/>
      </c>
      <c r="BD100" s="15"/>
      <c r="BE100" s="15"/>
      <c r="BF100" s="20"/>
      <c r="BG100" s="12" t="str">
        <f>IF($A100="","",SUMIFS('Consumable Usage'!$E:$E,'Consumable Usage'!$A:$A,$A100,'Consumable Usage'!$D:$D,6))</f>
        <v/>
      </c>
      <c r="BH100" s="12" t="str">
        <f>IF($A100="","",SUMIFS('Nursing Charges'!$I:$I,'Nursing Charges'!$A:$A,$A100,'Nursing Charges'!$C:$C,6))</f>
        <v/>
      </c>
      <c r="BI100" s="12" t="str">
        <f>IF($A100="","",BF100+(BH100-SUMIFS('Nursing Charges'!$J:$J,'Nursing Charges'!$A:$A,$A100,'Nursing Charges'!$C:$C,6))+(BG100-SUMIFS('Consumable Usage'!$F:$F,'Consumable Usage'!$A:$A,$A100,'Consumable Usage'!$D:$D,6)))</f>
        <v/>
      </c>
      <c r="BJ100" s="12" t="str">
        <f t="shared" si="16"/>
        <v/>
      </c>
      <c r="BK100" s="20"/>
      <c r="BL100" s="12" t="str">
        <f t="shared" si="17"/>
        <v/>
      </c>
      <c r="BM100" s="45" t="str">
        <f t="shared" si="18"/>
        <v/>
      </c>
      <c r="BN100" s="15"/>
      <c r="BO100" s="15"/>
      <c r="BP100" s="20"/>
      <c r="BQ100" s="12" t="str">
        <f>IF($A100="","",SUMIFS('Consumable Usage'!$E:$E,'Consumable Usage'!$A:$A,$A100,'Consumable Usage'!$D:$D,7))</f>
        <v/>
      </c>
      <c r="BR100" s="12" t="str">
        <f>IF($A100="","",SUMIFS('Nursing Charges'!$I:$I,'Nursing Charges'!$A:$A,$A100,'Nursing Charges'!$C:$C,7))</f>
        <v/>
      </c>
      <c r="BS100" s="12" t="str">
        <f>IF($A100="","",BP100+(BR100-SUMIFS('Nursing Charges'!$J:$J,'Nursing Charges'!$A:$A,$A100,'Nursing Charges'!$C:$C,7))+(BQ100-SUMIFS('Consumable Usage'!$F:$F,'Consumable Usage'!$A:$A,$A100,'Consumable Usage'!$D:$D,7)))</f>
        <v/>
      </c>
      <c r="BT100" s="12" t="str">
        <f t="shared" si="19"/>
        <v/>
      </c>
      <c r="BU100" s="20"/>
      <c r="BV100" s="12" t="str">
        <f t="shared" si="20"/>
        <v/>
      </c>
      <c r="BW100" s="45" t="str">
        <f t="shared" si="21"/>
        <v/>
      </c>
      <c r="BX100" s="15"/>
      <c r="BY100" s="15"/>
      <c r="BZ100" s="20"/>
      <c r="CA100" s="12" t="str">
        <f>IF($A100="","",SUMIFS('Consumable Usage'!$E:$E,'Consumable Usage'!$A:$A,$A100,'Consumable Usage'!$D:$D,8))</f>
        <v/>
      </c>
      <c r="CB100" s="12" t="str">
        <f>IF($A100="","",SUMIFS('Nursing Charges'!$I:$I,'Nursing Charges'!$A:$A,$A100,'Nursing Charges'!$C:$C,8))</f>
        <v/>
      </c>
      <c r="CC100" s="12" t="str">
        <f>IF($A100="","",BZ100+(CB100-SUMIFS('Nursing Charges'!$J:$J,'Nursing Charges'!$A:$A,$A100,'Nursing Charges'!$C:$C,8))+(CA100-SUMIFS('Consumable Usage'!$F:$F,'Consumable Usage'!$A:$A,$A100,'Consumable Usage'!$D:$D,8)))</f>
        <v/>
      </c>
      <c r="CD100" s="12" t="str">
        <f t="shared" si="22"/>
        <v/>
      </c>
      <c r="CE100" s="20"/>
      <c r="CF100" s="12" t="str">
        <f t="shared" si="23"/>
        <v/>
      </c>
      <c r="CG100" s="45" t="str">
        <f t="shared" si="24"/>
        <v/>
      </c>
      <c r="CH100" s="15"/>
      <c r="CI100" s="15"/>
      <c r="CJ100" s="20"/>
      <c r="CK100" s="12" t="str">
        <f>IF($A100="","",SUMIFS('Consumable Usage'!$E:$E,'Consumable Usage'!$A:$A,$A100,'Consumable Usage'!$D:$D,9))</f>
        <v/>
      </c>
      <c r="CL100" s="12" t="str">
        <f>IF($A100="","",SUMIFS('Nursing Charges'!$I:$I,'Nursing Charges'!$A:$A,$A100,'Nursing Charges'!$C:$C,9))</f>
        <v/>
      </c>
      <c r="CM100" s="12" t="str">
        <f>IF($A100="","",CJ100+(CL100-SUMIFS('Nursing Charges'!$J:$J,'Nursing Charges'!$A:$A,$A100,'Nursing Charges'!$C:$C,9))+(CK100-SUMIFS('Consumable Usage'!$F:$F,'Consumable Usage'!$A:$A,$A100,'Consumable Usage'!$D:$D,9)))</f>
        <v/>
      </c>
      <c r="CN100" s="12" t="str">
        <f t="shared" si="25"/>
        <v/>
      </c>
      <c r="CO100" s="20"/>
      <c r="CP100" s="12" t="str">
        <f t="shared" si="26"/>
        <v/>
      </c>
      <c r="CQ100" s="45" t="str">
        <f t="shared" si="27"/>
        <v/>
      </c>
      <c r="CR100" s="15"/>
      <c r="CS100" s="15"/>
      <c r="CT100" s="20"/>
      <c r="CU100" s="12" t="str">
        <f>IF($A100="","",SUMIFS('Consumable Usage'!$E:$E,'Consumable Usage'!$A:$A,$A100,'Consumable Usage'!$D:$D,10))</f>
        <v/>
      </c>
      <c r="CV100" s="12" t="str">
        <f>IF($A100="","",SUMIFS('Nursing Charges'!$I:$I,'Nursing Charges'!$A:$A,$A100,'Nursing Charges'!$C:$C,10))</f>
        <v/>
      </c>
      <c r="CW100" s="12" t="str">
        <f>IF($A100="","",CT100+(CV100-SUMIFS('Nursing Charges'!$J:$J,'Nursing Charges'!$A:$A,$A100,'Nursing Charges'!$C:$C,10))+(CU100-SUMIFS('Consumable Usage'!$F:$F,'Consumable Usage'!$A:$A,$A100,'Consumable Usage'!$D:$D,10)))</f>
        <v/>
      </c>
      <c r="CX100" s="12" t="str">
        <f t="shared" si="28"/>
        <v/>
      </c>
      <c r="CY100" s="20"/>
      <c r="CZ100" s="12" t="str">
        <f t="shared" si="29"/>
        <v/>
      </c>
      <c r="DA100" s="45" t="str">
        <f t="shared" si="30"/>
        <v/>
      </c>
      <c r="DB100" s="15"/>
      <c r="DC100" s="15"/>
      <c r="DD100" s="20"/>
      <c r="DE100" s="12" t="str">
        <f>IF($A100="","",SUMIFS('Consumable Usage'!$E:$E,'Consumable Usage'!$A:$A,$A100,'Consumable Usage'!$D:$D,11))</f>
        <v/>
      </c>
      <c r="DF100" s="12" t="str">
        <f>IF($A100="","",SUMIFS('Nursing Charges'!$I:$I,'Nursing Charges'!$A:$A,$A100,'Nursing Charges'!$C:$C,11))</f>
        <v/>
      </c>
      <c r="DG100" s="12" t="str">
        <f>IF($A100="","",DD100+(DF100-SUMIFS('Nursing Charges'!$J:$J,'Nursing Charges'!$A:$A,$A100,'Nursing Charges'!$C:$C,11))+(DE100-SUMIFS('Consumable Usage'!$F:$F,'Consumable Usage'!$A:$A,$A100,'Consumable Usage'!$D:$D,11)))</f>
        <v/>
      </c>
      <c r="DH100" s="12" t="str">
        <f t="shared" si="31"/>
        <v/>
      </c>
      <c r="DI100" s="20"/>
      <c r="DJ100" s="12" t="str">
        <f t="shared" si="32"/>
        <v/>
      </c>
      <c r="DK100" s="45" t="str">
        <f t="shared" si="33"/>
        <v/>
      </c>
      <c r="DL100" s="15"/>
      <c r="DM100" s="15"/>
      <c r="DN100" s="20"/>
      <c r="DO100" s="12" t="str">
        <f>IF($A100="","",SUMIFS('Consumable Usage'!$E:$E,'Consumable Usage'!$A:$A,$A100,'Consumable Usage'!$D:$D,12))</f>
        <v/>
      </c>
      <c r="DP100" s="12" t="str">
        <f>IF($A100="","",SUMIFS('Nursing Charges'!$I:$I,'Nursing Charges'!$A:$A,$A100,'Nursing Charges'!$C:$C,12))</f>
        <v/>
      </c>
      <c r="DQ100" s="12" t="str">
        <f>IF($A100="","",DN100+(DP100-SUMIFS('Nursing Charges'!$J:$J,'Nursing Charges'!$A:$A,$A100,'Nursing Charges'!$C:$C,12))+(DO100-SUMIFS('Consumable Usage'!$F:$F,'Consumable Usage'!$A:$A,$A100,'Consumable Usage'!$D:$D,12)))</f>
        <v/>
      </c>
      <c r="DR100" s="12" t="str">
        <f t="shared" si="34"/>
        <v/>
      </c>
      <c r="DS100" s="20"/>
      <c r="DT100" s="12" t="str">
        <f t="shared" si="35"/>
        <v/>
      </c>
      <c r="DU100" s="45" t="str">
        <f t="shared" si="36"/>
        <v/>
      </c>
      <c r="DV100" s="15"/>
      <c r="DW100" s="15"/>
      <c r="DX100" s="20"/>
      <c r="DY100" s="12" t="str">
        <f>IF($A100="","",SUMIFS('Consumable Usage'!$E:$E,'Consumable Usage'!$A:$A,$A100,'Consumable Usage'!$D:$D,13))</f>
        <v/>
      </c>
      <c r="DZ100" s="12" t="str">
        <f>IF($A100="","",SUMIFS('Nursing Charges'!$I:$I,'Nursing Charges'!$A:$A,$A100,'Nursing Charges'!$C:$C,13))</f>
        <v/>
      </c>
      <c r="EA100" s="12" t="str">
        <f>IF($A100="","",DX100+(DZ100-SUMIFS('Nursing Charges'!$J:$J,'Nursing Charges'!$A:$A,$A100,'Nursing Charges'!$C:$C,13))+(DY100-SUMIFS('Consumable Usage'!$F:$F,'Consumable Usage'!$A:$A,$A100,'Consumable Usage'!$D:$D,13)))</f>
        <v/>
      </c>
      <c r="EB100" s="12" t="str">
        <f t="shared" si="37"/>
        <v/>
      </c>
      <c r="EC100" s="20"/>
      <c r="ED100" s="12" t="str">
        <f t="shared" si="38"/>
        <v/>
      </c>
      <c r="EE100" s="45" t="str">
        <f t="shared" si="39"/>
        <v/>
      </c>
      <c r="EF100" s="15"/>
      <c r="EG100" s="15"/>
      <c r="EH100" s="20"/>
      <c r="EI100" s="12" t="str">
        <f>IF($A100="","",SUMIFS('Consumable Usage'!$E:$E,'Consumable Usage'!$A:$A,$A100,'Consumable Usage'!$D:$D,14))</f>
        <v/>
      </c>
      <c r="EJ100" s="12" t="str">
        <f>IF($A100="","",SUMIFS('Nursing Charges'!$I:$I,'Nursing Charges'!$A:$A,$A100,'Nursing Charges'!$C:$C,14))</f>
        <v/>
      </c>
      <c r="EK100" s="12" t="str">
        <f>IF($A100="","",EH100+(EJ100-SUMIFS('Nursing Charges'!$J:$J,'Nursing Charges'!$A:$A,$A100,'Nursing Charges'!$C:$C,14))+(EI100-SUMIFS('Consumable Usage'!$F:$F,'Consumable Usage'!$A:$A,$A100,'Consumable Usage'!$D:$D,14)))</f>
        <v/>
      </c>
      <c r="EL100" s="12" t="str">
        <f t="shared" si="40"/>
        <v/>
      </c>
      <c r="EM100" s="20"/>
      <c r="EN100" s="12" t="str">
        <f t="shared" si="41"/>
        <v/>
      </c>
      <c r="EO100" s="45" t="str">
        <f t="shared" si="42"/>
        <v/>
      </c>
      <c r="EP100" s="15"/>
      <c r="EQ100" s="15"/>
      <c r="ER100" s="20"/>
      <c r="ES100" s="12" t="str">
        <f>IF($A100="","",SUMIFS('Consumable Usage'!$E:$E,'Consumable Usage'!$A:$A,$A100,'Consumable Usage'!$D:$D,15))</f>
        <v/>
      </c>
      <c r="ET100" s="12" t="str">
        <f>IF($A100="","",SUMIFS('Nursing Charges'!$I:$I,'Nursing Charges'!$A:$A,$A100,'Nursing Charges'!$C:$C,15))</f>
        <v/>
      </c>
      <c r="EU100" s="12" t="str">
        <f>IF($A100="","",ER100+(ET100-SUMIFS('Nursing Charges'!$J:$J,'Nursing Charges'!$A:$A,$A100,'Nursing Charges'!$C:$C,15))+(ES100-SUMIFS('Consumable Usage'!$F:$F,'Consumable Usage'!$A:$A,$A100,'Consumable Usage'!$D:$D,15)))</f>
        <v/>
      </c>
      <c r="EV100" s="12" t="str">
        <f t="shared" si="43"/>
        <v/>
      </c>
      <c r="EW100" s="20"/>
      <c r="EX100" s="12" t="str">
        <f t="shared" si="44"/>
        <v/>
      </c>
      <c r="EY100" s="45" t="str">
        <f t="shared" si="45"/>
        <v/>
      </c>
      <c r="EZ100" s="15"/>
      <c r="FA100" s="15"/>
      <c r="FB100" s="20"/>
      <c r="FC100" s="12" t="str">
        <f>IF($A100="","",SUMIFS('Consumable Usage'!$E:$E,'Consumable Usage'!$A:$A,$A100,'Consumable Usage'!$D:$D,16))</f>
        <v/>
      </c>
      <c r="FD100" s="12" t="str">
        <f>IF($A100="","",SUMIFS('Nursing Charges'!$I:$I,'Nursing Charges'!$A:$A,$A100,'Nursing Charges'!$C:$C,16))</f>
        <v/>
      </c>
      <c r="FE100" s="12" t="str">
        <f>IF($A100="","",FB100+(FD100-SUMIFS('Nursing Charges'!$J:$J,'Nursing Charges'!$A:$A,$A100,'Nursing Charges'!$C:$C,16))+(FC100-SUMIFS('Consumable Usage'!$F:$F,'Consumable Usage'!$A:$A,$A100,'Consumable Usage'!$D:$D,16)))</f>
        <v/>
      </c>
      <c r="FF100" s="12" t="str">
        <f t="shared" si="46"/>
        <v/>
      </c>
      <c r="FG100" s="20"/>
      <c r="FH100" s="12" t="str">
        <f t="shared" si="47"/>
        <v/>
      </c>
      <c r="FI100" s="45" t="str">
        <f t="shared" si="48"/>
        <v/>
      </c>
      <c r="FJ100" s="53"/>
      <c r="FK100" s="53"/>
      <c r="FL100" s="63"/>
      <c r="FM100" s="63" t="str">
        <f>IF($A100="","",SUMIFS('Consumable Usage'!$E:$E,'Consumable Usage'!$A:$A,$A100,'Consumable Usage'!$D:$D,16))</f>
        <v/>
      </c>
      <c r="FN100" s="63" t="str">
        <f>IF($A100="","",SUMIFS('Nursing Charges'!$I:$I,'Nursing Charges'!$A:$A,$A100,'Nursing Charges'!$C:$C,16))</f>
        <v/>
      </c>
      <c r="FO100" s="63" t="str">
        <f>IF($A100="","",FL100+(FN100-SUMIFS('Nursing Charges'!$J:$J,'Nursing Charges'!$A:$A,$A100,'Nursing Charges'!$C:$C,16))+(FM100-SUMIFS('Consumable Usage'!$F:$F,'Consumable Usage'!$A:$A,$A100,'Consumable Usage'!$D:$D,16)))</f>
        <v/>
      </c>
      <c r="FP100" s="63" t="str">
        <f t="shared" si="49"/>
        <v/>
      </c>
      <c r="FQ100" s="63"/>
      <c r="FR100" s="63" t="str">
        <f t="shared" si="50"/>
        <v/>
      </c>
      <c r="FS100" s="53" t="str">
        <f t="shared" si="51"/>
        <v/>
      </c>
    </row>
    <row r="101" ht="15.0" customHeight="1">
      <c r="A101" s="15"/>
      <c r="B101" s="15"/>
      <c r="C101" s="15"/>
      <c r="D101" s="15"/>
      <c r="E101" s="15"/>
      <c r="F101" s="15"/>
      <c r="G101" s="15"/>
      <c r="H101" s="20"/>
      <c r="I101" s="12" t="str">
        <f>IF($A101="","",SUMIFS('Consumable Usage'!$E:$E,'Consumable Usage'!$A:$A,$A101,'Consumable Usage'!$D:$D,1))</f>
        <v/>
      </c>
      <c r="J101" s="12" t="str">
        <f>IF($A101="","",SUMIFS('Nursing Charges'!$I:$I,'Nursing Charges'!$A:$A,$A101,'Nursing Charges'!$C:$C,1))</f>
        <v/>
      </c>
      <c r="K101" s="12" t="str">
        <f>IF($A101="","",H101+(J101-SUMIFS('Nursing Charges'!$J:$J,'Nursing Charges'!$A:$A,$A101,'Nursing Charges'!$C:$C,1))+(I101-SUMIFS('Consumable Usage'!$F:$F,'Consumable Usage'!$A:$A,$A101,'Consumable Usage'!$D:$D,1)))</f>
        <v/>
      </c>
      <c r="L101" s="12" t="str">
        <f t="shared" si="1"/>
        <v/>
      </c>
      <c r="M101" s="20"/>
      <c r="N101" s="12" t="str">
        <f t="shared" si="2"/>
        <v/>
      </c>
      <c r="O101" s="45" t="str">
        <f t="shared" si="3"/>
        <v/>
      </c>
      <c r="P101" s="15"/>
      <c r="Q101" s="15"/>
      <c r="R101" s="20"/>
      <c r="S101" s="12" t="str">
        <f>IF($A101="","",SUMIFS('Consumable Usage'!$E:$E,'Consumable Usage'!$A:$A,$A101,'Consumable Usage'!$D:$D,2))</f>
        <v/>
      </c>
      <c r="T101" s="12" t="str">
        <f>IF($A101="","",SUMIFS('Nursing Charges'!$I:$I,'Nursing Charges'!$A:$A,$A101,'Nursing Charges'!$C:$C,2))</f>
        <v/>
      </c>
      <c r="U101" s="12" t="str">
        <f>IF($A101="","",R101+(T101-SUMIFS('Nursing Charges'!$J:$J,'Nursing Charges'!$A:$A,$A101,'Nursing Charges'!$C:$C,2))+(S101-SUMIFS('Consumable Usage'!$F:$F,'Consumable Usage'!$A:$A,$A101,'Consumable Usage'!$D:$D,2)))</f>
        <v/>
      </c>
      <c r="V101" s="12" t="str">
        <f t="shared" si="4"/>
        <v/>
      </c>
      <c r="W101" s="20"/>
      <c r="X101" s="12" t="str">
        <f t="shared" si="5"/>
        <v/>
      </c>
      <c r="Y101" s="45" t="str">
        <f t="shared" si="6"/>
        <v/>
      </c>
      <c r="Z101" s="15"/>
      <c r="AA101" s="15"/>
      <c r="AB101" s="20"/>
      <c r="AC101" s="12" t="str">
        <f>IF($A101="","",SUMIFS('Consumable Usage'!$E:$E,'Consumable Usage'!$A:$A,$A101,'Consumable Usage'!$D:$D,3))</f>
        <v/>
      </c>
      <c r="AD101" s="12" t="str">
        <f>IF($A101="","",SUMIFS('Nursing Charges'!$I:$I,'Nursing Charges'!$A:$A,$A101,'Nursing Charges'!$C:$C,3))</f>
        <v/>
      </c>
      <c r="AE101" s="12" t="str">
        <f>IF($A101="","",AB101+(AD101-SUMIFS('Nursing Charges'!$J:$J,'Nursing Charges'!$A:$A,$A101,'Nursing Charges'!$C:$C,3))+(AC101-SUMIFS('Consumable Usage'!$F:$F,'Consumable Usage'!$A:$A,$A101,'Consumable Usage'!$D:$D,3)))</f>
        <v/>
      </c>
      <c r="AF101" s="12" t="str">
        <f t="shared" si="7"/>
        <v/>
      </c>
      <c r="AG101" s="20"/>
      <c r="AH101" s="12" t="str">
        <f t="shared" si="8"/>
        <v/>
      </c>
      <c r="AI101" s="45" t="str">
        <f t="shared" si="9"/>
        <v/>
      </c>
      <c r="AJ101" s="15"/>
      <c r="AK101" s="15"/>
      <c r="AL101" s="20"/>
      <c r="AM101" s="12" t="str">
        <f>IF($A101="","",SUMIFS('Consumable Usage'!$E:$E,'Consumable Usage'!$A:$A,$A101,'Consumable Usage'!$D:$D,4))</f>
        <v/>
      </c>
      <c r="AN101" s="12" t="str">
        <f>IF($A101="","",SUMIFS('Nursing Charges'!$I:$I,'Nursing Charges'!$A:$A,$A101,'Nursing Charges'!$C:$C,4))</f>
        <v/>
      </c>
      <c r="AO101" s="12" t="str">
        <f>IF($A101="","",AL101+(AN101-SUMIFS('Nursing Charges'!$J:$J,'Nursing Charges'!$A:$A,$A101,'Nursing Charges'!$C:$C,4))+(AM101-SUMIFS('Consumable Usage'!$F:$F,'Consumable Usage'!$A:$A,$A101,'Consumable Usage'!$D:$D,4)))</f>
        <v/>
      </c>
      <c r="AP101" s="12" t="str">
        <f t="shared" si="10"/>
        <v/>
      </c>
      <c r="AQ101" s="20"/>
      <c r="AR101" s="12" t="str">
        <f t="shared" si="11"/>
        <v/>
      </c>
      <c r="AS101" s="45" t="str">
        <f t="shared" si="12"/>
        <v/>
      </c>
      <c r="AT101" s="15"/>
      <c r="AU101" s="15"/>
      <c r="AV101" s="20"/>
      <c r="AW101" s="12" t="str">
        <f>IF($A101="","",SUMIFS('Consumable Usage'!$E:$E,'Consumable Usage'!$A:$A,$A101,'Consumable Usage'!$D:$D,5))</f>
        <v/>
      </c>
      <c r="AX101" s="12" t="str">
        <f>IF($A101="","",SUMIFS('Nursing Charges'!$I:$I,'Nursing Charges'!$A:$A,$A101,'Nursing Charges'!$C:$C,5))</f>
        <v/>
      </c>
      <c r="AY101" s="12" t="str">
        <f>IF($A101="","",AV101+(AX101-SUMIFS('Nursing Charges'!$J:$J,'Nursing Charges'!$A:$A,$A101,'Nursing Charges'!$C:$C,5))+(AW101-SUMIFS('Consumable Usage'!$F:$F,'Consumable Usage'!$A:$A,$A101,'Consumable Usage'!$D:$D,5)))</f>
        <v/>
      </c>
      <c r="AZ101" s="12" t="str">
        <f t="shared" si="13"/>
        <v/>
      </c>
      <c r="BA101" s="20"/>
      <c r="BB101" s="12" t="str">
        <f t="shared" si="14"/>
        <v/>
      </c>
      <c r="BC101" s="45" t="str">
        <f t="shared" si="15"/>
        <v/>
      </c>
      <c r="BD101" s="15"/>
      <c r="BE101" s="15"/>
      <c r="BF101" s="20"/>
      <c r="BG101" s="12" t="str">
        <f>IF($A101="","",SUMIFS('Consumable Usage'!$E:$E,'Consumable Usage'!$A:$A,$A101,'Consumable Usage'!$D:$D,6))</f>
        <v/>
      </c>
      <c r="BH101" s="12" t="str">
        <f>IF($A101="","",SUMIFS('Nursing Charges'!$I:$I,'Nursing Charges'!$A:$A,$A101,'Nursing Charges'!$C:$C,6))</f>
        <v/>
      </c>
      <c r="BI101" s="12" t="str">
        <f>IF($A101="","",BF101+(BH101-SUMIFS('Nursing Charges'!$J:$J,'Nursing Charges'!$A:$A,$A101,'Nursing Charges'!$C:$C,6))+(BG101-SUMIFS('Consumable Usage'!$F:$F,'Consumable Usage'!$A:$A,$A101,'Consumable Usage'!$D:$D,6)))</f>
        <v/>
      </c>
      <c r="BJ101" s="12" t="str">
        <f t="shared" si="16"/>
        <v/>
      </c>
      <c r="BK101" s="20"/>
      <c r="BL101" s="12" t="str">
        <f t="shared" si="17"/>
        <v/>
      </c>
      <c r="BM101" s="45" t="str">
        <f t="shared" si="18"/>
        <v/>
      </c>
      <c r="BN101" s="15"/>
      <c r="BO101" s="15"/>
      <c r="BP101" s="20"/>
      <c r="BQ101" s="12" t="str">
        <f>IF($A101="","",SUMIFS('Consumable Usage'!$E:$E,'Consumable Usage'!$A:$A,$A101,'Consumable Usage'!$D:$D,7))</f>
        <v/>
      </c>
      <c r="BR101" s="12" t="str">
        <f>IF($A101="","",SUMIFS('Nursing Charges'!$I:$I,'Nursing Charges'!$A:$A,$A101,'Nursing Charges'!$C:$C,7))</f>
        <v/>
      </c>
      <c r="BS101" s="12" t="str">
        <f>IF($A101="","",BP101+(BR101-SUMIFS('Nursing Charges'!$J:$J,'Nursing Charges'!$A:$A,$A101,'Nursing Charges'!$C:$C,7))+(BQ101-SUMIFS('Consumable Usage'!$F:$F,'Consumable Usage'!$A:$A,$A101,'Consumable Usage'!$D:$D,7)))</f>
        <v/>
      </c>
      <c r="BT101" s="12" t="str">
        <f t="shared" si="19"/>
        <v/>
      </c>
      <c r="BU101" s="20"/>
      <c r="BV101" s="12" t="str">
        <f t="shared" si="20"/>
        <v/>
      </c>
      <c r="BW101" s="45" t="str">
        <f t="shared" si="21"/>
        <v/>
      </c>
      <c r="BX101" s="15"/>
      <c r="BY101" s="15"/>
      <c r="BZ101" s="20"/>
      <c r="CA101" s="12" t="str">
        <f>IF($A101="","",SUMIFS('Consumable Usage'!$E:$E,'Consumable Usage'!$A:$A,$A101,'Consumable Usage'!$D:$D,8))</f>
        <v/>
      </c>
      <c r="CB101" s="12" t="str">
        <f>IF($A101="","",SUMIFS('Nursing Charges'!$I:$I,'Nursing Charges'!$A:$A,$A101,'Nursing Charges'!$C:$C,8))</f>
        <v/>
      </c>
      <c r="CC101" s="12" t="str">
        <f>IF($A101="","",BZ101+(CB101-SUMIFS('Nursing Charges'!$J:$J,'Nursing Charges'!$A:$A,$A101,'Nursing Charges'!$C:$C,8))+(CA101-SUMIFS('Consumable Usage'!$F:$F,'Consumable Usage'!$A:$A,$A101,'Consumable Usage'!$D:$D,8)))</f>
        <v/>
      </c>
      <c r="CD101" s="12" t="str">
        <f t="shared" si="22"/>
        <v/>
      </c>
      <c r="CE101" s="20"/>
      <c r="CF101" s="12" t="str">
        <f t="shared" si="23"/>
        <v/>
      </c>
      <c r="CG101" s="45" t="str">
        <f t="shared" si="24"/>
        <v/>
      </c>
      <c r="CH101" s="15"/>
      <c r="CI101" s="15"/>
      <c r="CJ101" s="20"/>
      <c r="CK101" s="12" t="str">
        <f>IF($A101="","",SUMIFS('Consumable Usage'!$E:$E,'Consumable Usage'!$A:$A,$A101,'Consumable Usage'!$D:$D,9))</f>
        <v/>
      </c>
      <c r="CL101" s="12" t="str">
        <f>IF($A101="","",SUMIFS('Nursing Charges'!$I:$I,'Nursing Charges'!$A:$A,$A101,'Nursing Charges'!$C:$C,9))</f>
        <v/>
      </c>
      <c r="CM101" s="12" t="str">
        <f>IF($A101="","",CJ101+(CL101-SUMIFS('Nursing Charges'!$J:$J,'Nursing Charges'!$A:$A,$A101,'Nursing Charges'!$C:$C,9))+(CK101-SUMIFS('Consumable Usage'!$F:$F,'Consumable Usage'!$A:$A,$A101,'Consumable Usage'!$D:$D,9)))</f>
        <v/>
      </c>
      <c r="CN101" s="12" t="str">
        <f t="shared" si="25"/>
        <v/>
      </c>
      <c r="CO101" s="20"/>
      <c r="CP101" s="12" t="str">
        <f t="shared" si="26"/>
        <v/>
      </c>
      <c r="CQ101" s="45" t="str">
        <f t="shared" si="27"/>
        <v/>
      </c>
      <c r="CR101" s="15"/>
      <c r="CS101" s="15"/>
      <c r="CT101" s="20"/>
      <c r="CU101" s="12" t="str">
        <f>IF($A101="","",SUMIFS('Consumable Usage'!$E:$E,'Consumable Usage'!$A:$A,$A101,'Consumable Usage'!$D:$D,10))</f>
        <v/>
      </c>
      <c r="CV101" s="12" t="str">
        <f>IF($A101="","",SUMIFS('Nursing Charges'!$I:$I,'Nursing Charges'!$A:$A,$A101,'Nursing Charges'!$C:$C,10))</f>
        <v/>
      </c>
      <c r="CW101" s="12" t="str">
        <f>IF($A101="","",CT101+(CV101-SUMIFS('Nursing Charges'!$J:$J,'Nursing Charges'!$A:$A,$A101,'Nursing Charges'!$C:$C,10))+(CU101-SUMIFS('Consumable Usage'!$F:$F,'Consumable Usage'!$A:$A,$A101,'Consumable Usage'!$D:$D,10)))</f>
        <v/>
      </c>
      <c r="CX101" s="12" t="str">
        <f t="shared" si="28"/>
        <v/>
      </c>
      <c r="CY101" s="20"/>
      <c r="CZ101" s="12" t="str">
        <f t="shared" si="29"/>
        <v/>
      </c>
      <c r="DA101" s="45" t="str">
        <f t="shared" si="30"/>
        <v/>
      </c>
      <c r="DB101" s="15"/>
      <c r="DC101" s="15"/>
      <c r="DD101" s="20"/>
      <c r="DE101" s="12" t="str">
        <f>IF($A101="","",SUMIFS('Consumable Usage'!$E:$E,'Consumable Usage'!$A:$A,$A101,'Consumable Usage'!$D:$D,11))</f>
        <v/>
      </c>
      <c r="DF101" s="12" t="str">
        <f>IF($A101="","",SUMIFS('Nursing Charges'!$I:$I,'Nursing Charges'!$A:$A,$A101,'Nursing Charges'!$C:$C,11))</f>
        <v/>
      </c>
      <c r="DG101" s="12" t="str">
        <f>IF($A101="","",DD101+(DF101-SUMIFS('Nursing Charges'!$J:$J,'Nursing Charges'!$A:$A,$A101,'Nursing Charges'!$C:$C,11))+(DE101-SUMIFS('Consumable Usage'!$F:$F,'Consumable Usage'!$A:$A,$A101,'Consumable Usage'!$D:$D,11)))</f>
        <v/>
      </c>
      <c r="DH101" s="12" t="str">
        <f t="shared" si="31"/>
        <v/>
      </c>
      <c r="DI101" s="20"/>
      <c r="DJ101" s="12" t="str">
        <f t="shared" si="32"/>
        <v/>
      </c>
      <c r="DK101" s="45" t="str">
        <f t="shared" si="33"/>
        <v/>
      </c>
      <c r="DL101" s="15"/>
      <c r="DM101" s="15"/>
      <c r="DN101" s="20"/>
      <c r="DO101" s="12" t="str">
        <f>IF($A101="","",SUMIFS('Consumable Usage'!$E:$E,'Consumable Usage'!$A:$A,$A101,'Consumable Usage'!$D:$D,12))</f>
        <v/>
      </c>
      <c r="DP101" s="12" t="str">
        <f>IF($A101="","",SUMIFS('Nursing Charges'!$I:$I,'Nursing Charges'!$A:$A,$A101,'Nursing Charges'!$C:$C,12))</f>
        <v/>
      </c>
      <c r="DQ101" s="12" t="str">
        <f>IF($A101="","",DN101+(DP101-SUMIFS('Nursing Charges'!$J:$J,'Nursing Charges'!$A:$A,$A101,'Nursing Charges'!$C:$C,12))+(DO101-SUMIFS('Consumable Usage'!$F:$F,'Consumable Usage'!$A:$A,$A101,'Consumable Usage'!$D:$D,12)))</f>
        <v/>
      </c>
      <c r="DR101" s="12" t="str">
        <f t="shared" si="34"/>
        <v/>
      </c>
      <c r="DS101" s="20"/>
      <c r="DT101" s="12" t="str">
        <f t="shared" si="35"/>
        <v/>
      </c>
      <c r="DU101" s="45" t="str">
        <f t="shared" si="36"/>
        <v/>
      </c>
      <c r="DV101" s="15"/>
      <c r="DW101" s="15"/>
      <c r="DX101" s="20"/>
      <c r="DY101" s="12" t="str">
        <f>IF($A101="","",SUMIFS('Consumable Usage'!$E:$E,'Consumable Usage'!$A:$A,$A101,'Consumable Usage'!$D:$D,13))</f>
        <v/>
      </c>
      <c r="DZ101" s="12" t="str">
        <f>IF($A101="","",SUMIFS('Nursing Charges'!$I:$I,'Nursing Charges'!$A:$A,$A101,'Nursing Charges'!$C:$C,13))</f>
        <v/>
      </c>
      <c r="EA101" s="12" t="str">
        <f>IF($A101="","",DX101+(DZ101-SUMIFS('Nursing Charges'!$J:$J,'Nursing Charges'!$A:$A,$A101,'Nursing Charges'!$C:$C,13))+(DY101-SUMIFS('Consumable Usage'!$F:$F,'Consumable Usage'!$A:$A,$A101,'Consumable Usage'!$D:$D,13)))</f>
        <v/>
      </c>
      <c r="EB101" s="12" t="str">
        <f t="shared" si="37"/>
        <v/>
      </c>
      <c r="EC101" s="20"/>
      <c r="ED101" s="12" t="str">
        <f t="shared" si="38"/>
        <v/>
      </c>
      <c r="EE101" s="45" t="str">
        <f t="shared" si="39"/>
        <v/>
      </c>
      <c r="EF101" s="15"/>
      <c r="EG101" s="15"/>
      <c r="EH101" s="20"/>
      <c r="EI101" s="12" t="str">
        <f>IF($A101="","",SUMIFS('Consumable Usage'!$E:$E,'Consumable Usage'!$A:$A,$A101,'Consumable Usage'!$D:$D,14))</f>
        <v/>
      </c>
      <c r="EJ101" s="12" t="str">
        <f>IF($A101="","",SUMIFS('Nursing Charges'!$I:$I,'Nursing Charges'!$A:$A,$A101,'Nursing Charges'!$C:$C,14))</f>
        <v/>
      </c>
      <c r="EK101" s="12" t="str">
        <f>IF($A101="","",EH101+(EJ101-SUMIFS('Nursing Charges'!$J:$J,'Nursing Charges'!$A:$A,$A101,'Nursing Charges'!$C:$C,14))+(EI101-SUMIFS('Consumable Usage'!$F:$F,'Consumable Usage'!$A:$A,$A101,'Consumable Usage'!$D:$D,14)))</f>
        <v/>
      </c>
      <c r="EL101" s="12" t="str">
        <f t="shared" si="40"/>
        <v/>
      </c>
      <c r="EM101" s="20"/>
      <c r="EN101" s="12" t="str">
        <f t="shared" si="41"/>
        <v/>
      </c>
      <c r="EO101" s="45" t="str">
        <f t="shared" si="42"/>
        <v/>
      </c>
      <c r="EP101" s="15"/>
      <c r="EQ101" s="15"/>
      <c r="ER101" s="20"/>
      <c r="ES101" s="12" t="str">
        <f>IF($A101="","",SUMIFS('Consumable Usage'!$E:$E,'Consumable Usage'!$A:$A,$A101,'Consumable Usage'!$D:$D,15))</f>
        <v/>
      </c>
      <c r="ET101" s="12" t="str">
        <f>IF($A101="","",SUMIFS('Nursing Charges'!$I:$I,'Nursing Charges'!$A:$A,$A101,'Nursing Charges'!$C:$C,15))</f>
        <v/>
      </c>
      <c r="EU101" s="12" t="str">
        <f>IF($A101="","",ER101+(ET101-SUMIFS('Nursing Charges'!$J:$J,'Nursing Charges'!$A:$A,$A101,'Nursing Charges'!$C:$C,15))+(ES101-SUMIFS('Consumable Usage'!$F:$F,'Consumable Usage'!$A:$A,$A101,'Consumable Usage'!$D:$D,15)))</f>
        <v/>
      </c>
      <c r="EV101" s="12" t="str">
        <f t="shared" si="43"/>
        <v/>
      </c>
      <c r="EW101" s="20"/>
      <c r="EX101" s="12" t="str">
        <f t="shared" si="44"/>
        <v/>
      </c>
      <c r="EY101" s="45" t="str">
        <f t="shared" si="45"/>
        <v/>
      </c>
      <c r="EZ101" s="15"/>
      <c r="FA101" s="15"/>
      <c r="FB101" s="20"/>
      <c r="FC101" s="12" t="str">
        <f>IF($A101="","",SUMIFS('Consumable Usage'!$E:$E,'Consumable Usage'!$A:$A,$A101,'Consumable Usage'!$D:$D,16))</f>
        <v/>
      </c>
      <c r="FD101" s="12" t="str">
        <f>IF($A101="","",SUMIFS('Nursing Charges'!$I:$I,'Nursing Charges'!$A:$A,$A101,'Nursing Charges'!$C:$C,16))</f>
        <v/>
      </c>
      <c r="FE101" s="12" t="str">
        <f>IF($A101="","",FB101+(FD101-SUMIFS('Nursing Charges'!$J:$J,'Nursing Charges'!$A:$A,$A101,'Nursing Charges'!$C:$C,16))+(FC101-SUMIFS('Consumable Usage'!$F:$F,'Consumable Usage'!$A:$A,$A101,'Consumable Usage'!$D:$D,16)))</f>
        <v/>
      </c>
      <c r="FF101" s="12" t="str">
        <f t="shared" si="46"/>
        <v/>
      </c>
      <c r="FG101" s="20"/>
      <c r="FH101" s="12" t="str">
        <f t="shared" si="47"/>
        <v/>
      </c>
      <c r="FI101" s="45" t="str">
        <f t="shared" si="48"/>
        <v/>
      </c>
      <c r="FJ101" s="53"/>
      <c r="FK101" s="53"/>
      <c r="FL101" s="63"/>
      <c r="FM101" s="63" t="str">
        <f>IF($A101="","",SUMIFS('Consumable Usage'!$E:$E,'Consumable Usage'!$A:$A,$A101,'Consumable Usage'!$D:$D,16))</f>
        <v/>
      </c>
      <c r="FN101" s="63" t="str">
        <f>IF($A101="","",SUMIFS('Nursing Charges'!$I:$I,'Nursing Charges'!$A:$A,$A101,'Nursing Charges'!$C:$C,16))</f>
        <v/>
      </c>
      <c r="FO101" s="63" t="str">
        <f>IF($A101="","",FL101+(FN101-SUMIFS('Nursing Charges'!$J:$J,'Nursing Charges'!$A:$A,$A101,'Nursing Charges'!$C:$C,16))+(FM101-SUMIFS('Consumable Usage'!$F:$F,'Consumable Usage'!$A:$A,$A101,'Consumable Usage'!$D:$D,16)))</f>
        <v/>
      </c>
      <c r="FP101" s="63" t="str">
        <f t="shared" si="49"/>
        <v/>
      </c>
      <c r="FQ101" s="63"/>
      <c r="FR101" s="63" t="str">
        <f t="shared" si="50"/>
        <v/>
      </c>
      <c r="FS101" s="53" t="str">
        <f t="shared" si="51"/>
        <v/>
      </c>
    </row>
    <row r="102" ht="15.0" customHeight="1">
      <c r="A102" s="15"/>
      <c r="B102" s="15"/>
      <c r="C102" s="15"/>
      <c r="D102" s="15"/>
      <c r="E102" s="15"/>
      <c r="F102" s="15"/>
      <c r="G102" s="15"/>
      <c r="H102" s="20"/>
      <c r="I102" s="12" t="str">
        <f>IF($A102="","",SUMIFS('Consumable Usage'!$E:$E,'Consumable Usage'!$A:$A,$A102,'Consumable Usage'!$D:$D,1))</f>
        <v/>
      </c>
      <c r="J102" s="12" t="str">
        <f>IF($A102="","",SUMIFS('Nursing Charges'!$I:$I,'Nursing Charges'!$A:$A,$A102,'Nursing Charges'!$C:$C,1))</f>
        <v/>
      </c>
      <c r="K102" s="12" t="str">
        <f>IF($A102="","",H102+(J102-SUMIFS('Nursing Charges'!$J:$J,'Nursing Charges'!$A:$A,$A102,'Nursing Charges'!$C:$C,1))+(I102-SUMIFS('Consumable Usage'!$F:$F,'Consumable Usage'!$A:$A,$A102,'Consumable Usage'!$D:$D,1)))</f>
        <v/>
      </c>
      <c r="L102" s="12" t="str">
        <f t="shared" si="1"/>
        <v/>
      </c>
      <c r="M102" s="20"/>
      <c r="N102" s="12" t="str">
        <f t="shared" si="2"/>
        <v/>
      </c>
      <c r="O102" s="45" t="str">
        <f t="shared" si="3"/>
        <v/>
      </c>
      <c r="P102" s="15"/>
      <c r="Q102" s="15"/>
      <c r="R102" s="20"/>
      <c r="S102" s="12" t="str">
        <f>IF($A102="","",SUMIFS('Consumable Usage'!$E:$E,'Consumable Usage'!$A:$A,$A102,'Consumable Usage'!$D:$D,2))</f>
        <v/>
      </c>
      <c r="T102" s="12" t="str">
        <f>IF($A102="","",SUMIFS('Nursing Charges'!$I:$I,'Nursing Charges'!$A:$A,$A102,'Nursing Charges'!$C:$C,2))</f>
        <v/>
      </c>
      <c r="U102" s="12" t="str">
        <f>IF($A102="","",R102+(T102-SUMIFS('Nursing Charges'!$J:$J,'Nursing Charges'!$A:$A,$A102,'Nursing Charges'!$C:$C,2))+(S102-SUMIFS('Consumable Usage'!$F:$F,'Consumable Usage'!$A:$A,$A102,'Consumable Usage'!$D:$D,2)))</f>
        <v/>
      </c>
      <c r="V102" s="12" t="str">
        <f t="shared" si="4"/>
        <v/>
      </c>
      <c r="W102" s="20"/>
      <c r="X102" s="12" t="str">
        <f t="shared" si="5"/>
        <v/>
      </c>
      <c r="Y102" s="45" t="str">
        <f t="shared" si="6"/>
        <v/>
      </c>
      <c r="Z102" s="15"/>
      <c r="AA102" s="15"/>
      <c r="AB102" s="20"/>
      <c r="AC102" s="12" t="str">
        <f>IF($A102="","",SUMIFS('Consumable Usage'!$E:$E,'Consumable Usage'!$A:$A,$A102,'Consumable Usage'!$D:$D,3))</f>
        <v/>
      </c>
      <c r="AD102" s="12" t="str">
        <f>IF($A102="","",SUMIFS('Nursing Charges'!$I:$I,'Nursing Charges'!$A:$A,$A102,'Nursing Charges'!$C:$C,3))</f>
        <v/>
      </c>
      <c r="AE102" s="12" t="str">
        <f>IF($A102="","",AB102+(AD102-SUMIFS('Nursing Charges'!$J:$J,'Nursing Charges'!$A:$A,$A102,'Nursing Charges'!$C:$C,3))+(AC102-SUMIFS('Consumable Usage'!$F:$F,'Consumable Usage'!$A:$A,$A102,'Consumable Usage'!$D:$D,3)))</f>
        <v/>
      </c>
      <c r="AF102" s="12" t="str">
        <f t="shared" si="7"/>
        <v/>
      </c>
      <c r="AG102" s="20"/>
      <c r="AH102" s="12" t="str">
        <f t="shared" si="8"/>
        <v/>
      </c>
      <c r="AI102" s="45" t="str">
        <f t="shared" si="9"/>
        <v/>
      </c>
      <c r="AJ102" s="15"/>
      <c r="AK102" s="15"/>
      <c r="AL102" s="20"/>
      <c r="AM102" s="12" t="str">
        <f>IF($A102="","",SUMIFS('Consumable Usage'!$E:$E,'Consumable Usage'!$A:$A,$A102,'Consumable Usage'!$D:$D,4))</f>
        <v/>
      </c>
      <c r="AN102" s="12" t="str">
        <f>IF($A102="","",SUMIFS('Nursing Charges'!$I:$I,'Nursing Charges'!$A:$A,$A102,'Nursing Charges'!$C:$C,4))</f>
        <v/>
      </c>
      <c r="AO102" s="12" t="str">
        <f>IF($A102="","",AL102+(AN102-SUMIFS('Nursing Charges'!$J:$J,'Nursing Charges'!$A:$A,$A102,'Nursing Charges'!$C:$C,4))+(AM102-SUMIFS('Consumable Usage'!$F:$F,'Consumable Usage'!$A:$A,$A102,'Consumable Usage'!$D:$D,4)))</f>
        <v/>
      </c>
      <c r="AP102" s="12" t="str">
        <f t="shared" si="10"/>
        <v/>
      </c>
      <c r="AQ102" s="20"/>
      <c r="AR102" s="12" t="str">
        <f t="shared" si="11"/>
        <v/>
      </c>
      <c r="AS102" s="45" t="str">
        <f t="shared" si="12"/>
        <v/>
      </c>
      <c r="AT102" s="15"/>
      <c r="AU102" s="15"/>
      <c r="AV102" s="20"/>
      <c r="AW102" s="12" t="str">
        <f>IF($A102="","",SUMIFS('Consumable Usage'!$E:$E,'Consumable Usage'!$A:$A,$A102,'Consumable Usage'!$D:$D,5))</f>
        <v/>
      </c>
      <c r="AX102" s="12" t="str">
        <f>IF($A102="","",SUMIFS('Nursing Charges'!$I:$I,'Nursing Charges'!$A:$A,$A102,'Nursing Charges'!$C:$C,5))</f>
        <v/>
      </c>
      <c r="AY102" s="12" t="str">
        <f>IF($A102="","",AV102+(AX102-SUMIFS('Nursing Charges'!$J:$J,'Nursing Charges'!$A:$A,$A102,'Nursing Charges'!$C:$C,5))+(AW102-SUMIFS('Consumable Usage'!$F:$F,'Consumable Usage'!$A:$A,$A102,'Consumable Usage'!$D:$D,5)))</f>
        <v/>
      </c>
      <c r="AZ102" s="12" t="str">
        <f t="shared" si="13"/>
        <v/>
      </c>
      <c r="BA102" s="20"/>
      <c r="BB102" s="12" t="str">
        <f t="shared" si="14"/>
        <v/>
      </c>
      <c r="BC102" s="45" t="str">
        <f t="shared" si="15"/>
        <v/>
      </c>
      <c r="BD102" s="15"/>
      <c r="BE102" s="15"/>
      <c r="BF102" s="20"/>
      <c r="BG102" s="12" t="str">
        <f>IF($A102="","",SUMIFS('Consumable Usage'!$E:$E,'Consumable Usage'!$A:$A,$A102,'Consumable Usage'!$D:$D,6))</f>
        <v/>
      </c>
      <c r="BH102" s="12" t="str">
        <f>IF($A102="","",SUMIFS('Nursing Charges'!$I:$I,'Nursing Charges'!$A:$A,$A102,'Nursing Charges'!$C:$C,6))</f>
        <v/>
      </c>
      <c r="BI102" s="12" t="str">
        <f>IF($A102="","",BF102+(BH102-SUMIFS('Nursing Charges'!$J:$J,'Nursing Charges'!$A:$A,$A102,'Nursing Charges'!$C:$C,6))+(BG102-SUMIFS('Consumable Usage'!$F:$F,'Consumable Usage'!$A:$A,$A102,'Consumable Usage'!$D:$D,6)))</f>
        <v/>
      </c>
      <c r="BJ102" s="12" t="str">
        <f t="shared" si="16"/>
        <v/>
      </c>
      <c r="BK102" s="20"/>
      <c r="BL102" s="12" t="str">
        <f t="shared" si="17"/>
        <v/>
      </c>
      <c r="BM102" s="45" t="str">
        <f t="shared" si="18"/>
        <v/>
      </c>
      <c r="BN102" s="15"/>
      <c r="BO102" s="15"/>
      <c r="BP102" s="20"/>
      <c r="BQ102" s="12" t="str">
        <f>IF($A102="","",SUMIFS('Consumable Usage'!$E:$E,'Consumable Usage'!$A:$A,$A102,'Consumable Usage'!$D:$D,7))</f>
        <v/>
      </c>
      <c r="BR102" s="12" t="str">
        <f>IF($A102="","",SUMIFS('Nursing Charges'!$I:$I,'Nursing Charges'!$A:$A,$A102,'Nursing Charges'!$C:$C,7))</f>
        <v/>
      </c>
      <c r="BS102" s="12" t="str">
        <f>IF($A102="","",BP102+(BR102-SUMIFS('Nursing Charges'!$J:$J,'Nursing Charges'!$A:$A,$A102,'Nursing Charges'!$C:$C,7))+(BQ102-SUMIFS('Consumable Usage'!$F:$F,'Consumable Usage'!$A:$A,$A102,'Consumable Usage'!$D:$D,7)))</f>
        <v/>
      </c>
      <c r="BT102" s="12" t="str">
        <f t="shared" si="19"/>
        <v/>
      </c>
      <c r="BU102" s="20"/>
      <c r="BV102" s="12" t="str">
        <f t="shared" si="20"/>
        <v/>
      </c>
      <c r="BW102" s="45" t="str">
        <f t="shared" si="21"/>
        <v/>
      </c>
      <c r="BX102" s="15"/>
      <c r="BY102" s="15"/>
      <c r="BZ102" s="20"/>
      <c r="CA102" s="12" t="str">
        <f>IF($A102="","",SUMIFS('Consumable Usage'!$E:$E,'Consumable Usage'!$A:$A,$A102,'Consumable Usage'!$D:$D,8))</f>
        <v/>
      </c>
      <c r="CB102" s="12" t="str">
        <f>IF($A102="","",SUMIFS('Nursing Charges'!$I:$I,'Nursing Charges'!$A:$A,$A102,'Nursing Charges'!$C:$C,8))</f>
        <v/>
      </c>
      <c r="CC102" s="12" t="str">
        <f>IF($A102="","",BZ102+(CB102-SUMIFS('Nursing Charges'!$J:$J,'Nursing Charges'!$A:$A,$A102,'Nursing Charges'!$C:$C,8))+(CA102-SUMIFS('Consumable Usage'!$F:$F,'Consumable Usage'!$A:$A,$A102,'Consumable Usage'!$D:$D,8)))</f>
        <v/>
      </c>
      <c r="CD102" s="12" t="str">
        <f t="shared" si="22"/>
        <v/>
      </c>
      <c r="CE102" s="20"/>
      <c r="CF102" s="12" t="str">
        <f t="shared" si="23"/>
        <v/>
      </c>
      <c r="CG102" s="45" t="str">
        <f t="shared" si="24"/>
        <v/>
      </c>
      <c r="CH102" s="15"/>
      <c r="CI102" s="15"/>
      <c r="CJ102" s="20"/>
      <c r="CK102" s="12" t="str">
        <f>IF($A102="","",SUMIFS('Consumable Usage'!$E:$E,'Consumable Usage'!$A:$A,$A102,'Consumable Usage'!$D:$D,9))</f>
        <v/>
      </c>
      <c r="CL102" s="12" t="str">
        <f>IF($A102="","",SUMIFS('Nursing Charges'!$I:$I,'Nursing Charges'!$A:$A,$A102,'Nursing Charges'!$C:$C,9))</f>
        <v/>
      </c>
      <c r="CM102" s="12" t="str">
        <f>IF($A102="","",CJ102+(CL102-SUMIFS('Nursing Charges'!$J:$J,'Nursing Charges'!$A:$A,$A102,'Nursing Charges'!$C:$C,9))+(CK102-SUMIFS('Consumable Usage'!$F:$F,'Consumable Usage'!$A:$A,$A102,'Consumable Usage'!$D:$D,9)))</f>
        <v/>
      </c>
      <c r="CN102" s="12" t="str">
        <f t="shared" si="25"/>
        <v/>
      </c>
      <c r="CO102" s="20"/>
      <c r="CP102" s="12" t="str">
        <f t="shared" si="26"/>
        <v/>
      </c>
      <c r="CQ102" s="45" t="str">
        <f t="shared" si="27"/>
        <v/>
      </c>
      <c r="CR102" s="15"/>
      <c r="CS102" s="15"/>
      <c r="CT102" s="20"/>
      <c r="CU102" s="12" t="str">
        <f>IF($A102="","",SUMIFS('Consumable Usage'!$E:$E,'Consumable Usage'!$A:$A,$A102,'Consumable Usage'!$D:$D,10))</f>
        <v/>
      </c>
      <c r="CV102" s="12" t="str">
        <f>IF($A102="","",SUMIFS('Nursing Charges'!$I:$I,'Nursing Charges'!$A:$A,$A102,'Nursing Charges'!$C:$C,10))</f>
        <v/>
      </c>
      <c r="CW102" s="12" t="str">
        <f>IF($A102="","",CT102+(CV102-SUMIFS('Nursing Charges'!$J:$J,'Nursing Charges'!$A:$A,$A102,'Nursing Charges'!$C:$C,10))+(CU102-SUMIFS('Consumable Usage'!$F:$F,'Consumable Usage'!$A:$A,$A102,'Consumable Usage'!$D:$D,10)))</f>
        <v/>
      </c>
      <c r="CX102" s="12" t="str">
        <f t="shared" si="28"/>
        <v/>
      </c>
      <c r="CY102" s="20"/>
      <c r="CZ102" s="12" t="str">
        <f t="shared" si="29"/>
        <v/>
      </c>
      <c r="DA102" s="45" t="str">
        <f t="shared" si="30"/>
        <v/>
      </c>
      <c r="DB102" s="15"/>
      <c r="DC102" s="15"/>
      <c r="DD102" s="20"/>
      <c r="DE102" s="12" t="str">
        <f>IF($A102="","",SUMIFS('Consumable Usage'!$E:$E,'Consumable Usage'!$A:$A,$A102,'Consumable Usage'!$D:$D,11))</f>
        <v/>
      </c>
      <c r="DF102" s="12" t="str">
        <f>IF($A102="","",SUMIFS('Nursing Charges'!$I:$I,'Nursing Charges'!$A:$A,$A102,'Nursing Charges'!$C:$C,11))</f>
        <v/>
      </c>
      <c r="DG102" s="12" t="str">
        <f>IF($A102="","",DD102+(DF102-SUMIFS('Nursing Charges'!$J:$J,'Nursing Charges'!$A:$A,$A102,'Nursing Charges'!$C:$C,11))+(DE102-SUMIFS('Consumable Usage'!$F:$F,'Consumable Usage'!$A:$A,$A102,'Consumable Usage'!$D:$D,11)))</f>
        <v/>
      </c>
      <c r="DH102" s="12" t="str">
        <f t="shared" si="31"/>
        <v/>
      </c>
      <c r="DI102" s="20"/>
      <c r="DJ102" s="12" t="str">
        <f t="shared" si="32"/>
        <v/>
      </c>
      <c r="DK102" s="45" t="str">
        <f t="shared" si="33"/>
        <v/>
      </c>
      <c r="DL102" s="15"/>
      <c r="DM102" s="15"/>
      <c r="DN102" s="20"/>
      <c r="DO102" s="12" t="str">
        <f>IF($A102="","",SUMIFS('Consumable Usage'!$E:$E,'Consumable Usage'!$A:$A,$A102,'Consumable Usage'!$D:$D,12))</f>
        <v/>
      </c>
      <c r="DP102" s="12" t="str">
        <f>IF($A102="","",SUMIFS('Nursing Charges'!$I:$I,'Nursing Charges'!$A:$A,$A102,'Nursing Charges'!$C:$C,12))</f>
        <v/>
      </c>
      <c r="DQ102" s="12" t="str">
        <f>IF($A102="","",DN102+(DP102-SUMIFS('Nursing Charges'!$J:$J,'Nursing Charges'!$A:$A,$A102,'Nursing Charges'!$C:$C,12))+(DO102-SUMIFS('Consumable Usage'!$F:$F,'Consumable Usage'!$A:$A,$A102,'Consumable Usage'!$D:$D,12)))</f>
        <v/>
      </c>
      <c r="DR102" s="12" t="str">
        <f t="shared" si="34"/>
        <v/>
      </c>
      <c r="DS102" s="20"/>
      <c r="DT102" s="12" t="str">
        <f t="shared" si="35"/>
        <v/>
      </c>
      <c r="DU102" s="45" t="str">
        <f t="shared" si="36"/>
        <v/>
      </c>
      <c r="DV102" s="15"/>
      <c r="DW102" s="15"/>
      <c r="DX102" s="20"/>
      <c r="DY102" s="12" t="str">
        <f>IF($A102="","",SUMIFS('Consumable Usage'!$E:$E,'Consumable Usage'!$A:$A,$A102,'Consumable Usage'!$D:$D,13))</f>
        <v/>
      </c>
      <c r="DZ102" s="12" t="str">
        <f>IF($A102="","",SUMIFS('Nursing Charges'!$I:$I,'Nursing Charges'!$A:$A,$A102,'Nursing Charges'!$C:$C,13))</f>
        <v/>
      </c>
      <c r="EA102" s="12" t="str">
        <f>IF($A102="","",DX102+(DZ102-SUMIFS('Nursing Charges'!$J:$J,'Nursing Charges'!$A:$A,$A102,'Nursing Charges'!$C:$C,13))+(DY102-SUMIFS('Consumable Usage'!$F:$F,'Consumable Usage'!$A:$A,$A102,'Consumable Usage'!$D:$D,13)))</f>
        <v/>
      </c>
      <c r="EB102" s="12" t="str">
        <f t="shared" si="37"/>
        <v/>
      </c>
      <c r="EC102" s="20"/>
      <c r="ED102" s="12" t="str">
        <f t="shared" si="38"/>
        <v/>
      </c>
      <c r="EE102" s="45" t="str">
        <f t="shared" si="39"/>
        <v/>
      </c>
      <c r="EF102" s="15"/>
      <c r="EG102" s="15"/>
      <c r="EH102" s="20"/>
      <c r="EI102" s="12" t="str">
        <f>IF($A102="","",SUMIFS('Consumable Usage'!$E:$E,'Consumable Usage'!$A:$A,$A102,'Consumable Usage'!$D:$D,14))</f>
        <v/>
      </c>
      <c r="EJ102" s="12" t="str">
        <f>IF($A102="","",SUMIFS('Nursing Charges'!$I:$I,'Nursing Charges'!$A:$A,$A102,'Nursing Charges'!$C:$C,14))</f>
        <v/>
      </c>
      <c r="EK102" s="12" t="str">
        <f>IF($A102="","",EH102+(EJ102-SUMIFS('Nursing Charges'!$J:$J,'Nursing Charges'!$A:$A,$A102,'Nursing Charges'!$C:$C,14))+(EI102-SUMIFS('Consumable Usage'!$F:$F,'Consumable Usage'!$A:$A,$A102,'Consumable Usage'!$D:$D,14)))</f>
        <v/>
      </c>
      <c r="EL102" s="12" t="str">
        <f t="shared" si="40"/>
        <v/>
      </c>
      <c r="EM102" s="20"/>
      <c r="EN102" s="12" t="str">
        <f t="shared" si="41"/>
        <v/>
      </c>
      <c r="EO102" s="45" t="str">
        <f t="shared" si="42"/>
        <v/>
      </c>
      <c r="EP102" s="15"/>
      <c r="EQ102" s="15"/>
      <c r="ER102" s="20"/>
      <c r="ES102" s="12" t="str">
        <f>IF($A102="","",SUMIFS('Consumable Usage'!$E:$E,'Consumable Usage'!$A:$A,$A102,'Consumable Usage'!$D:$D,15))</f>
        <v/>
      </c>
      <c r="ET102" s="12" t="str">
        <f>IF($A102="","",SUMIFS('Nursing Charges'!$I:$I,'Nursing Charges'!$A:$A,$A102,'Nursing Charges'!$C:$C,15))</f>
        <v/>
      </c>
      <c r="EU102" s="12" t="str">
        <f>IF($A102="","",ER102+(ET102-SUMIFS('Nursing Charges'!$J:$J,'Nursing Charges'!$A:$A,$A102,'Nursing Charges'!$C:$C,15))+(ES102-SUMIFS('Consumable Usage'!$F:$F,'Consumable Usage'!$A:$A,$A102,'Consumable Usage'!$D:$D,15)))</f>
        <v/>
      </c>
      <c r="EV102" s="12" t="str">
        <f t="shared" si="43"/>
        <v/>
      </c>
      <c r="EW102" s="20"/>
      <c r="EX102" s="12" t="str">
        <f t="shared" si="44"/>
        <v/>
      </c>
      <c r="EY102" s="45" t="str">
        <f t="shared" si="45"/>
        <v/>
      </c>
      <c r="EZ102" s="15"/>
      <c r="FA102" s="15"/>
      <c r="FB102" s="20"/>
      <c r="FC102" s="12" t="str">
        <f>IF($A102="","",SUMIFS('Consumable Usage'!$E:$E,'Consumable Usage'!$A:$A,$A102,'Consumable Usage'!$D:$D,16))</f>
        <v/>
      </c>
      <c r="FD102" s="12" t="str">
        <f>IF($A102="","",SUMIFS('Nursing Charges'!$I:$I,'Nursing Charges'!$A:$A,$A102,'Nursing Charges'!$C:$C,16))</f>
        <v/>
      </c>
      <c r="FE102" s="12" t="str">
        <f>IF($A102="","",FB102+(FD102-SUMIFS('Nursing Charges'!$J:$J,'Nursing Charges'!$A:$A,$A102,'Nursing Charges'!$C:$C,16))+(FC102-SUMIFS('Consumable Usage'!$F:$F,'Consumable Usage'!$A:$A,$A102,'Consumable Usage'!$D:$D,16)))</f>
        <v/>
      </c>
      <c r="FF102" s="12" t="str">
        <f t="shared" si="46"/>
        <v/>
      </c>
      <c r="FG102" s="20"/>
      <c r="FH102" s="12" t="str">
        <f t="shared" si="47"/>
        <v/>
      </c>
      <c r="FI102" s="45" t="str">
        <f t="shared" si="48"/>
        <v/>
      </c>
      <c r="FJ102" s="53"/>
      <c r="FK102" s="53"/>
      <c r="FL102" s="63"/>
      <c r="FM102" s="63" t="str">
        <f>IF($A102="","",SUMIFS('Consumable Usage'!$E:$E,'Consumable Usage'!$A:$A,$A102,'Consumable Usage'!$D:$D,16))</f>
        <v/>
      </c>
      <c r="FN102" s="63" t="str">
        <f>IF($A102="","",SUMIFS('Nursing Charges'!$I:$I,'Nursing Charges'!$A:$A,$A102,'Nursing Charges'!$C:$C,16))</f>
        <v/>
      </c>
      <c r="FO102" s="63" t="str">
        <f>IF($A102="","",FL102+(FN102-SUMIFS('Nursing Charges'!$J:$J,'Nursing Charges'!$A:$A,$A102,'Nursing Charges'!$C:$C,16))+(FM102-SUMIFS('Consumable Usage'!$F:$F,'Consumable Usage'!$A:$A,$A102,'Consumable Usage'!$D:$D,16)))</f>
        <v/>
      </c>
      <c r="FP102" s="63" t="str">
        <f t="shared" si="49"/>
        <v/>
      </c>
      <c r="FQ102" s="63"/>
      <c r="FR102" s="63" t="str">
        <f t="shared" si="50"/>
        <v/>
      </c>
      <c r="FS102" s="53" t="str">
        <f t="shared" si="51"/>
        <v/>
      </c>
    </row>
    <row r="103" ht="15.0" customHeight="1">
      <c r="A103" s="15"/>
      <c r="B103" s="15"/>
      <c r="C103" s="15"/>
      <c r="D103" s="15"/>
      <c r="E103" s="15"/>
      <c r="F103" s="15"/>
      <c r="G103" s="15"/>
      <c r="H103" s="20"/>
      <c r="I103" s="12" t="str">
        <f>IF($A103="","",SUMIFS('Consumable Usage'!$E:$E,'Consumable Usage'!$A:$A,$A103,'Consumable Usage'!$D:$D,1))</f>
        <v/>
      </c>
      <c r="J103" s="12" t="str">
        <f>IF($A103="","",SUMIFS('Nursing Charges'!$I:$I,'Nursing Charges'!$A:$A,$A103,'Nursing Charges'!$C:$C,1))</f>
        <v/>
      </c>
      <c r="K103" s="12" t="str">
        <f>IF($A103="","",H103+(J103-SUMIFS('Nursing Charges'!$J:$J,'Nursing Charges'!$A:$A,$A103,'Nursing Charges'!$C:$C,1))+(I103-SUMIFS('Consumable Usage'!$F:$F,'Consumable Usage'!$A:$A,$A103,'Consumable Usage'!$D:$D,1)))</f>
        <v/>
      </c>
      <c r="L103" s="12" t="str">
        <f t="shared" si="1"/>
        <v/>
      </c>
      <c r="M103" s="20"/>
      <c r="N103" s="12" t="str">
        <f t="shared" si="2"/>
        <v/>
      </c>
      <c r="O103" s="45" t="str">
        <f t="shared" si="3"/>
        <v/>
      </c>
      <c r="P103" s="15"/>
      <c r="Q103" s="15"/>
      <c r="R103" s="20"/>
      <c r="S103" s="12" t="str">
        <f>IF($A103="","",SUMIFS('Consumable Usage'!$E:$E,'Consumable Usage'!$A:$A,$A103,'Consumable Usage'!$D:$D,2))</f>
        <v/>
      </c>
      <c r="T103" s="12" t="str">
        <f>IF($A103="","",SUMIFS('Nursing Charges'!$I:$I,'Nursing Charges'!$A:$A,$A103,'Nursing Charges'!$C:$C,2))</f>
        <v/>
      </c>
      <c r="U103" s="12" t="str">
        <f>IF($A103="","",R103+(T103-SUMIFS('Nursing Charges'!$J:$J,'Nursing Charges'!$A:$A,$A103,'Nursing Charges'!$C:$C,2))+(S103-SUMIFS('Consumable Usage'!$F:$F,'Consumable Usage'!$A:$A,$A103,'Consumable Usage'!$D:$D,2)))</f>
        <v/>
      </c>
      <c r="V103" s="12" t="str">
        <f t="shared" si="4"/>
        <v/>
      </c>
      <c r="W103" s="20"/>
      <c r="X103" s="12" t="str">
        <f t="shared" si="5"/>
        <v/>
      </c>
      <c r="Y103" s="45" t="str">
        <f t="shared" si="6"/>
        <v/>
      </c>
      <c r="Z103" s="15"/>
      <c r="AA103" s="15"/>
      <c r="AB103" s="20"/>
      <c r="AC103" s="12" t="str">
        <f>IF($A103="","",SUMIFS('Consumable Usage'!$E:$E,'Consumable Usage'!$A:$A,$A103,'Consumable Usage'!$D:$D,3))</f>
        <v/>
      </c>
      <c r="AD103" s="12" t="str">
        <f>IF($A103="","",SUMIFS('Nursing Charges'!$I:$I,'Nursing Charges'!$A:$A,$A103,'Nursing Charges'!$C:$C,3))</f>
        <v/>
      </c>
      <c r="AE103" s="12" t="str">
        <f>IF($A103="","",AB103+(AD103-SUMIFS('Nursing Charges'!$J:$J,'Nursing Charges'!$A:$A,$A103,'Nursing Charges'!$C:$C,3))+(AC103-SUMIFS('Consumable Usage'!$F:$F,'Consumable Usage'!$A:$A,$A103,'Consumable Usage'!$D:$D,3)))</f>
        <v/>
      </c>
      <c r="AF103" s="12" t="str">
        <f t="shared" si="7"/>
        <v/>
      </c>
      <c r="AG103" s="20"/>
      <c r="AH103" s="12" t="str">
        <f t="shared" si="8"/>
        <v/>
      </c>
      <c r="AI103" s="45" t="str">
        <f t="shared" si="9"/>
        <v/>
      </c>
      <c r="AJ103" s="15"/>
      <c r="AK103" s="15"/>
      <c r="AL103" s="20"/>
      <c r="AM103" s="12" t="str">
        <f>IF($A103="","",SUMIFS('Consumable Usage'!$E:$E,'Consumable Usage'!$A:$A,$A103,'Consumable Usage'!$D:$D,4))</f>
        <v/>
      </c>
      <c r="AN103" s="12" t="str">
        <f>IF($A103="","",SUMIFS('Nursing Charges'!$I:$I,'Nursing Charges'!$A:$A,$A103,'Nursing Charges'!$C:$C,4))</f>
        <v/>
      </c>
      <c r="AO103" s="12" t="str">
        <f>IF($A103="","",AL103+(AN103-SUMIFS('Nursing Charges'!$J:$J,'Nursing Charges'!$A:$A,$A103,'Nursing Charges'!$C:$C,4))+(AM103-SUMIFS('Consumable Usage'!$F:$F,'Consumable Usage'!$A:$A,$A103,'Consumable Usage'!$D:$D,4)))</f>
        <v/>
      </c>
      <c r="AP103" s="12" t="str">
        <f t="shared" si="10"/>
        <v/>
      </c>
      <c r="AQ103" s="20"/>
      <c r="AR103" s="12" t="str">
        <f t="shared" si="11"/>
        <v/>
      </c>
      <c r="AS103" s="45" t="str">
        <f t="shared" si="12"/>
        <v/>
      </c>
      <c r="AT103" s="15"/>
      <c r="AU103" s="15"/>
      <c r="AV103" s="20"/>
      <c r="AW103" s="12" t="str">
        <f>IF($A103="","",SUMIFS('Consumable Usage'!$E:$E,'Consumable Usage'!$A:$A,$A103,'Consumable Usage'!$D:$D,5))</f>
        <v/>
      </c>
      <c r="AX103" s="12" t="str">
        <f>IF($A103="","",SUMIFS('Nursing Charges'!$I:$I,'Nursing Charges'!$A:$A,$A103,'Nursing Charges'!$C:$C,5))</f>
        <v/>
      </c>
      <c r="AY103" s="12" t="str">
        <f>IF($A103="","",AV103+(AX103-SUMIFS('Nursing Charges'!$J:$J,'Nursing Charges'!$A:$A,$A103,'Nursing Charges'!$C:$C,5))+(AW103-SUMIFS('Consumable Usage'!$F:$F,'Consumable Usage'!$A:$A,$A103,'Consumable Usage'!$D:$D,5)))</f>
        <v/>
      </c>
      <c r="AZ103" s="12" t="str">
        <f t="shared" si="13"/>
        <v/>
      </c>
      <c r="BA103" s="20"/>
      <c r="BB103" s="12" t="str">
        <f t="shared" si="14"/>
        <v/>
      </c>
      <c r="BC103" s="45" t="str">
        <f t="shared" si="15"/>
        <v/>
      </c>
      <c r="BD103" s="15"/>
      <c r="BE103" s="15"/>
      <c r="BF103" s="20"/>
      <c r="BG103" s="12" t="str">
        <f>IF($A103="","",SUMIFS('Consumable Usage'!$E:$E,'Consumable Usage'!$A:$A,$A103,'Consumable Usage'!$D:$D,6))</f>
        <v/>
      </c>
      <c r="BH103" s="12" t="str">
        <f>IF($A103="","",SUMIFS('Nursing Charges'!$I:$I,'Nursing Charges'!$A:$A,$A103,'Nursing Charges'!$C:$C,6))</f>
        <v/>
      </c>
      <c r="BI103" s="12" t="str">
        <f>IF($A103="","",BF103+(BH103-SUMIFS('Nursing Charges'!$J:$J,'Nursing Charges'!$A:$A,$A103,'Nursing Charges'!$C:$C,6))+(BG103-SUMIFS('Consumable Usage'!$F:$F,'Consumable Usage'!$A:$A,$A103,'Consumable Usage'!$D:$D,6)))</f>
        <v/>
      </c>
      <c r="BJ103" s="12" t="str">
        <f t="shared" si="16"/>
        <v/>
      </c>
      <c r="BK103" s="20"/>
      <c r="BL103" s="12" t="str">
        <f t="shared" si="17"/>
        <v/>
      </c>
      <c r="BM103" s="45" t="str">
        <f t="shared" si="18"/>
        <v/>
      </c>
      <c r="BN103" s="15"/>
      <c r="BO103" s="15"/>
      <c r="BP103" s="20"/>
      <c r="BQ103" s="12" t="str">
        <f>IF($A103="","",SUMIFS('Consumable Usage'!$E:$E,'Consumable Usage'!$A:$A,$A103,'Consumable Usage'!$D:$D,7))</f>
        <v/>
      </c>
      <c r="BR103" s="12" t="str">
        <f>IF($A103="","",SUMIFS('Nursing Charges'!$I:$I,'Nursing Charges'!$A:$A,$A103,'Nursing Charges'!$C:$C,7))</f>
        <v/>
      </c>
      <c r="BS103" s="12" t="str">
        <f>IF($A103="","",BP103+(BR103-SUMIFS('Nursing Charges'!$J:$J,'Nursing Charges'!$A:$A,$A103,'Nursing Charges'!$C:$C,7))+(BQ103-SUMIFS('Consumable Usage'!$F:$F,'Consumable Usage'!$A:$A,$A103,'Consumable Usage'!$D:$D,7)))</f>
        <v/>
      </c>
      <c r="BT103" s="12" t="str">
        <f t="shared" si="19"/>
        <v/>
      </c>
      <c r="BU103" s="20"/>
      <c r="BV103" s="12" t="str">
        <f t="shared" si="20"/>
        <v/>
      </c>
      <c r="BW103" s="45" t="str">
        <f t="shared" si="21"/>
        <v/>
      </c>
      <c r="BX103" s="15"/>
      <c r="BY103" s="15"/>
      <c r="BZ103" s="20"/>
      <c r="CA103" s="12" t="str">
        <f>IF($A103="","",SUMIFS('Consumable Usage'!$E:$E,'Consumable Usage'!$A:$A,$A103,'Consumable Usage'!$D:$D,8))</f>
        <v/>
      </c>
      <c r="CB103" s="12" t="str">
        <f>IF($A103="","",SUMIFS('Nursing Charges'!$I:$I,'Nursing Charges'!$A:$A,$A103,'Nursing Charges'!$C:$C,8))</f>
        <v/>
      </c>
      <c r="CC103" s="12" t="str">
        <f>IF($A103="","",BZ103+(CB103-SUMIFS('Nursing Charges'!$J:$J,'Nursing Charges'!$A:$A,$A103,'Nursing Charges'!$C:$C,8))+(CA103-SUMIFS('Consumable Usage'!$F:$F,'Consumable Usage'!$A:$A,$A103,'Consumable Usage'!$D:$D,8)))</f>
        <v/>
      </c>
      <c r="CD103" s="12" t="str">
        <f t="shared" si="22"/>
        <v/>
      </c>
      <c r="CE103" s="20"/>
      <c r="CF103" s="12" t="str">
        <f t="shared" si="23"/>
        <v/>
      </c>
      <c r="CG103" s="45" t="str">
        <f t="shared" si="24"/>
        <v/>
      </c>
      <c r="CH103" s="15"/>
      <c r="CI103" s="15"/>
      <c r="CJ103" s="20"/>
      <c r="CK103" s="12" t="str">
        <f>IF($A103="","",SUMIFS('Consumable Usage'!$E:$E,'Consumable Usage'!$A:$A,$A103,'Consumable Usage'!$D:$D,9))</f>
        <v/>
      </c>
      <c r="CL103" s="12" t="str">
        <f>IF($A103="","",SUMIFS('Nursing Charges'!$I:$I,'Nursing Charges'!$A:$A,$A103,'Nursing Charges'!$C:$C,9))</f>
        <v/>
      </c>
      <c r="CM103" s="12" t="str">
        <f>IF($A103="","",CJ103+(CL103-SUMIFS('Nursing Charges'!$J:$J,'Nursing Charges'!$A:$A,$A103,'Nursing Charges'!$C:$C,9))+(CK103-SUMIFS('Consumable Usage'!$F:$F,'Consumable Usage'!$A:$A,$A103,'Consumable Usage'!$D:$D,9)))</f>
        <v/>
      </c>
      <c r="CN103" s="12" t="str">
        <f t="shared" si="25"/>
        <v/>
      </c>
      <c r="CO103" s="20"/>
      <c r="CP103" s="12" t="str">
        <f t="shared" si="26"/>
        <v/>
      </c>
      <c r="CQ103" s="45" t="str">
        <f t="shared" si="27"/>
        <v/>
      </c>
      <c r="CR103" s="15"/>
      <c r="CS103" s="15"/>
      <c r="CT103" s="20"/>
      <c r="CU103" s="12" t="str">
        <f>IF($A103="","",SUMIFS('Consumable Usage'!$E:$E,'Consumable Usage'!$A:$A,$A103,'Consumable Usage'!$D:$D,10))</f>
        <v/>
      </c>
      <c r="CV103" s="12" t="str">
        <f>IF($A103="","",SUMIFS('Nursing Charges'!$I:$I,'Nursing Charges'!$A:$A,$A103,'Nursing Charges'!$C:$C,10))</f>
        <v/>
      </c>
      <c r="CW103" s="12" t="str">
        <f>IF($A103="","",CT103+(CV103-SUMIFS('Nursing Charges'!$J:$J,'Nursing Charges'!$A:$A,$A103,'Nursing Charges'!$C:$C,10))+(CU103-SUMIFS('Consumable Usage'!$F:$F,'Consumable Usage'!$A:$A,$A103,'Consumable Usage'!$D:$D,10)))</f>
        <v/>
      </c>
      <c r="CX103" s="12" t="str">
        <f t="shared" si="28"/>
        <v/>
      </c>
      <c r="CY103" s="20"/>
      <c r="CZ103" s="12" t="str">
        <f t="shared" si="29"/>
        <v/>
      </c>
      <c r="DA103" s="45" t="str">
        <f t="shared" si="30"/>
        <v/>
      </c>
      <c r="DB103" s="15"/>
      <c r="DC103" s="15"/>
      <c r="DD103" s="20"/>
      <c r="DE103" s="12" t="str">
        <f>IF($A103="","",SUMIFS('Consumable Usage'!$E:$E,'Consumable Usage'!$A:$A,$A103,'Consumable Usage'!$D:$D,11))</f>
        <v/>
      </c>
      <c r="DF103" s="12" t="str">
        <f>IF($A103="","",SUMIFS('Nursing Charges'!$I:$I,'Nursing Charges'!$A:$A,$A103,'Nursing Charges'!$C:$C,11))</f>
        <v/>
      </c>
      <c r="DG103" s="12" t="str">
        <f>IF($A103="","",DD103+(DF103-SUMIFS('Nursing Charges'!$J:$J,'Nursing Charges'!$A:$A,$A103,'Nursing Charges'!$C:$C,11))+(DE103-SUMIFS('Consumable Usage'!$F:$F,'Consumable Usage'!$A:$A,$A103,'Consumable Usage'!$D:$D,11)))</f>
        <v/>
      </c>
      <c r="DH103" s="12" t="str">
        <f t="shared" si="31"/>
        <v/>
      </c>
      <c r="DI103" s="20"/>
      <c r="DJ103" s="12" t="str">
        <f t="shared" si="32"/>
        <v/>
      </c>
      <c r="DK103" s="45" t="str">
        <f t="shared" si="33"/>
        <v/>
      </c>
      <c r="DL103" s="15"/>
      <c r="DM103" s="15"/>
      <c r="DN103" s="20"/>
      <c r="DO103" s="12" t="str">
        <f>IF($A103="","",SUMIFS('Consumable Usage'!$E:$E,'Consumable Usage'!$A:$A,$A103,'Consumable Usage'!$D:$D,12))</f>
        <v/>
      </c>
      <c r="DP103" s="12" t="str">
        <f>IF($A103="","",SUMIFS('Nursing Charges'!$I:$I,'Nursing Charges'!$A:$A,$A103,'Nursing Charges'!$C:$C,12))</f>
        <v/>
      </c>
      <c r="DQ103" s="12" t="str">
        <f>IF($A103="","",DN103+(DP103-SUMIFS('Nursing Charges'!$J:$J,'Nursing Charges'!$A:$A,$A103,'Nursing Charges'!$C:$C,12))+(DO103-SUMIFS('Consumable Usage'!$F:$F,'Consumable Usage'!$A:$A,$A103,'Consumable Usage'!$D:$D,12)))</f>
        <v/>
      </c>
      <c r="DR103" s="12" t="str">
        <f t="shared" si="34"/>
        <v/>
      </c>
      <c r="DS103" s="20"/>
      <c r="DT103" s="12" t="str">
        <f t="shared" si="35"/>
        <v/>
      </c>
      <c r="DU103" s="45" t="str">
        <f t="shared" si="36"/>
        <v/>
      </c>
      <c r="DV103" s="15"/>
      <c r="DW103" s="15"/>
      <c r="DX103" s="20"/>
      <c r="DY103" s="12" t="str">
        <f>IF($A103="","",SUMIFS('Consumable Usage'!$E:$E,'Consumable Usage'!$A:$A,$A103,'Consumable Usage'!$D:$D,13))</f>
        <v/>
      </c>
      <c r="DZ103" s="12" t="str">
        <f>IF($A103="","",SUMIFS('Nursing Charges'!$I:$I,'Nursing Charges'!$A:$A,$A103,'Nursing Charges'!$C:$C,13))</f>
        <v/>
      </c>
      <c r="EA103" s="12" t="str">
        <f>IF($A103="","",DX103+(DZ103-SUMIFS('Nursing Charges'!$J:$J,'Nursing Charges'!$A:$A,$A103,'Nursing Charges'!$C:$C,13))+(DY103-SUMIFS('Consumable Usage'!$F:$F,'Consumable Usage'!$A:$A,$A103,'Consumable Usage'!$D:$D,13)))</f>
        <v/>
      </c>
      <c r="EB103" s="12" t="str">
        <f t="shared" si="37"/>
        <v/>
      </c>
      <c r="EC103" s="20"/>
      <c r="ED103" s="12" t="str">
        <f t="shared" si="38"/>
        <v/>
      </c>
      <c r="EE103" s="45" t="str">
        <f t="shared" si="39"/>
        <v/>
      </c>
      <c r="EF103" s="15"/>
      <c r="EG103" s="15"/>
      <c r="EH103" s="20"/>
      <c r="EI103" s="12" t="str">
        <f>IF($A103="","",SUMIFS('Consumable Usage'!$E:$E,'Consumable Usage'!$A:$A,$A103,'Consumable Usage'!$D:$D,14))</f>
        <v/>
      </c>
      <c r="EJ103" s="12" t="str">
        <f>IF($A103="","",SUMIFS('Nursing Charges'!$I:$I,'Nursing Charges'!$A:$A,$A103,'Nursing Charges'!$C:$C,14))</f>
        <v/>
      </c>
      <c r="EK103" s="12" t="str">
        <f>IF($A103="","",EH103+(EJ103-SUMIFS('Nursing Charges'!$J:$J,'Nursing Charges'!$A:$A,$A103,'Nursing Charges'!$C:$C,14))+(EI103-SUMIFS('Consumable Usage'!$F:$F,'Consumable Usage'!$A:$A,$A103,'Consumable Usage'!$D:$D,14)))</f>
        <v/>
      </c>
      <c r="EL103" s="12" t="str">
        <f t="shared" si="40"/>
        <v/>
      </c>
      <c r="EM103" s="20"/>
      <c r="EN103" s="12" t="str">
        <f t="shared" si="41"/>
        <v/>
      </c>
      <c r="EO103" s="45" t="str">
        <f t="shared" si="42"/>
        <v/>
      </c>
      <c r="EP103" s="15"/>
      <c r="EQ103" s="15"/>
      <c r="ER103" s="20"/>
      <c r="ES103" s="12" t="str">
        <f>IF($A103="","",SUMIFS('Consumable Usage'!$E:$E,'Consumable Usage'!$A:$A,$A103,'Consumable Usage'!$D:$D,15))</f>
        <v/>
      </c>
      <c r="ET103" s="12" t="str">
        <f>IF($A103="","",SUMIFS('Nursing Charges'!$I:$I,'Nursing Charges'!$A:$A,$A103,'Nursing Charges'!$C:$C,15))</f>
        <v/>
      </c>
      <c r="EU103" s="12" t="str">
        <f>IF($A103="","",ER103+(ET103-SUMIFS('Nursing Charges'!$J:$J,'Nursing Charges'!$A:$A,$A103,'Nursing Charges'!$C:$C,15))+(ES103-SUMIFS('Consumable Usage'!$F:$F,'Consumable Usage'!$A:$A,$A103,'Consumable Usage'!$D:$D,15)))</f>
        <v/>
      </c>
      <c r="EV103" s="12" t="str">
        <f t="shared" si="43"/>
        <v/>
      </c>
      <c r="EW103" s="20"/>
      <c r="EX103" s="12" t="str">
        <f t="shared" si="44"/>
        <v/>
      </c>
      <c r="EY103" s="45" t="str">
        <f t="shared" si="45"/>
        <v/>
      </c>
      <c r="EZ103" s="15"/>
      <c r="FA103" s="15"/>
      <c r="FB103" s="20"/>
      <c r="FC103" s="12" t="str">
        <f>IF($A103="","",SUMIFS('Consumable Usage'!$E:$E,'Consumable Usage'!$A:$A,$A103,'Consumable Usage'!$D:$D,16))</f>
        <v/>
      </c>
      <c r="FD103" s="12" t="str">
        <f>IF($A103="","",SUMIFS('Nursing Charges'!$I:$I,'Nursing Charges'!$A:$A,$A103,'Nursing Charges'!$C:$C,16))</f>
        <v/>
      </c>
      <c r="FE103" s="12" t="str">
        <f>IF($A103="","",FB103+(FD103-SUMIFS('Nursing Charges'!$J:$J,'Nursing Charges'!$A:$A,$A103,'Nursing Charges'!$C:$C,16))+(FC103-SUMIFS('Consumable Usage'!$F:$F,'Consumable Usage'!$A:$A,$A103,'Consumable Usage'!$D:$D,16)))</f>
        <v/>
      </c>
      <c r="FF103" s="12" t="str">
        <f t="shared" si="46"/>
        <v/>
      </c>
      <c r="FG103" s="20"/>
      <c r="FH103" s="12" t="str">
        <f t="shared" si="47"/>
        <v/>
      </c>
      <c r="FI103" s="45" t="str">
        <f t="shared" si="48"/>
        <v/>
      </c>
      <c r="FJ103" s="53"/>
      <c r="FK103" s="53"/>
      <c r="FL103" s="63"/>
      <c r="FM103" s="63" t="str">
        <f>IF($A103="","",SUMIFS('Consumable Usage'!$E:$E,'Consumable Usage'!$A:$A,$A103,'Consumable Usage'!$D:$D,16))</f>
        <v/>
      </c>
      <c r="FN103" s="63" t="str">
        <f>IF($A103="","",SUMIFS('Nursing Charges'!$I:$I,'Nursing Charges'!$A:$A,$A103,'Nursing Charges'!$C:$C,16))</f>
        <v/>
      </c>
      <c r="FO103" s="63" t="str">
        <f>IF($A103="","",FL103+(FN103-SUMIFS('Nursing Charges'!$J:$J,'Nursing Charges'!$A:$A,$A103,'Nursing Charges'!$C:$C,16))+(FM103-SUMIFS('Consumable Usage'!$F:$F,'Consumable Usage'!$A:$A,$A103,'Consumable Usage'!$D:$D,16)))</f>
        <v/>
      </c>
      <c r="FP103" s="63" t="str">
        <f t="shared" si="49"/>
        <v/>
      </c>
      <c r="FQ103" s="63"/>
      <c r="FR103" s="63" t="str">
        <f t="shared" si="50"/>
        <v/>
      </c>
      <c r="FS103" s="53" t="str">
        <f t="shared" si="51"/>
        <v/>
      </c>
    </row>
    <row r="104" ht="15.0" customHeight="1">
      <c r="A104" s="15"/>
      <c r="B104" s="15"/>
      <c r="C104" s="15"/>
      <c r="D104" s="15"/>
      <c r="E104" s="15"/>
      <c r="F104" s="15"/>
      <c r="G104" s="15"/>
      <c r="H104" s="20"/>
      <c r="I104" s="12" t="str">
        <f>IF($A104="","",SUMIFS('Consumable Usage'!$E:$E,'Consumable Usage'!$A:$A,$A104,'Consumable Usage'!$D:$D,1))</f>
        <v/>
      </c>
      <c r="J104" s="12" t="str">
        <f>IF($A104="","",SUMIFS('Nursing Charges'!$I:$I,'Nursing Charges'!$A:$A,$A104,'Nursing Charges'!$C:$C,1))</f>
        <v/>
      </c>
      <c r="K104" s="12" t="str">
        <f>IF($A104="","",H104+(J104-SUMIFS('Nursing Charges'!$J:$J,'Nursing Charges'!$A:$A,$A104,'Nursing Charges'!$C:$C,1))+(I104-SUMIFS('Consumable Usage'!$F:$F,'Consumable Usage'!$A:$A,$A104,'Consumable Usage'!$D:$D,1)))</f>
        <v/>
      </c>
      <c r="L104" s="12" t="str">
        <f t="shared" si="1"/>
        <v/>
      </c>
      <c r="M104" s="20"/>
      <c r="N104" s="12" t="str">
        <f t="shared" si="2"/>
        <v/>
      </c>
      <c r="O104" s="45" t="str">
        <f t="shared" si="3"/>
        <v/>
      </c>
      <c r="P104" s="15"/>
      <c r="Q104" s="15"/>
      <c r="R104" s="20"/>
      <c r="S104" s="12" t="str">
        <f>IF($A104="","",SUMIFS('Consumable Usage'!$E:$E,'Consumable Usage'!$A:$A,$A104,'Consumable Usage'!$D:$D,2))</f>
        <v/>
      </c>
      <c r="T104" s="12" t="str">
        <f>IF($A104="","",SUMIFS('Nursing Charges'!$I:$I,'Nursing Charges'!$A:$A,$A104,'Nursing Charges'!$C:$C,2))</f>
        <v/>
      </c>
      <c r="U104" s="12" t="str">
        <f>IF($A104="","",R104+(T104-SUMIFS('Nursing Charges'!$J:$J,'Nursing Charges'!$A:$A,$A104,'Nursing Charges'!$C:$C,2))+(S104-SUMIFS('Consumable Usage'!$F:$F,'Consumable Usage'!$A:$A,$A104,'Consumable Usage'!$D:$D,2)))</f>
        <v/>
      </c>
      <c r="V104" s="12" t="str">
        <f t="shared" si="4"/>
        <v/>
      </c>
      <c r="W104" s="20"/>
      <c r="X104" s="12" t="str">
        <f t="shared" si="5"/>
        <v/>
      </c>
      <c r="Y104" s="45" t="str">
        <f t="shared" si="6"/>
        <v/>
      </c>
      <c r="Z104" s="15"/>
      <c r="AA104" s="15"/>
      <c r="AB104" s="20"/>
      <c r="AC104" s="12" t="str">
        <f>IF($A104="","",SUMIFS('Consumable Usage'!$E:$E,'Consumable Usage'!$A:$A,$A104,'Consumable Usage'!$D:$D,3))</f>
        <v/>
      </c>
      <c r="AD104" s="12" t="str">
        <f>IF($A104="","",SUMIFS('Nursing Charges'!$I:$I,'Nursing Charges'!$A:$A,$A104,'Nursing Charges'!$C:$C,3))</f>
        <v/>
      </c>
      <c r="AE104" s="12" t="str">
        <f>IF($A104="","",AB104+(AD104-SUMIFS('Nursing Charges'!$J:$J,'Nursing Charges'!$A:$A,$A104,'Nursing Charges'!$C:$C,3))+(AC104-SUMIFS('Consumable Usage'!$F:$F,'Consumable Usage'!$A:$A,$A104,'Consumable Usage'!$D:$D,3)))</f>
        <v/>
      </c>
      <c r="AF104" s="12" t="str">
        <f t="shared" si="7"/>
        <v/>
      </c>
      <c r="AG104" s="20"/>
      <c r="AH104" s="12" t="str">
        <f t="shared" si="8"/>
        <v/>
      </c>
      <c r="AI104" s="45" t="str">
        <f t="shared" si="9"/>
        <v/>
      </c>
      <c r="AJ104" s="15"/>
      <c r="AK104" s="15"/>
      <c r="AL104" s="20"/>
      <c r="AM104" s="12" t="str">
        <f>IF($A104="","",SUMIFS('Consumable Usage'!$E:$E,'Consumable Usage'!$A:$A,$A104,'Consumable Usage'!$D:$D,4))</f>
        <v/>
      </c>
      <c r="AN104" s="12" t="str">
        <f>IF($A104="","",SUMIFS('Nursing Charges'!$I:$I,'Nursing Charges'!$A:$A,$A104,'Nursing Charges'!$C:$C,4))</f>
        <v/>
      </c>
      <c r="AO104" s="12" t="str">
        <f>IF($A104="","",AL104+(AN104-SUMIFS('Nursing Charges'!$J:$J,'Nursing Charges'!$A:$A,$A104,'Nursing Charges'!$C:$C,4))+(AM104-SUMIFS('Consumable Usage'!$F:$F,'Consumable Usage'!$A:$A,$A104,'Consumable Usage'!$D:$D,4)))</f>
        <v/>
      </c>
      <c r="AP104" s="12" t="str">
        <f t="shared" si="10"/>
        <v/>
      </c>
      <c r="AQ104" s="20"/>
      <c r="AR104" s="12" t="str">
        <f t="shared" si="11"/>
        <v/>
      </c>
      <c r="AS104" s="45" t="str">
        <f t="shared" si="12"/>
        <v/>
      </c>
      <c r="AT104" s="15"/>
      <c r="AU104" s="15"/>
      <c r="AV104" s="20"/>
      <c r="AW104" s="12" t="str">
        <f>IF($A104="","",SUMIFS('Consumable Usage'!$E:$E,'Consumable Usage'!$A:$A,$A104,'Consumable Usage'!$D:$D,5))</f>
        <v/>
      </c>
      <c r="AX104" s="12" t="str">
        <f>IF($A104="","",SUMIFS('Nursing Charges'!$I:$I,'Nursing Charges'!$A:$A,$A104,'Nursing Charges'!$C:$C,5))</f>
        <v/>
      </c>
      <c r="AY104" s="12" t="str">
        <f>IF($A104="","",AV104+(AX104-SUMIFS('Nursing Charges'!$J:$J,'Nursing Charges'!$A:$A,$A104,'Nursing Charges'!$C:$C,5))+(AW104-SUMIFS('Consumable Usage'!$F:$F,'Consumable Usage'!$A:$A,$A104,'Consumable Usage'!$D:$D,5)))</f>
        <v/>
      </c>
      <c r="AZ104" s="12" t="str">
        <f t="shared" si="13"/>
        <v/>
      </c>
      <c r="BA104" s="20"/>
      <c r="BB104" s="12" t="str">
        <f t="shared" si="14"/>
        <v/>
      </c>
      <c r="BC104" s="45" t="str">
        <f t="shared" si="15"/>
        <v/>
      </c>
      <c r="BD104" s="15"/>
      <c r="BE104" s="15"/>
      <c r="BF104" s="20"/>
      <c r="BG104" s="12" t="str">
        <f>IF($A104="","",SUMIFS('Consumable Usage'!$E:$E,'Consumable Usage'!$A:$A,$A104,'Consumable Usage'!$D:$D,6))</f>
        <v/>
      </c>
      <c r="BH104" s="12" t="str">
        <f>IF($A104="","",SUMIFS('Nursing Charges'!$I:$I,'Nursing Charges'!$A:$A,$A104,'Nursing Charges'!$C:$C,6))</f>
        <v/>
      </c>
      <c r="BI104" s="12" t="str">
        <f>IF($A104="","",BF104+(BH104-SUMIFS('Nursing Charges'!$J:$J,'Nursing Charges'!$A:$A,$A104,'Nursing Charges'!$C:$C,6))+(BG104-SUMIFS('Consumable Usage'!$F:$F,'Consumable Usage'!$A:$A,$A104,'Consumable Usage'!$D:$D,6)))</f>
        <v/>
      </c>
      <c r="BJ104" s="12" t="str">
        <f t="shared" si="16"/>
        <v/>
      </c>
      <c r="BK104" s="20"/>
      <c r="BL104" s="12" t="str">
        <f t="shared" si="17"/>
        <v/>
      </c>
      <c r="BM104" s="45" t="str">
        <f t="shared" si="18"/>
        <v/>
      </c>
      <c r="BN104" s="15"/>
      <c r="BO104" s="15"/>
      <c r="BP104" s="20"/>
      <c r="BQ104" s="12" t="str">
        <f>IF($A104="","",SUMIFS('Consumable Usage'!$E:$E,'Consumable Usage'!$A:$A,$A104,'Consumable Usage'!$D:$D,7))</f>
        <v/>
      </c>
      <c r="BR104" s="12" t="str">
        <f>IF($A104="","",SUMIFS('Nursing Charges'!$I:$I,'Nursing Charges'!$A:$A,$A104,'Nursing Charges'!$C:$C,7))</f>
        <v/>
      </c>
      <c r="BS104" s="12" t="str">
        <f>IF($A104="","",BP104+(BR104-SUMIFS('Nursing Charges'!$J:$J,'Nursing Charges'!$A:$A,$A104,'Nursing Charges'!$C:$C,7))+(BQ104-SUMIFS('Consumable Usage'!$F:$F,'Consumable Usage'!$A:$A,$A104,'Consumable Usage'!$D:$D,7)))</f>
        <v/>
      </c>
      <c r="BT104" s="12" t="str">
        <f t="shared" si="19"/>
        <v/>
      </c>
      <c r="BU104" s="20"/>
      <c r="BV104" s="12" t="str">
        <f t="shared" si="20"/>
        <v/>
      </c>
      <c r="BW104" s="45" t="str">
        <f t="shared" si="21"/>
        <v/>
      </c>
      <c r="BX104" s="15"/>
      <c r="BY104" s="15"/>
      <c r="BZ104" s="20"/>
      <c r="CA104" s="12" t="str">
        <f>IF($A104="","",SUMIFS('Consumable Usage'!$E:$E,'Consumable Usage'!$A:$A,$A104,'Consumable Usage'!$D:$D,8))</f>
        <v/>
      </c>
      <c r="CB104" s="12" t="str">
        <f>IF($A104="","",SUMIFS('Nursing Charges'!$I:$I,'Nursing Charges'!$A:$A,$A104,'Nursing Charges'!$C:$C,8))</f>
        <v/>
      </c>
      <c r="CC104" s="12" t="str">
        <f>IF($A104="","",BZ104+(CB104-SUMIFS('Nursing Charges'!$J:$J,'Nursing Charges'!$A:$A,$A104,'Nursing Charges'!$C:$C,8))+(CA104-SUMIFS('Consumable Usage'!$F:$F,'Consumable Usage'!$A:$A,$A104,'Consumable Usage'!$D:$D,8)))</f>
        <v/>
      </c>
      <c r="CD104" s="12" t="str">
        <f t="shared" si="22"/>
        <v/>
      </c>
      <c r="CE104" s="20"/>
      <c r="CF104" s="12" t="str">
        <f t="shared" si="23"/>
        <v/>
      </c>
      <c r="CG104" s="45" t="str">
        <f t="shared" si="24"/>
        <v/>
      </c>
      <c r="CH104" s="15"/>
      <c r="CI104" s="15"/>
      <c r="CJ104" s="20"/>
      <c r="CK104" s="12" t="str">
        <f>IF($A104="","",SUMIFS('Consumable Usage'!$E:$E,'Consumable Usage'!$A:$A,$A104,'Consumable Usage'!$D:$D,9))</f>
        <v/>
      </c>
      <c r="CL104" s="12" t="str">
        <f>IF($A104="","",SUMIFS('Nursing Charges'!$I:$I,'Nursing Charges'!$A:$A,$A104,'Nursing Charges'!$C:$C,9))</f>
        <v/>
      </c>
      <c r="CM104" s="12" t="str">
        <f>IF($A104="","",CJ104+(CL104-SUMIFS('Nursing Charges'!$J:$J,'Nursing Charges'!$A:$A,$A104,'Nursing Charges'!$C:$C,9))+(CK104-SUMIFS('Consumable Usage'!$F:$F,'Consumable Usage'!$A:$A,$A104,'Consumable Usage'!$D:$D,9)))</f>
        <v/>
      </c>
      <c r="CN104" s="12" t="str">
        <f t="shared" si="25"/>
        <v/>
      </c>
      <c r="CO104" s="20"/>
      <c r="CP104" s="12" t="str">
        <f t="shared" si="26"/>
        <v/>
      </c>
      <c r="CQ104" s="45" t="str">
        <f t="shared" si="27"/>
        <v/>
      </c>
      <c r="CR104" s="15"/>
      <c r="CS104" s="15"/>
      <c r="CT104" s="20"/>
      <c r="CU104" s="12" t="str">
        <f>IF($A104="","",SUMIFS('Consumable Usage'!$E:$E,'Consumable Usage'!$A:$A,$A104,'Consumable Usage'!$D:$D,10))</f>
        <v/>
      </c>
      <c r="CV104" s="12" t="str">
        <f>IF($A104="","",SUMIFS('Nursing Charges'!$I:$I,'Nursing Charges'!$A:$A,$A104,'Nursing Charges'!$C:$C,10))</f>
        <v/>
      </c>
      <c r="CW104" s="12" t="str">
        <f>IF($A104="","",CT104+(CV104-SUMIFS('Nursing Charges'!$J:$J,'Nursing Charges'!$A:$A,$A104,'Nursing Charges'!$C:$C,10))+(CU104-SUMIFS('Consumable Usage'!$F:$F,'Consumable Usage'!$A:$A,$A104,'Consumable Usage'!$D:$D,10)))</f>
        <v/>
      </c>
      <c r="CX104" s="12" t="str">
        <f t="shared" si="28"/>
        <v/>
      </c>
      <c r="CY104" s="20"/>
      <c r="CZ104" s="12" t="str">
        <f t="shared" si="29"/>
        <v/>
      </c>
      <c r="DA104" s="45" t="str">
        <f t="shared" si="30"/>
        <v/>
      </c>
      <c r="DB104" s="15"/>
      <c r="DC104" s="15"/>
      <c r="DD104" s="20"/>
      <c r="DE104" s="12" t="str">
        <f>IF($A104="","",SUMIFS('Consumable Usage'!$E:$E,'Consumable Usage'!$A:$A,$A104,'Consumable Usage'!$D:$D,11))</f>
        <v/>
      </c>
      <c r="DF104" s="12" t="str">
        <f>IF($A104="","",SUMIFS('Nursing Charges'!$I:$I,'Nursing Charges'!$A:$A,$A104,'Nursing Charges'!$C:$C,11))</f>
        <v/>
      </c>
      <c r="DG104" s="12" t="str">
        <f>IF($A104="","",DD104+(DF104-SUMIFS('Nursing Charges'!$J:$J,'Nursing Charges'!$A:$A,$A104,'Nursing Charges'!$C:$C,11))+(DE104-SUMIFS('Consumable Usage'!$F:$F,'Consumable Usage'!$A:$A,$A104,'Consumable Usage'!$D:$D,11)))</f>
        <v/>
      </c>
      <c r="DH104" s="12" t="str">
        <f t="shared" si="31"/>
        <v/>
      </c>
      <c r="DI104" s="20"/>
      <c r="DJ104" s="12" t="str">
        <f t="shared" si="32"/>
        <v/>
      </c>
      <c r="DK104" s="45" t="str">
        <f t="shared" si="33"/>
        <v/>
      </c>
      <c r="DL104" s="15"/>
      <c r="DM104" s="15"/>
      <c r="DN104" s="20"/>
      <c r="DO104" s="12" t="str">
        <f>IF($A104="","",SUMIFS('Consumable Usage'!$E:$E,'Consumable Usage'!$A:$A,$A104,'Consumable Usage'!$D:$D,12))</f>
        <v/>
      </c>
      <c r="DP104" s="12" t="str">
        <f>IF($A104="","",SUMIFS('Nursing Charges'!$I:$I,'Nursing Charges'!$A:$A,$A104,'Nursing Charges'!$C:$C,12))</f>
        <v/>
      </c>
      <c r="DQ104" s="12" t="str">
        <f>IF($A104="","",DN104+(DP104-SUMIFS('Nursing Charges'!$J:$J,'Nursing Charges'!$A:$A,$A104,'Nursing Charges'!$C:$C,12))+(DO104-SUMIFS('Consumable Usage'!$F:$F,'Consumable Usage'!$A:$A,$A104,'Consumable Usage'!$D:$D,12)))</f>
        <v/>
      </c>
      <c r="DR104" s="12" t="str">
        <f t="shared" si="34"/>
        <v/>
      </c>
      <c r="DS104" s="20"/>
      <c r="DT104" s="12" t="str">
        <f t="shared" si="35"/>
        <v/>
      </c>
      <c r="DU104" s="45" t="str">
        <f t="shared" si="36"/>
        <v/>
      </c>
      <c r="DV104" s="15"/>
      <c r="DW104" s="15"/>
      <c r="DX104" s="20"/>
      <c r="DY104" s="12" t="str">
        <f>IF($A104="","",SUMIFS('Consumable Usage'!$E:$E,'Consumable Usage'!$A:$A,$A104,'Consumable Usage'!$D:$D,13))</f>
        <v/>
      </c>
      <c r="DZ104" s="12" t="str">
        <f>IF($A104="","",SUMIFS('Nursing Charges'!$I:$I,'Nursing Charges'!$A:$A,$A104,'Nursing Charges'!$C:$C,13))</f>
        <v/>
      </c>
      <c r="EA104" s="12" t="str">
        <f>IF($A104="","",DX104+(DZ104-SUMIFS('Nursing Charges'!$J:$J,'Nursing Charges'!$A:$A,$A104,'Nursing Charges'!$C:$C,13))+(DY104-SUMIFS('Consumable Usage'!$F:$F,'Consumable Usage'!$A:$A,$A104,'Consumable Usage'!$D:$D,13)))</f>
        <v/>
      </c>
      <c r="EB104" s="12" t="str">
        <f t="shared" si="37"/>
        <v/>
      </c>
      <c r="EC104" s="20"/>
      <c r="ED104" s="12" t="str">
        <f t="shared" si="38"/>
        <v/>
      </c>
      <c r="EE104" s="45" t="str">
        <f t="shared" si="39"/>
        <v/>
      </c>
      <c r="EF104" s="15"/>
      <c r="EG104" s="15"/>
      <c r="EH104" s="20"/>
      <c r="EI104" s="12" t="str">
        <f>IF($A104="","",SUMIFS('Consumable Usage'!$E:$E,'Consumable Usage'!$A:$A,$A104,'Consumable Usage'!$D:$D,14))</f>
        <v/>
      </c>
      <c r="EJ104" s="12" t="str">
        <f>IF($A104="","",SUMIFS('Nursing Charges'!$I:$I,'Nursing Charges'!$A:$A,$A104,'Nursing Charges'!$C:$C,14))</f>
        <v/>
      </c>
      <c r="EK104" s="12" t="str">
        <f>IF($A104="","",EH104+(EJ104-SUMIFS('Nursing Charges'!$J:$J,'Nursing Charges'!$A:$A,$A104,'Nursing Charges'!$C:$C,14))+(EI104-SUMIFS('Consumable Usage'!$F:$F,'Consumable Usage'!$A:$A,$A104,'Consumable Usage'!$D:$D,14)))</f>
        <v/>
      </c>
      <c r="EL104" s="12" t="str">
        <f t="shared" si="40"/>
        <v/>
      </c>
      <c r="EM104" s="20"/>
      <c r="EN104" s="12" t="str">
        <f t="shared" si="41"/>
        <v/>
      </c>
      <c r="EO104" s="45" t="str">
        <f t="shared" si="42"/>
        <v/>
      </c>
      <c r="EP104" s="15"/>
      <c r="EQ104" s="15"/>
      <c r="ER104" s="20"/>
      <c r="ES104" s="12" t="str">
        <f>IF($A104="","",SUMIFS('Consumable Usage'!$E:$E,'Consumable Usage'!$A:$A,$A104,'Consumable Usage'!$D:$D,15))</f>
        <v/>
      </c>
      <c r="ET104" s="12" t="str">
        <f>IF($A104="","",SUMIFS('Nursing Charges'!$I:$I,'Nursing Charges'!$A:$A,$A104,'Nursing Charges'!$C:$C,15))</f>
        <v/>
      </c>
      <c r="EU104" s="12" t="str">
        <f>IF($A104="","",ER104+(ET104-SUMIFS('Nursing Charges'!$J:$J,'Nursing Charges'!$A:$A,$A104,'Nursing Charges'!$C:$C,15))+(ES104-SUMIFS('Consumable Usage'!$F:$F,'Consumable Usage'!$A:$A,$A104,'Consumable Usage'!$D:$D,15)))</f>
        <v/>
      </c>
      <c r="EV104" s="12" t="str">
        <f t="shared" si="43"/>
        <v/>
      </c>
      <c r="EW104" s="20"/>
      <c r="EX104" s="12" t="str">
        <f t="shared" si="44"/>
        <v/>
      </c>
      <c r="EY104" s="45" t="str">
        <f t="shared" si="45"/>
        <v/>
      </c>
      <c r="EZ104" s="15"/>
      <c r="FA104" s="15"/>
      <c r="FB104" s="20"/>
      <c r="FC104" s="12" t="str">
        <f>IF($A104="","",SUMIFS('Consumable Usage'!$E:$E,'Consumable Usage'!$A:$A,$A104,'Consumable Usage'!$D:$D,16))</f>
        <v/>
      </c>
      <c r="FD104" s="12" t="str">
        <f>IF($A104="","",SUMIFS('Nursing Charges'!$I:$I,'Nursing Charges'!$A:$A,$A104,'Nursing Charges'!$C:$C,16))</f>
        <v/>
      </c>
      <c r="FE104" s="12" t="str">
        <f>IF($A104="","",FB104+(FD104-SUMIFS('Nursing Charges'!$J:$J,'Nursing Charges'!$A:$A,$A104,'Nursing Charges'!$C:$C,16))+(FC104-SUMIFS('Consumable Usage'!$F:$F,'Consumable Usage'!$A:$A,$A104,'Consumable Usage'!$D:$D,16)))</f>
        <v/>
      </c>
      <c r="FF104" s="12" t="str">
        <f t="shared" si="46"/>
        <v/>
      </c>
      <c r="FG104" s="20"/>
      <c r="FH104" s="12" t="str">
        <f t="shared" si="47"/>
        <v/>
      </c>
      <c r="FI104" s="45" t="str">
        <f t="shared" si="48"/>
        <v/>
      </c>
      <c r="FJ104" s="53"/>
      <c r="FK104" s="53"/>
      <c r="FL104" s="63"/>
      <c r="FM104" s="63" t="str">
        <f>IF($A104="","",SUMIFS('Consumable Usage'!$E:$E,'Consumable Usage'!$A:$A,$A104,'Consumable Usage'!$D:$D,16))</f>
        <v/>
      </c>
      <c r="FN104" s="63" t="str">
        <f>IF($A104="","",SUMIFS('Nursing Charges'!$I:$I,'Nursing Charges'!$A:$A,$A104,'Nursing Charges'!$C:$C,16))</f>
        <v/>
      </c>
      <c r="FO104" s="63" t="str">
        <f>IF($A104="","",FL104+(FN104-SUMIFS('Nursing Charges'!$J:$J,'Nursing Charges'!$A:$A,$A104,'Nursing Charges'!$C:$C,16))+(FM104-SUMIFS('Consumable Usage'!$F:$F,'Consumable Usage'!$A:$A,$A104,'Consumable Usage'!$D:$D,16)))</f>
        <v/>
      </c>
      <c r="FP104" s="63" t="str">
        <f t="shared" si="49"/>
        <v/>
      </c>
      <c r="FQ104" s="63"/>
      <c r="FR104" s="63" t="str">
        <f t="shared" si="50"/>
        <v/>
      </c>
      <c r="FS104" s="53" t="str">
        <f t="shared" si="51"/>
        <v/>
      </c>
    </row>
    <row r="105" ht="15.0" customHeight="1">
      <c r="A105" s="15"/>
      <c r="B105" s="15"/>
      <c r="C105" s="15"/>
      <c r="D105" s="15"/>
      <c r="E105" s="15"/>
      <c r="F105" s="15"/>
      <c r="G105" s="15"/>
      <c r="H105" s="20"/>
      <c r="I105" s="12" t="str">
        <f>IF($A105="","",SUMIFS('Consumable Usage'!$E:$E,'Consumable Usage'!$A:$A,$A105,'Consumable Usage'!$D:$D,1))</f>
        <v/>
      </c>
      <c r="J105" s="12" t="str">
        <f>IF($A105="","",SUMIFS('Nursing Charges'!$I:$I,'Nursing Charges'!$A:$A,$A105,'Nursing Charges'!$C:$C,1))</f>
        <v/>
      </c>
      <c r="K105" s="12" t="str">
        <f>IF($A105="","",H105+(J105-SUMIFS('Nursing Charges'!$J:$J,'Nursing Charges'!$A:$A,$A105,'Nursing Charges'!$C:$C,1))+(I105-SUMIFS('Consumable Usage'!$F:$F,'Consumable Usage'!$A:$A,$A105,'Consumable Usage'!$D:$D,1)))</f>
        <v/>
      </c>
      <c r="L105" s="12" t="str">
        <f t="shared" si="1"/>
        <v/>
      </c>
      <c r="M105" s="20"/>
      <c r="N105" s="12" t="str">
        <f t="shared" si="2"/>
        <v/>
      </c>
      <c r="O105" s="45" t="str">
        <f t="shared" si="3"/>
        <v/>
      </c>
      <c r="P105" s="15"/>
      <c r="Q105" s="15"/>
      <c r="R105" s="20"/>
      <c r="S105" s="12" t="str">
        <f>IF($A105="","",SUMIFS('Consumable Usage'!$E:$E,'Consumable Usage'!$A:$A,$A105,'Consumable Usage'!$D:$D,2))</f>
        <v/>
      </c>
      <c r="T105" s="12" t="str">
        <f>IF($A105="","",SUMIFS('Nursing Charges'!$I:$I,'Nursing Charges'!$A:$A,$A105,'Nursing Charges'!$C:$C,2))</f>
        <v/>
      </c>
      <c r="U105" s="12" t="str">
        <f>IF($A105="","",R105+(T105-SUMIFS('Nursing Charges'!$J:$J,'Nursing Charges'!$A:$A,$A105,'Nursing Charges'!$C:$C,2))+(S105-SUMIFS('Consumable Usage'!$F:$F,'Consumable Usage'!$A:$A,$A105,'Consumable Usage'!$D:$D,2)))</f>
        <v/>
      </c>
      <c r="V105" s="12" t="str">
        <f t="shared" si="4"/>
        <v/>
      </c>
      <c r="W105" s="20"/>
      <c r="X105" s="12" t="str">
        <f t="shared" si="5"/>
        <v/>
      </c>
      <c r="Y105" s="45" t="str">
        <f t="shared" si="6"/>
        <v/>
      </c>
      <c r="Z105" s="15"/>
      <c r="AA105" s="15"/>
      <c r="AB105" s="20"/>
      <c r="AC105" s="12" t="str">
        <f>IF($A105="","",SUMIFS('Consumable Usage'!$E:$E,'Consumable Usage'!$A:$A,$A105,'Consumable Usage'!$D:$D,3))</f>
        <v/>
      </c>
      <c r="AD105" s="12" t="str">
        <f>IF($A105="","",SUMIFS('Nursing Charges'!$I:$I,'Nursing Charges'!$A:$A,$A105,'Nursing Charges'!$C:$C,3))</f>
        <v/>
      </c>
      <c r="AE105" s="12" t="str">
        <f>IF($A105="","",AB105+(AD105-SUMIFS('Nursing Charges'!$J:$J,'Nursing Charges'!$A:$A,$A105,'Nursing Charges'!$C:$C,3))+(AC105-SUMIFS('Consumable Usage'!$F:$F,'Consumable Usage'!$A:$A,$A105,'Consumable Usage'!$D:$D,3)))</f>
        <v/>
      </c>
      <c r="AF105" s="12" t="str">
        <f t="shared" si="7"/>
        <v/>
      </c>
      <c r="AG105" s="20"/>
      <c r="AH105" s="12" t="str">
        <f t="shared" si="8"/>
        <v/>
      </c>
      <c r="AI105" s="45" t="str">
        <f t="shared" si="9"/>
        <v/>
      </c>
      <c r="AJ105" s="15"/>
      <c r="AK105" s="15"/>
      <c r="AL105" s="20"/>
      <c r="AM105" s="12" t="str">
        <f>IF($A105="","",SUMIFS('Consumable Usage'!$E:$E,'Consumable Usage'!$A:$A,$A105,'Consumable Usage'!$D:$D,4))</f>
        <v/>
      </c>
      <c r="AN105" s="12" t="str">
        <f>IF($A105="","",SUMIFS('Nursing Charges'!$I:$I,'Nursing Charges'!$A:$A,$A105,'Nursing Charges'!$C:$C,4))</f>
        <v/>
      </c>
      <c r="AO105" s="12" t="str">
        <f>IF($A105="","",AL105+(AN105-SUMIFS('Nursing Charges'!$J:$J,'Nursing Charges'!$A:$A,$A105,'Nursing Charges'!$C:$C,4))+(AM105-SUMIFS('Consumable Usage'!$F:$F,'Consumable Usage'!$A:$A,$A105,'Consumable Usage'!$D:$D,4)))</f>
        <v/>
      </c>
      <c r="AP105" s="12" t="str">
        <f t="shared" si="10"/>
        <v/>
      </c>
      <c r="AQ105" s="20"/>
      <c r="AR105" s="12" t="str">
        <f t="shared" si="11"/>
        <v/>
      </c>
      <c r="AS105" s="45" t="str">
        <f t="shared" si="12"/>
        <v/>
      </c>
      <c r="AT105" s="15"/>
      <c r="AU105" s="15"/>
      <c r="AV105" s="20"/>
      <c r="AW105" s="12" t="str">
        <f>IF($A105="","",SUMIFS('Consumable Usage'!$E:$E,'Consumable Usage'!$A:$A,$A105,'Consumable Usage'!$D:$D,5))</f>
        <v/>
      </c>
      <c r="AX105" s="12" t="str">
        <f>IF($A105="","",SUMIFS('Nursing Charges'!$I:$I,'Nursing Charges'!$A:$A,$A105,'Nursing Charges'!$C:$C,5))</f>
        <v/>
      </c>
      <c r="AY105" s="12" t="str">
        <f>IF($A105="","",AV105+(AX105-SUMIFS('Nursing Charges'!$J:$J,'Nursing Charges'!$A:$A,$A105,'Nursing Charges'!$C:$C,5))+(AW105-SUMIFS('Consumable Usage'!$F:$F,'Consumable Usage'!$A:$A,$A105,'Consumable Usage'!$D:$D,5)))</f>
        <v/>
      </c>
      <c r="AZ105" s="12" t="str">
        <f t="shared" si="13"/>
        <v/>
      </c>
      <c r="BA105" s="20"/>
      <c r="BB105" s="12" t="str">
        <f t="shared" si="14"/>
        <v/>
      </c>
      <c r="BC105" s="45" t="str">
        <f t="shared" si="15"/>
        <v/>
      </c>
      <c r="BD105" s="15"/>
      <c r="BE105" s="15"/>
      <c r="BF105" s="20"/>
      <c r="BG105" s="12" t="str">
        <f>IF($A105="","",SUMIFS('Consumable Usage'!$E:$E,'Consumable Usage'!$A:$A,$A105,'Consumable Usage'!$D:$D,6))</f>
        <v/>
      </c>
      <c r="BH105" s="12" t="str">
        <f>IF($A105="","",SUMIFS('Nursing Charges'!$I:$I,'Nursing Charges'!$A:$A,$A105,'Nursing Charges'!$C:$C,6))</f>
        <v/>
      </c>
      <c r="BI105" s="12" t="str">
        <f>IF($A105="","",BF105+(BH105-SUMIFS('Nursing Charges'!$J:$J,'Nursing Charges'!$A:$A,$A105,'Nursing Charges'!$C:$C,6))+(BG105-SUMIFS('Consumable Usage'!$F:$F,'Consumable Usage'!$A:$A,$A105,'Consumable Usage'!$D:$D,6)))</f>
        <v/>
      </c>
      <c r="BJ105" s="12" t="str">
        <f t="shared" si="16"/>
        <v/>
      </c>
      <c r="BK105" s="20"/>
      <c r="BL105" s="12" t="str">
        <f t="shared" si="17"/>
        <v/>
      </c>
      <c r="BM105" s="45" t="str">
        <f t="shared" si="18"/>
        <v/>
      </c>
      <c r="BN105" s="15"/>
      <c r="BO105" s="15"/>
      <c r="BP105" s="20"/>
      <c r="BQ105" s="12" t="str">
        <f>IF($A105="","",SUMIFS('Consumable Usage'!$E:$E,'Consumable Usage'!$A:$A,$A105,'Consumable Usage'!$D:$D,7))</f>
        <v/>
      </c>
      <c r="BR105" s="12" t="str">
        <f>IF($A105="","",SUMIFS('Nursing Charges'!$I:$I,'Nursing Charges'!$A:$A,$A105,'Nursing Charges'!$C:$C,7))</f>
        <v/>
      </c>
      <c r="BS105" s="12" t="str">
        <f>IF($A105="","",BP105+(BR105-SUMIFS('Nursing Charges'!$J:$J,'Nursing Charges'!$A:$A,$A105,'Nursing Charges'!$C:$C,7))+(BQ105-SUMIFS('Consumable Usage'!$F:$F,'Consumable Usage'!$A:$A,$A105,'Consumable Usage'!$D:$D,7)))</f>
        <v/>
      </c>
      <c r="BT105" s="12" t="str">
        <f t="shared" si="19"/>
        <v/>
      </c>
      <c r="BU105" s="20"/>
      <c r="BV105" s="12" t="str">
        <f t="shared" si="20"/>
        <v/>
      </c>
      <c r="BW105" s="45" t="str">
        <f t="shared" si="21"/>
        <v/>
      </c>
      <c r="BX105" s="15"/>
      <c r="BY105" s="15"/>
      <c r="BZ105" s="20"/>
      <c r="CA105" s="12" t="str">
        <f>IF($A105="","",SUMIFS('Consumable Usage'!$E:$E,'Consumable Usage'!$A:$A,$A105,'Consumable Usage'!$D:$D,8))</f>
        <v/>
      </c>
      <c r="CB105" s="12" t="str">
        <f>IF($A105="","",SUMIFS('Nursing Charges'!$I:$I,'Nursing Charges'!$A:$A,$A105,'Nursing Charges'!$C:$C,8))</f>
        <v/>
      </c>
      <c r="CC105" s="12" t="str">
        <f>IF($A105="","",BZ105+(CB105-SUMIFS('Nursing Charges'!$J:$J,'Nursing Charges'!$A:$A,$A105,'Nursing Charges'!$C:$C,8))+(CA105-SUMIFS('Consumable Usage'!$F:$F,'Consumable Usage'!$A:$A,$A105,'Consumable Usage'!$D:$D,8)))</f>
        <v/>
      </c>
      <c r="CD105" s="12" t="str">
        <f t="shared" si="22"/>
        <v/>
      </c>
      <c r="CE105" s="20"/>
      <c r="CF105" s="12" t="str">
        <f t="shared" si="23"/>
        <v/>
      </c>
      <c r="CG105" s="45" t="str">
        <f t="shared" si="24"/>
        <v/>
      </c>
      <c r="CH105" s="15"/>
      <c r="CI105" s="15"/>
      <c r="CJ105" s="20"/>
      <c r="CK105" s="12" t="str">
        <f>IF($A105="","",SUMIFS('Consumable Usage'!$E:$E,'Consumable Usage'!$A:$A,$A105,'Consumable Usage'!$D:$D,9))</f>
        <v/>
      </c>
      <c r="CL105" s="12" t="str">
        <f>IF($A105="","",SUMIFS('Nursing Charges'!$I:$I,'Nursing Charges'!$A:$A,$A105,'Nursing Charges'!$C:$C,9))</f>
        <v/>
      </c>
      <c r="CM105" s="12" t="str">
        <f>IF($A105="","",CJ105+(CL105-SUMIFS('Nursing Charges'!$J:$J,'Nursing Charges'!$A:$A,$A105,'Nursing Charges'!$C:$C,9))+(CK105-SUMIFS('Consumable Usage'!$F:$F,'Consumable Usage'!$A:$A,$A105,'Consumable Usage'!$D:$D,9)))</f>
        <v/>
      </c>
      <c r="CN105" s="12" t="str">
        <f t="shared" si="25"/>
        <v/>
      </c>
      <c r="CO105" s="20"/>
      <c r="CP105" s="12" t="str">
        <f t="shared" si="26"/>
        <v/>
      </c>
      <c r="CQ105" s="45" t="str">
        <f t="shared" si="27"/>
        <v/>
      </c>
      <c r="CR105" s="15"/>
      <c r="CS105" s="15"/>
      <c r="CT105" s="20"/>
      <c r="CU105" s="12" t="str">
        <f>IF($A105="","",SUMIFS('Consumable Usage'!$E:$E,'Consumable Usage'!$A:$A,$A105,'Consumable Usage'!$D:$D,10))</f>
        <v/>
      </c>
      <c r="CV105" s="12" t="str">
        <f>IF($A105="","",SUMIFS('Nursing Charges'!$I:$I,'Nursing Charges'!$A:$A,$A105,'Nursing Charges'!$C:$C,10))</f>
        <v/>
      </c>
      <c r="CW105" s="12" t="str">
        <f>IF($A105="","",CT105+(CV105-SUMIFS('Nursing Charges'!$J:$J,'Nursing Charges'!$A:$A,$A105,'Nursing Charges'!$C:$C,10))+(CU105-SUMIFS('Consumable Usage'!$F:$F,'Consumable Usage'!$A:$A,$A105,'Consumable Usage'!$D:$D,10)))</f>
        <v/>
      </c>
      <c r="CX105" s="12" t="str">
        <f t="shared" si="28"/>
        <v/>
      </c>
      <c r="CY105" s="20"/>
      <c r="CZ105" s="12" t="str">
        <f t="shared" si="29"/>
        <v/>
      </c>
      <c r="DA105" s="45" t="str">
        <f t="shared" si="30"/>
        <v/>
      </c>
      <c r="DB105" s="15"/>
      <c r="DC105" s="15"/>
      <c r="DD105" s="20"/>
      <c r="DE105" s="12" t="str">
        <f>IF($A105="","",SUMIFS('Consumable Usage'!$E:$E,'Consumable Usage'!$A:$A,$A105,'Consumable Usage'!$D:$D,11))</f>
        <v/>
      </c>
      <c r="DF105" s="12" t="str">
        <f>IF($A105="","",SUMIFS('Nursing Charges'!$I:$I,'Nursing Charges'!$A:$A,$A105,'Nursing Charges'!$C:$C,11))</f>
        <v/>
      </c>
      <c r="DG105" s="12" t="str">
        <f>IF($A105="","",DD105+(DF105-SUMIFS('Nursing Charges'!$J:$J,'Nursing Charges'!$A:$A,$A105,'Nursing Charges'!$C:$C,11))+(DE105-SUMIFS('Consumable Usage'!$F:$F,'Consumable Usage'!$A:$A,$A105,'Consumable Usage'!$D:$D,11)))</f>
        <v/>
      </c>
      <c r="DH105" s="12" t="str">
        <f t="shared" si="31"/>
        <v/>
      </c>
      <c r="DI105" s="20"/>
      <c r="DJ105" s="12" t="str">
        <f t="shared" si="32"/>
        <v/>
      </c>
      <c r="DK105" s="45" t="str">
        <f t="shared" si="33"/>
        <v/>
      </c>
      <c r="DL105" s="15"/>
      <c r="DM105" s="15"/>
      <c r="DN105" s="20"/>
      <c r="DO105" s="12" t="str">
        <f>IF($A105="","",SUMIFS('Consumable Usage'!$E:$E,'Consumable Usage'!$A:$A,$A105,'Consumable Usage'!$D:$D,12))</f>
        <v/>
      </c>
      <c r="DP105" s="12" t="str">
        <f>IF($A105="","",SUMIFS('Nursing Charges'!$I:$I,'Nursing Charges'!$A:$A,$A105,'Nursing Charges'!$C:$C,12))</f>
        <v/>
      </c>
      <c r="DQ105" s="12" t="str">
        <f>IF($A105="","",DN105+(DP105-SUMIFS('Nursing Charges'!$J:$J,'Nursing Charges'!$A:$A,$A105,'Nursing Charges'!$C:$C,12))+(DO105-SUMIFS('Consumable Usage'!$F:$F,'Consumable Usage'!$A:$A,$A105,'Consumable Usage'!$D:$D,12)))</f>
        <v/>
      </c>
      <c r="DR105" s="12" t="str">
        <f t="shared" si="34"/>
        <v/>
      </c>
      <c r="DS105" s="20"/>
      <c r="DT105" s="12" t="str">
        <f t="shared" si="35"/>
        <v/>
      </c>
      <c r="DU105" s="45" t="str">
        <f t="shared" si="36"/>
        <v/>
      </c>
      <c r="DV105" s="15"/>
      <c r="DW105" s="15"/>
      <c r="DX105" s="20"/>
      <c r="DY105" s="12" t="str">
        <f>IF($A105="","",SUMIFS('Consumable Usage'!$E:$E,'Consumable Usage'!$A:$A,$A105,'Consumable Usage'!$D:$D,13))</f>
        <v/>
      </c>
      <c r="DZ105" s="12" t="str">
        <f>IF($A105="","",SUMIFS('Nursing Charges'!$I:$I,'Nursing Charges'!$A:$A,$A105,'Nursing Charges'!$C:$C,13))</f>
        <v/>
      </c>
      <c r="EA105" s="12" t="str">
        <f>IF($A105="","",DX105+(DZ105-SUMIFS('Nursing Charges'!$J:$J,'Nursing Charges'!$A:$A,$A105,'Nursing Charges'!$C:$C,13))+(DY105-SUMIFS('Consumable Usage'!$F:$F,'Consumable Usage'!$A:$A,$A105,'Consumable Usage'!$D:$D,13)))</f>
        <v/>
      </c>
      <c r="EB105" s="12" t="str">
        <f t="shared" si="37"/>
        <v/>
      </c>
      <c r="EC105" s="20"/>
      <c r="ED105" s="12" t="str">
        <f t="shared" si="38"/>
        <v/>
      </c>
      <c r="EE105" s="45" t="str">
        <f t="shared" si="39"/>
        <v/>
      </c>
      <c r="EF105" s="15"/>
      <c r="EG105" s="15"/>
      <c r="EH105" s="20"/>
      <c r="EI105" s="12" t="str">
        <f>IF($A105="","",SUMIFS('Consumable Usage'!$E:$E,'Consumable Usage'!$A:$A,$A105,'Consumable Usage'!$D:$D,14))</f>
        <v/>
      </c>
      <c r="EJ105" s="12" t="str">
        <f>IF($A105="","",SUMIFS('Nursing Charges'!$I:$I,'Nursing Charges'!$A:$A,$A105,'Nursing Charges'!$C:$C,14))</f>
        <v/>
      </c>
      <c r="EK105" s="12" t="str">
        <f>IF($A105="","",EH105+(EJ105-SUMIFS('Nursing Charges'!$J:$J,'Nursing Charges'!$A:$A,$A105,'Nursing Charges'!$C:$C,14))+(EI105-SUMIFS('Consumable Usage'!$F:$F,'Consumable Usage'!$A:$A,$A105,'Consumable Usage'!$D:$D,14)))</f>
        <v/>
      </c>
      <c r="EL105" s="12" t="str">
        <f t="shared" si="40"/>
        <v/>
      </c>
      <c r="EM105" s="20"/>
      <c r="EN105" s="12" t="str">
        <f t="shared" si="41"/>
        <v/>
      </c>
      <c r="EO105" s="45" t="str">
        <f t="shared" si="42"/>
        <v/>
      </c>
      <c r="EP105" s="15"/>
      <c r="EQ105" s="15"/>
      <c r="ER105" s="20"/>
      <c r="ES105" s="12" t="str">
        <f>IF($A105="","",SUMIFS('Consumable Usage'!$E:$E,'Consumable Usage'!$A:$A,$A105,'Consumable Usage'!$D:$D,15))</f>
        <v/>
      </c>
      <c r="ET105" s="12" t="str">
        <f>IF($A105="","",SUMIFS('Nursing Charges'!$I:$I,'Nursing Charges'!$A:$A,$A105,'Nursing Charges'!$C:$C,15))</f>
        <v/>
      </c>
      <c r="EU105" s="12" t="str">
        <f>IF($A105="","",ER105+(ET105-SUMIFS('Nursing Charges'!$J:$J,'Nursing Charges'!$A:$A,$A105,'Nursing Charges'!$C:$C,15))+(ES105-SUMIFS('Consumable Usage'!$F:$F,'Consumable Usage'!$A:$A,$A105,'Consumable Usage'!$D:$D,15)))</f>
        <v/>
      </c>
      <c r="EV105" s="12" t="str">
        <f t="shared" si="43"/>
        <v/>
      </c>
      <c r="EW105" s="20"/>
      <c r="EX105" s="12" t="str">
        <f t="shared" si="44"/>
        <v/>
      </c>
      <c r="EY105" s="45" t="str">
        <f t="shared" si="45"/>
        <v/>
      </c>
      <c r="EZ105" s="15"/>
      <c r="FA105" s="15"/>
      <c r="FB105" s="20"/>
      <c r="FC105" s="12" t="str">
        <f>IF($A105="","",SUMIFS('Consumable Usage'!$E:$E,'Consumable Usage'!$A:$A,$A105,'Consumable Usage'!$D:$D,16))</f>
        <v/>
      </c>
      <c r="FD105" s="12" t="str">
        <f>IF($A105="","",SUMIFS('Nursing Charges'!$I:$I,'Nursing Charges'!$A:$A,$A105,'Nursing Charges'!$C:$C,16))</f>
        <v/>
      </c>
      <c r="FE105" s="12" t="str">
        <f>IF($A105="","",FB105+(FD105-SUMIFS('Nursing Charges'!$J:$J,'Nursing Charges'!$A:$A,$A105,'Nursing Charges'!$C:$C,16))+(FC105-SUMIFS('Consumable Usage'!$F:$F,'Consumable Usage'!$A:$A,$A105,'Consumable Usage'!$D:$D,16)))</f>
        <v/>
      </c>
      <c r="FF105" s="12" t="str">
        <f t="shared" si="46"/>
        <v/>
      </c>
      <c r="FG105" s="20"/>
      <c r="FH105" s="12" t="str">
        <f t="shared" si="47"/>
        <v/>
      </c>
      <c r="FI105" s="45" t="str">
        <f t="shared" si="48"/>
        <v/>
      </c>
      <c r="FJ105" s="53"/>
      <c r="FK105" s="53"/>
      <c r="FL105" s="63"/>
      <c r="FM105" s="63" t="str">
        <f>IF($A105="","",SUMIFS('Consumable Usage'!$E:$E,'Consumable Usage'!$A:$A,$A105,'Consumable Usage'!$D:$D,16))</f>
        <v/>
      </c>
      <c r="FN105" s="63" t="str">
        <f>IF($A105="","",SUMIFS('Nursing Charges'!$I:$I,'Nursing Charges'!$A:$A,$A105,'Nursing Charges'!$C:$C,16))</f>
        <v/>
      </c>
      <c r="FO105" s="63" t="str">
        <f>IF($A105="","",FL105+(FN105-SUMIFS('Nursing Charges'!$J:$J,'Nursing Charges'!$A:$A,$A105,'Nursing Charges'!$C:$C,16))+(FM105-SUMIFS('Consumable Usage'!$F:$F,'Consumable Usage'!$A:$A,$A105,'Consumable Usage'!$D:$D,16)))</f>
        <v/>
      </c>
      <c r="FP105" s="63" t="str">
        <f t="shared" si="49"/>
        <v/>
      </c>
      <c r="FQ105" s="63"/>
      <c r="FR105" s="63" t="str">
        <f t="shared" si="50"/>
        <v/>
      </c>
      <c r="FS105" s="53" t="str">
        <f t="shared" si="51"/>
        <v/>
      </c>
    </row>
    <row r="106" ht="15.0" customHeight="1">
      <c r="A106" s="15"/>
      <c r="B106" s="15"/>
      <c r="C106" s="15"/>
      <c r="D106" s="15"/>
      <c r="E106" s="15"/>
      <c r="F106" s="15"/>
      <c r="G106" s="15"/>
      <c r="H106" s="20"/>
      <c r="I106" s="12" t="str">
        <f>IF($A106="","",SUMIFS('Consumable Usage'!$E:$E,'Consumable Usage'!$A:$A,$A106,'Consumable Usage'!$D:$D,1))</f>
        <v/>
      </c>
      <c r="J106" s="12" t="str">
        <f>IF($A106="","",SUMIFS('Nursing Charges'!$I:$I,'Nursing Charges'!$A:$A,$A106,'Nursing Charges'!$C:$C,1))</f>
        <v/>
      </c>
      <c r="K106" s="12" t="str">
        <f>IF($A106="","",H106+(J106-SUMIFS('Nursing Charges'!$J:$J,'Nursing Charges'!$A:$A,$A106,'Nursing Charges'!$C:$C,1))+(I106-SUMIFS('Consumable Usage'!$F:$F,'Consumable Usage'!$A:$A,$A106,'Consumable Usage'!$D:$D,1)))</f>
        <v/>
      </c>
      <c r="L106" s="12" t="str">
        <f t="shared" si="1"/>
        <v/>
      </c>
      <c r="M106" s="20"/>
      <c r="N106" s="12" t="str">
        <f t="shared" si="2"/>
        <v/>
      </c>
      <c r="O106" s="45" t="str">
        <f t="shared" si="3"/>
        <v/>
      </c>
      <c r="P106" s="15"/>
      <c r="Q106" s="15"/>
      <c r="R106" s="20"/>
      <c r="S106" s="12" t="str">
        <f>IF($A106="","",SUMIFS('Consumable Usage'!$E:$E,'Consumable Usage'!$A:$A,$A106,'Consumable Usage'!$D:$D,2))</f>
        <v/>
      </c>
      <c r="T106" s="12" t="str">
        <f>IF($A106="","",SUMIFS('Nursing Charges'!$I:$I,'Nursing Charges'!$A:$A,$A106,'Nursing Charges'!$C:$C,2))</f>
        <v/>
      </c>
      <c r="U106" s="12" t="str">
        <f>IF($A106="","",R106+(T106-SUMIFS('Nursing Charges'!$J:$J,'Nursing Charges'!$A:$A,$A106,'Nursing Charges'!$C:$C,2))+(S106-SUMIFS('Consumable Usage'!$F:$F,'Consumable Usage'!$A:$A,$A106,'Consumable Usage'!$D:$D,2)))</f>
        <v/>
      </c>
      <c r="V106" s="12" t="str">
        <f t="shared" si="4"/>
        <v/>
      </c>
      <c r="W106" s="20"/>
      <c r="X106" s="12" t="str">
        <f t="shared" si="5"/>
        <v/>
      </c>
      <c r="Y106" s="45" t="str">
        <f t="shared" si="6"/>
        <v/>
      </c>
      <c r="Z106" s="15"/>
      <c r="AA106" s="15"/>
      <c r="AB106" s="20"/>
      <c r="AC106" s="12" t="str">
        <f>IF($A106="","",SUMIFS('Consumable Usage'!$E:$E,'Consumable Usage'!$A:$A,$A106,'Consumable Usage'!$D:$D,3))</f>
        <v/>
      </c>
      <c r="AD106" s="12" t="str">
        <f>IF($A106="","",SUMIFS('Nursing Charges'!$I:$I,'Nursing Charges'!$A:$A,$A106,'Nursing Charges'!$C:$C,3))</f>
        <v/>
      </c>
      <c r="AE106" s="12" t="str">
        <f>IF($A106="","",AB106+(AD106-SUMIFS('Nursing Charges'!$J:$J,'Nursing Charges'!$A:$A,$A106,'Nursing Charges'!$C:$C,3))+(AC106-SUMIFS('Consumable Usage'!$F:$F,'Consumable Usage'!$A:$A,$A106,'Consumable Usage'!$D:$D,3)))</f>
        <v/>
      </c>
      <c r="AF106" s="12" t="str">
        <f t="shared" si="7"/>
        <v/>
      </c>
      <c r="AG106" s="20"/>
      <c r="AH106" s="12" t="str">
        <f t="shared" si="8"/>
        <v/>
      </c>
      <c r="AI106" s="45" t="str">
        <f t="shared" si="9"/>
        <v/>
      </c>
      <c r="AJ106" s="15"/>
      <c r="AK106" s="15"/>
      <c r="AL106" s="20"/>
      <c r="AM106" s="12" t="str">
        <f>IF($A106="","",SUMIFS('Consumable Usage'!$E:$E,'Consumable Usage'!$A:$A,$A106,'Consumable Usage'!$D:$D,4))</f>
        <v/>
      </c>
      <c r="AN106" s="12" t="str">
        <f>IF($A106="","",SUMIFS('Nursing Charges'!$I:$I,'Nursing Charges'!$A:$A,$A106,'Nursing Charges'!$C:$C,4))</f>
        <v/>
      </c>
      <c r="AO106" s="12" t="str">
        <f>IF($A106="","",AL106+(AN106-SUMIFS('Nursing Charges'!$J:$J,'Nursing Charges'!$A:$A,$A106,'Nursing Charges'!$C:$C,4))+(AM106-SUMIFS('Consumable Usage'!$F:$F,'Consumable Usage'!$A:$A,$A106,'Consumable Usage'!$D:$D,4)))</f>
        <v/>
      </c>
      <c r="AP106" s="12" t="str">
        <f t="shared" si="10"/>
        <v/>
      </c>
      <c r="AQ106" s="20"/>
      <c r="AR106" s="12" t="str">
        <f t="shared" si="11"/>
        <v/>
      </c>
      <c r="AS106" s="45" t="str">
        <f t="shared" si="12"/>
        <v/>
      </c>
      <c r="AT106" s="15"/>
      <c r="AU106" s="15"/>
      <c r="AV106" s="20"/>
      <c r="AW106" s="12" t="str">
        <f>IF($A106="","",SUMIFS('Consumable Usage'!$E:$E,'Consumable Usage'!$A:$A,$A106,'Consumable Usage'!$D:$D,5))</f>
        <v/>
      </c>
      <c r="AX106" s="12" t="str">
        <f>IF($A106="","",SUMIFS('Nursing Charges'!$I:$I,'Nursing Charges'!$A:$A,$A106,'Nursing Charges'!$C:$C,5))</f>
        <v/>
      </c>
      <c r="AY106" s="12" t="str">
        <f>IF($A106="","",AV106+(AX106-SUMIFS('Nursing Charges'!$J:$J,'Nursing Charges'!$A:$A,$A106,'Nursing Charges'!$C:$C,5))+(AW106-SUMIFS('Consumable Usage'!$F:$F,'Consumable Usage'!$A:$A,$A106,'Consumable Usage'!$D:$D,5)))</f>
        <v/>
      </c>
      <c r="AZ106" s="12" t="str">
        <f t="shared" si="13"/>
        <v/>
      </c>
      <c r="BA106" s="20"/>
      <c r="BB106" s="12" t="str">
        <f t="shared" si="14"/>
        <v/>
      </c>
      <c r="BC106" s="45" t="str">
        <f t="shared" si="15"/>
        <v/>
      </c>
      <c r="BD106" s="15"/>
      <c r="BE106" s="15"/>
      <c r="BF106" s="20"/>
      <c r="BG106" s="12" t="str">
        <f>IF($A106="","",SUMIFS('Consumable Usage'!$E:$E,'Consumable Usage'!$A:$A,$A106,'Consumable Usage'!$D:$D,6))</f>
        <v/>
      </c>
      <c r="BH106" s="12" t="str">
        <f>IF($A106="","",SUMIFS('Nursing Charges'!$I:$I,'Nursing Charges'!$A:$A,$A106,'Nursing Charges'!$C:$C,6))</f>
        <v/>
      </c>
      <c r="BI106" s="12" t="str">
        <f>IF($A106="","",BF106+(BH106-SUMIFS('Nursing Charges'!$J:$J,'Nursing Charges'!$A:$A,$A106,'Nursing Charges'!$C:$C,6))+(BG106-SUMIFS('Consumable Usage'!$F:$F,'Consumable Usage'!$A:$A,$A106,'Consumable Usage'!$D:$D,6)))</f>
        <v/>
      </c>
      <c r="BJ106" s="12" t="str">
        <f t="shared" si="16"/>
        <v/>
      </c>
      <c r="BK106" s="20"/>
      <c r="BL106" s="12" t="str">
        <f t="shared" si="17"/>
        <v/>
      </c>
      <c r="BM106" s="45" t="str">
        <f t="shared" si="18"/>
        <v/>
      </c>
      <c r="BN106" s="15"/>
      <c r="BO106" s="15"/>
      <c r="BP106" s="20"/>
      <c r="BQ106" s="12" t="str">
        <f>IF($A106="","",SUMIFS('Consumable Usage'!$E:$E,'Consumable Usage'!$A:$A,$A106,'Consumable Usage'!$D:$D,7))</f>
        <v/>
      </c>
      <c r="BR106" s="12" t="str">
        <f>IF($A106="","",SUMIFS('Nursing Charges'!$I:$I,'Nursing Charges'!$A:$A,$A106,'Nursing Charges'!$C:$C,7))</f>
        <v/>
      </c>
      <c r="BS106" s="12" t="str">
        <f>IF($A106="","",BP106+(BR106-SUMIFS('Nursing Charges'!$J:$J,'Nursing Charges'!$A:$A,$A106,'Nursing Charges'!$C:$C,7))+(BQ106-SUMIFS('Consumable Usage'!$F:$F,'Consumable Usage'!$A:$A,$A106,'Consumable Usage'!$D:$D,7)))</f>
        <v/>
      </c>
      <c r="BT106" s="12" t="str">
        <f t="shared" si="19"/>
        <v/>
      </c>
      <c r="BU106" s="20"/>
      <c r="BV106" s="12" t="str">
        <f t="shared" si="20"/>
        <v/>
      </c>
      <c r="BW106" s="45" t="str">
        <f t="shared" si="21"/>
        <v/>
      </c>
      <c r="BX106" s="15"/>
      <c r="BY106" s="15"/>
      <c r="BZ106" s="20"/>
      <c r="CA106" s="12" t="str">
        <f>IF($A106="","",SUMIFS('Consumable Usage'!$E:$E,'Consumable Usage'!$A:$A,$A106,'Consumable Usage'!$D:$D,8))</f>
        <v/>
      </c>
      <c r="CB106" s="12" t="str">
        <f>IF($A106="","",SUMIFS('Nursing Charges'!$I:$I,'Nursing Charges'!$A:$A,$A106,'Nursing Charges'!$C:$C,8))</f>
        <v/>
      </c>
      <c r="CC106" s="12" t="str">
        <f>IF($A106="","",BZ106+(CB106-SUMIFS('Nursing Charges'!$J:$J,'Nursing Charges'!$A:$A,$A106,'Nursing Charges'!$C:$C,8))+(CA106-SUMIFS('Consumable Usage'!$F:$F,'Consumable Usage'!$A:$A,$A106,'Consumable Usage'!$D:$D,8)))</f>
        <v/>
      </c>
      <c r="CD106" s="12" t="str">
        <f t="shared" si="22"/>
        <v/>
      </c>
      <c r="CE106" s="20"/>
      <c r="CF106" s="12" t="str">
        <f t="shared" si="23"/>
        <v/>
      </c>
      <c r="CG106" s="45" t="str">
        <f t="shared" si="24"/>
        <v/>
      </c>
      <c r="CH106" s="15"/>
      <c r="CI106" s="15"/>
      <c r="CJ106" s="20"/>
      <c r="CK106" s="12" t="str">
        <f>IF($A106="","",SUMIFS('Consumable Usage'!$E:$E,'Consumable Usage'!$A:$A,$A106,'Consumable Usage'!$D:$D,9))</f>
        <v/>
      </c>
      <c r="CL106" s="12" t="str">
        <f>IF($A106="","",SUMIFS('Nursing Charges'!$I:$I,'Nursing Charges'!$A:$A,$A106,'Nursing Charges'!$C:$C,9))</f>
        <v/>
      </c>
      <c r="CM106" s="12" t="str">
        <f>IF($A106="","",CJ106+(CL106-SUMIFS('Nursing Charges'!$J:$J,'Nursing Charges'!$A:$A,$A106,'Nursing Charges'!$C:$C,9))+(CK106-SUMIFS('Consumable Usage'!$F:$F,'Consumable Usage'!$A:$A,$A106,'Consumable Usage'!$D:$D,9)))</f>
        <v/>
      </c>
      <c r="CN106" s="12" t="str">
        <f t="shared" si="25"/>
        <v/>
      </c>
      <c r="CO106" s="20"/>
      <c r="CP106" s="12" t="str">
        <f t="shared" si="26"/>
        <v/>
      </c>
      <c r="CQ106" s="45" t="str">
        <f t="shared" si="27"/>
        <v/>
      </c>
      <c r="CR106" s="15"/>
      <c r="CS106" s="15"/>
      <c r="CT106" s="20"/>
      <c r="CU106" s="12" t="str">
        <f>IF($A106="","",SUMIFS('Consumable Usage'!$E:$E,'Consumable Usage'!$A:$A,$A106,'Consumable Usage'!$D:$D,10))</f>
        <v/>
      </c>
      <c r="CV106" s="12" t="str">
        <f>IF($A106="","",SUMIFS('Nursing Charges'!$I:$I,'Nursing Charges'!$A:$A,$A106,'Nursing Charges'!$C:$C,10))</f>
        <v/>
      </c>
      <c r="CW106" s="12" t="str">
        <f>IF($A106="","",CT106+(CV106-SUMIFS('Nursing Charges'!$J:$J,'Nursing Charges'!$A:$A,$A106,'Nursing Charges'!$C:$C,10))+(CU106-SUMIFS('Consumable Usage'!$F:$F,'Consumable Usage'!$A:$A,$A106,'Consumable Usage'!$D:$D,10)))</f>
        <v/>
      </c>
      <c r="CX106" s="12" t="str">
        <f t="shared" si="28"/>
        <v/>
      </c>
      <c r="CY106" s="20"/>
      <c r="CZ106" s="12" t="str">
        <f t="shared" si="29"/>
        <v/>
      </c>
      <c r="DA106" s="45" t="str">
        <f t="shared" si="30"/>
        <v/>
      </c>
      <c r="DB106" s="15"/>
      <c r="DC106" s="15"/>
      <c r="DD106" s="20"/>
      <c r="DE106" s="12" t="str">
        <f>IF($A106="","",SUMIFS('Consumable Usage'!$E:$E,'Consumable Usage'!$A:$A,$A106,'Consumable Usage'!$D:$D,11))</f>
        <v/>
      </c>
      <c r="DF106" s="12" t="str">
        <f>IF($A106="","",SUMIFS('Nursing Charges'!$I:$I,'Nursing Charges'!$A:$A,$A106,'Nursing Charges'!$C:$C,11))</f>
        <v/>
      </c>
      <c r="DG106" s="12" t="str">
        <f>IF($A106="","",DD106+(DF106-SUMIFS('Nursing Charges'!$J:$J,'Nursing Charges'!$A:$A,$A106,'Nursing Charges'!$C:$C,11))+(DE106-SUMIFS('Consumable Usage'!$F:$F,'Consumable Usage'!$A:$A,$A106,'Consumable Usage'!$D:$D,11)))</f>
        <v/>
      </c>
      <c r="DH106" s="12" t="str">
        <f t="shared" si="31"/>
        <v/>
      </c>
      <c r="DI106" s="20"/>
      <c r="DJ106" s="12" t="str">
        <f t="shared" si="32"/>
        <v/>
      </c>
      <c r="DK106" s="45" t="str">
        <f t="shared" si="33"/>
        <v/>
      </c>
      <c r="DL106" s="15"/>
      <c r="DM106" s="15"/>
      <c r="DN106" s="20"/>
      <c r="DO106" s="12" t="str">
        <f>IF($A106="","",SUMIFS('Consumable Usage'!$E:$E,'Consumable Usage'!$A:$A,$A106,'Consumable Usage'!$D:$D,12))</f>
        <v/>
      </c>
      <c r="DP106" s="12" t="str">
        <f>IF($A106="","",SUMIFS('Nursing Charges'!$I:$I,'Nursing Charges'!$A:$A,$A106,'Nursing Charges'!$C:$C,12))</f>
        <v/>
      </c>
      <c r="DQ106" s="12" t="str">
        <f>IF($A106="","",DN106+(DP106-SUMIFS('Nursing Charges'!$J:$J,'Nursing Charges'!$A:$A,$A106,'Nursing Charges'!$C:$C,12))+(DO106-SUMIFS('Consumable Usage'!$F:$F,'Consumable Usage'!$A:$A,$A106,'Consumable Usage'!$D:$D,12)))</f>
        <v/>
      </c>
      <c r="DR106" s="12" t="str">
        <f t="shared" si="34"/>
        <v/>
      </c>
      <c r="DS106" s="20"/>
      <c r="DT106" s="12" t="str">
        <f t="shared" si="35"/>
        <v/>
      </c>
      <c r="DU106" s="45" t="str">
        <f t="shared" si="36"/>
        <v/>
      </c>
      <c r="DV106" s="15"/>
      <c r="DW106" s="15"/>
      <c r="DX106" s="20"/>
      <c r="DY106" s="12" t="str">
        <f>IF($A106="","",SUMIFS('Consumable Usage'!$E:$E,'Consumable Usage'!$A:$A,$A106,'Consumable Usage'!$D:$D,13))</f>
        <v/>
      </c>
      <c r="DZ106" s="12" t="str">
        <f>IF($A106="","",SUMIFS('Nursing Charges'!$I:$I,'Nursing Charges'!$A:$A,$A106,'Nursing Charges'!$C:$C,13))</f>
        <v/>
      </c>
      <c r="EA106" s="12" t="str">
        <f>IF($A106="","",DX106+(DZ106-SUMIFS('Nursing Charges'!$J:$J,'Nursing Charges'!$A:$A,$A106,'Nursing Charges'!$C:$C,13))+(DY106-SUMIFS('Consumable Usage'!$F:$F,'Consumable Usage'!$A:$A,$A106,'Consumable Usage'!$D:$D,13)))</f>
        <v/>
      </c>
      <c r="EB106" s="12" t="str">
        <f t="shared" si="37"/>
        <v/>
      </c>
      <c r="EC106" s="20"/>
      <c r="ED106" s="12" t="str">
        <f t="shared" si="38"/>
        <v/>
      </c>
      <c r="EE106" s="45" t="str">
        <f t="shared" si="39"/>
        <v/>
      </c>
      <c r="EF106" s="15"/>
      <c r="EG106" s="15"/>
      <c r="EH106" s="20"/>
      <c r="EI106" s="12" t="str">
        <f>IF($A106="","",SUMIFS('Consumable Usage'!$E:$E,'Consumable Usage'!$A:$A,$A106,'Consumable Usage'!$D:$D,14))</f>
        <v/>
      </c>
      <c r="EJ106" s="12" t="str">
        <f>IF($A106="","",SUMIFS('Nursing Charges'!$I:$I,'Nursing Charges'!$A:$A,$A106,'Nursing Charges'!$C:$C,14))</f>
        <v/>
      </c>
      <c r="EK106" s="12" t="str">
        <f>IF($A106="","",EH106+(EJ106-SUMIFS('Nursing Charges'!$J:$J,'Nursing Charges'!$A:$A,$A106,'Nursing Charges'!$C:$C,14))+(EI106-SUMIFS('Consumable Usage'!$F:$F,'Consumable Usage'!$A:$A,$A106,'Consumable Usage'!$D:$D,14)))</f>
        <v/>
      </c>
      <c r="EL106" s="12" t="str">
        <f t="shared" si="40"/>
        <v/>
      </c>
      <c r="EM106" s="20"/>
      <c r="EN106" s="12" t="str">
        <f t="shared" si="41"/>
        <v/>
      </c>
      <c r="EO106" s="45" t="str">
        <f t="shared" si="42"/>
        <v/>
      </c>
      <c r="EP106" s="15"/>
      <c r="EQ106" s="15"/>
      <c r="ER106" s="20"/>
      <c r="ES106" s="12" t="str">
        <f>IF($A106="","",SUMIFS('Consumable Usage'!$E:$E,'Consumable Usage'!$A:$A,$A106,'Consumable Usage'!$D:$D,15))</f>
        <v/>
      </c>
      <c r="ET106" s="12" t="str">
        <f>IF($A106="","",SUMIFS('Nursing Charges'!$I:$I,'Nursing Charges'!$A:$A,$A106,'Nursing Charges'!$C:$C,15))</f>
        <v/>
      </c>
      <c r="EU106" s="12" t="str">
        <f>IF($A106="","",ER106+(ET106-SUMIFS('Nursing Charges'!$J:$J,'Nursing Charges'!$A:$A,$A106,'Nursing Charges'!$C:$C,15))+(ES106-SUMIFS('Consumable Usage'!$F:$F,'Consumable Usage'!$A:$A,$A106,'Consumable Usage'!$D:$D,15)))</f>
        <v/>
      </c>
      <c r="EV106" s="12" t="str">
        <f t="shared" si="43"/>
        <v/>
      </c>
      <c r="EW106" s="20"/>
      <c r="EX106" s="12" t="str">
        <f t="shared" si="44"/>
        <v/>
      </c>
      <c r="EY106" s="45" t="str">
        <f t="shared" si="45"/>
        <v/>
      </c>
      <c r="EZ106" s="15"/>
      <c r="FA106" s="15"/>
      <c r="FB106" s="20"/>
      <c r="FC106" s="12" t="str">
        <f>IF($A106="","",SUMIFS('Consumable Usage'!$E:$E,'Consumable Usage'!$A:$A,$A106,'Consumable Usage'!$D:$D,16))</f>
        <v/>
      </c>
      <c r="FD106" s="12" t="str">
        <f>IF($A106="","",SUMIFS('Nursing Charges'!$I:$I,'Nursing Charges'!$A:$A,$A106,'Nursing Charges'!$C:$C,16))</f>
        <v/>
      </c>
      <c r="FE106" s="12" t="str">
        <f>IF($A106="","",FB106+(FD106-SUMIFS('Nursing Charges'!$J:$J,'Nursing Charges'!$A:$A,$A106,'Nursing Charges'!$C:$C,16))+(FC106-SUMIFS('Consumable Usage'!$F:$F,'Consumable Usage'!$A:$A,$A106,'Consumable Usage'!$D:$D,16)))</f>
        <v/>
      </c>
      <c r="FF106" s="12" t="str">
        <f t="shared" si="46"/>
        <v/>
      </c>
      <c r="FG106" s="20"/>
      <c r="FH106" s="12" t="str">
        <f t="shared" si="47"/>
        <v/>
      </c>
      <c r="FI106" s="45" t="str">
        <f t="shared" si="48"/>
        <v/>
      </c>
      <c r="FJ106" s="53"/>
      <c r="FK106" s="53"/>
      <c r="FL106" s="63"/>
      <c r="FM106" s="63" t="str">
        <f>IF($A106="","",SUMIFS('Consumable Usage'!$E:$E,'Consumable Usage'!$A:$A,$A106,'Consumable Usage'!$D:$D,16))</f>
        <v/>
      </c>
      <c r="FN106" s="63" t="str">
        <f>IF($A106="","",SUMIFS('Nursing Charges'!$I:$I,'Nursing Charges'!$A:$A,$A106,'Nursing Charges'!$C:$C,16))</f>
        <v/>
      </c>
      <c r="FO106" s="63" t="str">
        <f>IF($A106="","",FL106+(FN106-SUMIFS('Nursing Charges'!$J:$J,'Nursing Charges'!$A:$A,$A106,'Nursing Charges'!$C:$C,16))+(FM106-SUMIFS('Consumable Usage'!$F:$F,'Consumable Usage'!$A:$A,$A106,'Consumable Usage'!$D:$D,16)))</f>
        <v/>
      </c>
      <c r="FP106" s="63" t="str">
        <f t="shared" si="49"/>
        <v/>
      </c>
      <c r="FQ106" s="63"/>
      <c r="FR106" s="63" t="str">
        <f t="shared" si="50"/>
        <v/>
      </c>
      <c r="FS106" s="53" t="str">
        <f t="shared" si="51"/>
        <v/>
      </c>
    </row>
    <row r="107" ht="15.0" customHeight="1">
      <c r="A107" s="15"/>
      <c r="B107" s="15"/>
      <c r="C107" s="15"/>
      <c r="D107" s="15"/>
      <c r="E107" s="15"/>
      <c r="F107" s="15"/>
      <c r="G107" s="15"/>
      <c r="H107" s="20"/>
      <c r="I107" s="12" t="str">
        <f>IF($A107="","",SUMIFS('Consumable Usage'!$E:$E,'Consumable Usage'!$A:$A,$A107,'Consumable Usage'!$D:$D,1))</f>
        <v/>
      </c>
      <c r="J107" s="12" t="str">
        <f>IF($A107="","",SUMIFS('Nursing Charges'!$I:$I,'Nursing Charges'!$A:$A,$A107,'Nursing Charges'!$C:$C,1))</f>
        <v/>
      </c>
      <c r="K107" s="12" t="str">
        <f>IF($A107="","",H107+(J107-SUMIFS('Nursing Charges'!$J:$J,'Nursing Charges'!$A:$A,$A107,'Nursing Charges'!$C:$C,1))+(I107-SUMIFS('Consumable Usage'!$F:$F,'Consumable Usage'!$A:$A,$A107,'Consumable Usage'!$D:$D,1)))</f>
        <v/>
      </c>
      <c r="L107" s="12" t="str">
        <f t="shared" si="1"/>
        <v/>
      </c>
      <c r="M107" s="20"/>
      <c r="N107" s="12" t="str">
        <f t="shared" si="2"/>
        <v/>
      </c>
      <c r="O107" s="45" t="str">
        <f t="shared" si="3"/>
        <v/>
      </c>
      <c r="P107" s="15"/>
      <c r="Q107" s="15"/>
      <c r="R107" s="20"/>
      <c r="S107" s="12" t="str">
        <f>IF($A107="","",SUMIFS('Consumable Usage'!$E:$E,'Consumable Usage'!$A:$A,$A107,'Consumable Usage'!$D:$D,2))</f>
        <v/>
      </c>
      <c r="T107" s="12" t="str">
        <f>IF($A107="","",SUMIFS('Nursing Charges'!$I:$I,'Nursing Charges'!$A:$A,$A107,'Nursing Charges'!$C:$C,2))</f>
        <v/>
      </c>
      <c r="U107" s="12" t="str">
        <f>IF($A107="","",R107+(T107-SUMIFS('Nursing Charges'!$J:$J,'Nursing Charges'!$A:$A,$A107,'Nursing Charges'!$C:$C,2))+(S107-SUMIFS('Consumable Usage'!$F:$F,'Consumable Usage'!$A:$A,$A107,'Consumable Usage'!$D:$D,2)))</f>
        <v/>
      </c>
      <c r="V107" s="12" t="str">
        <f t="shared" si="4"/>
        <v/>
      </c>
      <c r="W107" s="20"/>
      <c r="X107" s="12" t="str">
        <f t="shared" si="5"/>
        <v/>
      </c>
      <c r="Y107" s="45" t="str">
        <f t="shared" si="6"/>
        <v/>
      </c>
      <c r="Z107" s="15"/>
      <c r="AA107" s="15"/>
      <c r="AB107" s="20"/>
      <c r="AC107" s="12" t="str">
        <f>IF($A107="","",SUMIFS('Consumable Usage'!$E:$E,'Consumable Usage'!$A:$A,$A107,'Consumable Usage'!$D:$D,3))</f>
        <v/>
      </c>
      <c r="AD107" s="12" t="str">
        <f>IF($A107="","",SUMIFS('Nursing Charges'!$I:$I,'Nursing Charges'!$A:$A,$A107,'Nursing Charges'!$C:$C,3))</f>
        <v/>
      </c>
      <c r="AE107" s="12" t="str">
        <f>IF($A107="","",AB107+(AD107-SUMIFS('Nursing Charges'!$J:$J,'Nursing Charges'!$A:$A,$A107,'Nursing Charges'!$C:$C,3))+(AC107-SUMIFS('Consumable Usage'!$F:$F,'Consumable Usage'!$A:$A,$A107,'Consumable Usage'!$D:$D,3)))</f>
        <v/>
      </c>
      <c r="AF107" s="12" t="str">
        <f t="shared" si="7"/>
        <v/>
      </c>
      <c r="AG107" s="20"/>
      <c r="AH107" s="12" t="str">
        <f t="shared" si="8"/>
        <v/>
      </c>
      <c r="AI107" s="45" t="str">
        <f t="shared" si="9"/>
        <v/>
      </c>
      <c r="AJ107" s="15"/>
      <c r="AK107" s="15"/>
      <c r="AL107" s="20"/>
      <c r="AM107" s="12" t="str">
        <f>IF($A107="","",SUMIFS('Consumable Usage'!$E:$E,'Consumable Usage'!$A:$A,$A107,'Consumable Usage'!$D:$D,4))</f>
        <v/>
      </c>
      <c r="AN107" s="12" t="str">
        <f>IF($A107="","",SUMIFS('Nursing Charges'!$I:$I,'Nursing Charges'!$A:$A,$A107,'Nursing Charges'!$C:$C,4))</f>
        <v/>
      </c>
      <c r="AO107" s="12" t="str">
        <f>IF($A107="","",AL107+(AN107-SUMIFS('Nursing Charges'!$J:$J,'Nursing Charges'!$A:$A,$A107,'Nursing Charges'!$C:$C,4))+(AM107-SUMIFS('Consumable Usage'!$F:$F,'Consumable Usage'!$A:$A,$A107,'Consumable Usage'!$D:$D,4)))</f>
        <v/>
      </c>
      <c r="AP107" s="12" t="str">
        <f t="shared" si="10"/>
        <v/>
      </c>
      <c r="AQ107" s="20"/>
      <c r="AR107" s="12" t="str">
        <f t="shared" si="11"/>
        <v/>
      </c>
      <c r="AS107" s="45" t="str">
        <f t="shared" si="12"/>
        <v/>
      </c>
      <c r="AT107" s="15"/>
      <c r="AU107" s="15"/>
      <c r="AV107" s="20"/>
      <c r="AW107" s="12" t="str">
        <f>IF($A107="","",SUMIFS('Consumable Usage'!$E:$E,'Consumable Usage'!$A:$A,$A107,'Consumable Usage'!$D:$D,5))</f>
        <v/>
      </c>
      <c r="AX107" s="12" t="str">
        <f>IF($A107="","",SUMIFS('Nursing Charges'!$I:$I,'Nursing Charges'!$A:$A,$A107,'Nursing Charges'!$C:$C,5))</f>
        <v/>
      </c>
      <c r="AY107" s="12" t="str">
        <f>IF($A107="","",AV107+(AX107-SUMIFS('Nursing Charges'!$J:$J,'Nursing Charges'!$A:$A,$A107,'Nursing Charges'!$C:$C,5))+(AW107-SUMIFS('Consumable Usage'!$F:$F,'Consumable Usage'!$A:$A,$A107,'Consumable Usage'!$D:$D,5)))</f>
        <v/>
      </c>
      <c r="AZ107" s="12" t="str">
        <f t="shared" si="13"/>
        <v/>
      </c>
      <c r="BA107" s="20"/>
      <c r="BB107" s="12" t="str">
        <f t="shared" si="14"/>
        <v/>
      </c>
      <c r="BC107" s="45" t="str">
        <f t="shared" si="15"/>
        <v/>
      </c>
      <c r="BD107" s="15"/>
      <c r="BE107" s="15"/>
      <c r="BF107" s="20"/>
      <c r="BG107" s="12" t="str">
        <f>IF($A107="","",SUMIFS('Consumable Usage'!$E:$E,'Consumable Usage'!$A:$A,$A107,'Consumable Usage'!$D:$D,6))</f>
        <v/>
      </c>
      <c r="BH107" s="12" t="str">
        <f>IF($A107="","",SUMIFS('Nursing Charges'!$I:$I,'Nursing Charges'!$A:$A,$A107,'Nursing Charges'!$C:$C,6))</f>
        <v/>
      </c>
      <c r="BI107" s="12" t="str">
        <f>IF($A107="","",BF107+(BH107-SUMIFS('Nursing Charges'!$J:$J,'Nursing Charges'!$A:$A,$A107,'Nursing Charges'!$C:$C,6))+(BG107-SUMIFS('Consumable Usage'!$F:$F,'Consumable Usage'!$A:$A,$A107,'Consumable Usage'!$D:$D,6)))</f>
        <v/>
      </c>
      <c r="BJ107" s="12" t="str">
        <f t="shared" si="16"/>
        <v/>
      </c>
      <c r="BK107" s="20"/>
      <c r="BL107" s="12" t="str">
        <f t="shared" si="17"/>
        <v/>
      </c>
      <c r="BM107" s="45" t="str">
        <f t="shared" si="18"/>
        <v/>
      </c>
      <c r="BN107" s="15"/>
      <c r="BO107" s="15"/>
      <c r="BP107" s="20"/>
      <c r="BQ107" s="12" t="str">
        <f>IF($A107="","",SUMIFS('Consumable Usage'!$E:$E,'Consumable Usage'!$A:$A,$A107,'Consumable Usage'!$D:$D,7))</f>
        <v/>
      </c>
      <c r="BR107" s="12" t="str">
        <f>IF($A107="","",SUMIFS('Nursing Charges'!$I:$I,'Nursing Charges'!$A:$A,$A107,'Nursing Charges'!$C:$C,7))</f>
        <v/>
      </c>
      <c r="BS107" s="12" t="str">
        <f>IF($A107="","",BP107+(BR107-SUMIFS('Nursing Charges'!$J:$J,'Nursing Charges'!$A:$A,$A107,'Nursing Charges'!$C:$C,7))+(BQ107-SUMIFS('Consumable Usage'!$F:$F,'Consumable Usage'!$A:$A,$A107,'Consumable Usage'!$D:$D,7)))</f>
        <v/>
      </c>
      <c r="BT107" s="12" t="str">
        <f t="shared" si="19"/>
        <v/>
      </c>
      <c r="BU107" s="20"/>
      <c r="BV107" s="12" t="str">
        <f t="shared" si="20"/>
        <v/>
      </c>
      <c r="BW107" s="45" t="str">
        <f t="shared" si="21"/>
        <v/>
      </c>
      <c r="BX107" s="15"/>
      <c r="BY107" s="15"/>
      <c r="BZ107" s="20"/>
      <c r="CA107" s="12" t="str">
        <f>IF($A107="","",SUMIFS('Consumable Usage'!$E:$E,'Consumable Usage'!$A:$A,$A107,'Consumable Usage'!$D:$D,8))</f>
        <v/>
      </c>
      <c r="CB107" s="12" t="str">
        <f>IF($A107="","",SUMIFS('Nursing Charges'!$I:$I,'Nursing Charges'!$A:$A,$A107,'Nursing Charges'!$C:$C,8))</f>
        <v/>
      </c>
      <c r="CC107" s="12" t="str">
        <f>IF($A107="","",BZ107+(CB107-SUMIFS('Nursing Charges'!$J:$J,'Nursing Charges'!$A:$A,$A107,'Nursing Charges'!$C:$C,8))+(CA107-SUMIFS('Consumable Usage'!$F:$F,'Consumable Usage'!$A:$A,$A107,'Consumable Usage'!$D:$D,8)))</f>
        <v/>
      </c>
      <c r="CD107" s="12" t="str">
        <f t="shared" si="22"/>
        <v/>
      </c>
      <c r="CE107" s="20"/>
      <c r="CF107" s="12" t="str">
        <f t="shared" si="23"/>
        <v/>
      </c>
      <c r="CG107" s="45" t="str">
        <f t="shared" si="24"/>
        <v/>
      </c>
      <c r="CH107" s="15"/>
      <c r="CI107" s="15"/>
      <c r="CJ107" s="20"/>
      <c r="CK107" s="12" t="str">
        <f>IF($A107="","",SUMIFS('Consumable Usage'!$E:$E,'Consumable Usage'!$A:$A,$A107,'Consumable Usage'!$D:$D,9))</f>
        <v/>
      </c>
      <c r="CL107" s="12" t="str">
        <f>IF($A107="","",SUMIFS('Nursing Charges'!$I:$I,'Nursing Charges'!$A:$A,$A107,'Nursing Charges'!$C:$C,9))</f>
        <v/>
      </c>
      <c r="CM107" s="12" t="str">
        <f>IF($A107="","",CJ107+(CL107-SUMIFS('Nursing Charges'!$J:$J,'Nursing Charges'!$A:$A,$A107,'Nursing Charges'!$C:$C,9))+(CK107-SUMIFS('Consumable Usage'!$F:$F,'Consumable Usage'!$A:$A,$A107,'Consumable Usage'!$D:$D,9)))</f>
        <v/>
      </c>
      <c r="CN107" s="12" t="str">
        <f t="shared" si="25"/>
        <v/>
      </c>
      <c r="CO107" s="20"/>
      <c r="CP107" s="12" t="str">
        <f t="shared" si="26"/>
        <v/>
      </c>
      <c r="CQ107" s="45" t="str">
        <f t="shared" si="27"/>
        <v/>
      </c>
      <c r="CR107" s="15"/>
      <c r="CS107" s="15"/>
      <c r="CT107" s="20"/>
      <c r="CU107" s="12" t="str">
        <f>IF($A107="","",SUMIFS('Consumable Usage'!$E:$E,'Consumable Usage'!$A:$A,$A107,'Consumable Usage'!$D:$D,10))</f>
        <v/>
      </c>
      <c r="CV107" s="12" t="str">
        <f>IF($A107="","",SUMIFS('Nursing Charges'!$I:$I,'Nursing Charges'!$A:$A,$A107,'Nursing Charges'!$C:$C,10))</f>
        <v/>
      </c>
      <c r="CW107" s="12" t="str">
        <f>IF($A107="","",CT107+(CV107-SUMIFS('Nursing Charges'!$J:$J,'Nursing Charges'!$A:$A,$A107,'Nursing Charges'!$C:$C,10))+(CU107-SUMIFS('Consumable Usage'!$F:$F,'Consumable Usage'!$A:$A,$A107,'Consumable Usage'!$D:$D,10)))</f>
        <v/>
      </c>
      <c r="CX107" s="12" t="str">
        <f t="shared" si="28"/>
        <v/>
      </c>
      <c r="CY107" s="20"/>
      <c r="CZ107" s="12" t="str">
        <f t="shared" si="29"/>
        <v/>
      </c>
      <c r="DA107" s="45" t="str">
        <f t="shared" si="30"/>
        <v/>
      </c>
      <c r="DB107" s="15"/>
      <c r="DC107" s="15"/>
      <c r="DD107" s="20"/>
      <c r="DE107" s="12" t="str">
        <f>IF($A107="","",SUMIFS('Consumable Usage'!$E:$E,'Consumable Usage'!$A:$A,$A107,'Consumable Usage'!$D:$D,11))</f>
        <v/>
      </c>
      <c r="DF107" s="12" t="str">
        <f>IF($A107="","",SUMIFS('Nursing Charges'!$I:$I,'Nursing Charges'!$A:$A,$A107,'Nursing Charges'!$C:$C,11))</f>
        <v/>
      </c>
      <c r="DG107" s="12" t="str">
        <f>IF($A107="","",DD107+(DF107-SUMIFS('Nursing Charges'!$J:$J,'Nursing Charges'!$A:$A,$A107,'Nursing Charges'!$C:$C,11))+(DE107-SUMIFS('Consumable Usage'!$F:$F,'Consumable Usage'!$A:$A,$A107,'Consumable Usage'!$D:$D,11)))</f>
        <v/>
      </c>
      <c r="DH107" s="12" t="str">
        <f t="shared" si="31"/>
        <v/>
      </c>
      <c r="DI107" s="20"/>
      <c r="DJ107" s="12" t="str">
        <f t="shared" si="32"/>
        <v/>
      </c>
      <c r="DK107" s="45" t="str">
        <f t="shared" si="33"/>
        <v/>
      </c>
      <c r="DL107" s="15"/>
      <c r="DM107" s="15"/>
      <c r="DN107" s="20"/>
      <c r="DO107" s="12" t="str">
        <f>IF($A107="","",SUMIFS('Consumable Usage'!$E:$E,'Consumable Usage'!$A:$A,$A107,'Consumable Usage'!$D:$D,12))</f>
        <v/>
      </c>
      <c r="DP107" s="12" t="str">
        <f>IF($A107="","",SUMIFS('Nursing Charges'!$I:$I,'Nursing Charges'!$A:$A,$A107,'Nursing Charges'!$C:$C,12))</f>
        <v/>
      </c>
      <c r="DQ107" s="12" t="str">
        <f>IF($A107="","",DN107+(DP107-SUMIFS('Nursing Charges'!$J:$J,'Nursing Charges'!$A:$A,$A107,'Nursing Charges'!$C:$C,12))+(DO107-SUMIFS('Consumable Usage'!$F:$F,'Consumable Usage'!$A:$A,$A107,'Consumable Usage'!$D:$D,12)))</f>
        <v/>
      </c>
      <c r="DR107" s="12" t="str">
        <f t="shared" si="34"/>
        <v/>
      </c>
      <c r="DS107" s="20"/>
      <c r="DT107" s="12" t="str">
        <f t="shared" si="35"/>
        <v/>
      </c>
      <c r="DU107" s="45" t="str">
        <f t="shared" si="36"/>
        <v/>
      </c>
      <c r="DV107" s="15"/>
      <c r="DW107" s="15"/>
      <c r="DX107" s="20"/>
      <c r="DY107" s="12" t="str">
        <f>IF($A107="","",SUMIFS('Consumable Usage'!$E:$E,'Consumable Usage'!$A:$A,$A107,'Consumable Usage'!$D:$D,13))</f>
        <v/>
      </c>
      <c r="DZ107" s="12" t="str">
        <f>IF($A107="","",SUMIFS('Nursing Charges'!$I:$I,'Nursing Charges'!$A:$A,$A107,'Nursing Charges'!$C:$C,13))</f>
        <v/>
      </c>
      <c r="EA107" s="12" t="str">
        <f>IF($A107="","",DX107+(DZ107-SUMIFS('Nursing Charges'!$J:$J,'Nursing Charges'!$A:$A,$A107,'Nursing Charges'!$C:$C,13))+(DY107-SUMIFS('Consumable Usage'!$F:$F,'Consumable Usage'!$A:$A,$A107,'Consumable Usage'!$D:$D,13)))</f>
        <v/>
      </c>
      <c r="EB107" s="12" t="str">
        <f t="shared" si="37"/>
        <v/>
      </c>
      <c r="EC107" s="20"/>
      <c r="ED107" s="12" t="str">
        <f t="shared" si="38"/>
        <v/>
      </c>
      <c r="EE107" s="45" t="str">
        <f t="shared" si="39"/>
        <v/>
      </c>
      <c r="EF107" s="15"/>
      <c r="EG107" s="15"/>
      <c r="EH107" s="20"/>
      <c r="EI107" s="12" t="str">
        <f>IF($A107="","",SUMIFS('Consumable Usage'!$E:$E,'Consumable Usage'!$A:$A,$A107,'Consumable Usage'!$D:$D,14))</f>
        <v/>
      </c>
      <c r="EJ107" s="12" t="str">
        <f>IF($A107="","",SUMIFS('Nursing Charges'!$I:$I,'Nursing Charges'!$A:$A,$A107,'Nursing Charges'!$C:$C,14))</f>
        <v/>
      </c>
      <c r="EK107" s="12" t="str">
        <f>IF($A107="","",EH107+(EJ107-SUMIFS('Nursing Charges'!$J:$J,'Nursing Charges'!$A:$A,$A107,'Nursing Charges'!$C:$C,14))+(EI107-SUMIFS('Consumable Usage'!$F:$F,'Consumable Usage'!$A:$A,$A107,'Consumable Usage'!$D:$D,14)))</f>
        <v/>
      </c>
      <c r="EL107" s="12" t="str">
        <f t="shared" si="40"/>
        <v/>
      </c>
      <c r="EM107" s="20"/>
      <c r="EN107" s="12" t="str">
        <f t="shared" si="41"/>
        <v/>
      </c>
      <c r="EO107" s="45" t="str">
        <f t="shared" si="42"/>
        <v/>
      </c>
      <c r="EP107" s="15"/>
      <c r="EQ107" s="15"/>
      <c r="ER107" s="20"/>
      <c r="ES107" s="12" t="str">
        <f>IF($A107="","",SUMIFS('Consumable Usage'!$E:$E,'Consumable Usage'!$A:$A,$A107,'Consumable Usage'!$D:$D,15))</f>
        <v/>
      </c>
      <c r="ET107" s="12" t="str">
        <f>IF($A107="","",SUMIFS('Nursing Charges'!$I:$I,'Nursing Charges'!$A:$A,$A107,'Nursing Charges'!$C:$C,15))</f>
        <v/>
      </c>
      <c r="EU107" s="12" t="str">
        <f>IF($A107="","",ER107+(ET107-SUMIFS('Nursing Charges'!$J:$J,'Nursing Charges'!$A:$A,$A107,'Nursing Charges'!$C:$C,15))+(ES107-SUMIFS('Consumable Usage'!$F:$F,'Consumable Usage'!$A:$A,$A107,'Consumable Usage'!$D:$D,15)))</f>
        <v/>
      </c>
      <c r="EV107" s="12" t="str">
        <f t="shared" si="43"/>
        <v/>
      </c>
      <c r="EW107" s="20"/>
      <c r="EX107" s="12" t="str">
        <f t="shared" si="44"/>
        <v/>
      </c>
      <c r="EY107" s="45" t="str">
        <f t="shared" si="45"/>
        <v/>
      </c>
      <c r="EZ107" s="15"/>
      <c r="FA107" s="15"/>
      <c r="FB107" s="20"/>
      <c r="FC107" s="12" t="str">
        <f>IF($A107="","",SUMIFS('Consumable Usage'!$E:$E,'Consumable Usage'!$A:$A,$A107,'Consumable Usage'!$D:$D,16))</f>
        <v/>
      </c>
      <c r="FD107" s="12" t="str">
        <f>IF($A107="","",SUMIFS('Nursing Charges'!$I:$I,'Nursing Charges'!$A:$A,$A107,'Nursing Charges'!$C:$C,16))</f>
        <v/>
      </c>
      <c r="FE107" s="12" t="str">
        <f>IF($A107="","",FB107+(FD107-SUMIFS('Nursing Charges'!$J:$J,'Nursing Charges'!$A:$A,$A107,'Nursing Charges'!$C:$C,16))+(FC107-SUMIFS('Consumable Usage'!$F:$F,'Consumable Usage'!$A:$A,$A107,'Consumable Usage'!$D:$D,16)))</f>
        <v/>
      </c>
      <c r="FF107" s="12" t="str">
        <f t="shared" si="46"/>
        <v/>
      </c>
      <c r="FG107" s="20"/>
      <c r="FH107" s="12" t="str">
        <f t="shared" si="47"/>
        <v/>
      </c>
      <c r="FI107" s="45" t="str">
        <f t="shared" si="48"/>
        <v/>
      </c>
      <c r="FJ107" s="53"/>
      <c r="FK107" s="53"/>
      <c r="FL107" s="63"/>
      <c r="FM107" s="63" t="str">
        <f>IF($A107="","",SUMIFS('Consumable Usage'!$E:$E,'Consumable Usage'!$A:$A,$A107,'Consumable Usage'!$D:$D,16))</f>
        <v/>
      </c>
      <c r="FN107" s="63" t="str">
        <f>IF($A107="","",SUMIFS('Nursing Charges'!$I:$I,'Nursing Charges'!$A:$A,$A107,'Nursing Charges'!$C:$C,16))</f>
        <v/>
      </c>
      <c r="FO107" s="63" t="str">
        <f>IF($A107="","",FL107+(FN107-SUMIFS('Nursing Charges'!$J:$J,'Nursing Charges'!$A:$A,$A107,'Nursing Charges'!$C:$C,16))+(FM107-SUMIFS('Consumable Usage'!$F:$F,'Consumable Usage'!$A:$A,$A107,'Consumable Usage'!$D:$D,16)))</f>
        <v/>
      </c>
      <c r="FP107" s="63" t="str">
        <f t="shared" si="49"/>
        <v/>
      </c>
      <c r="FQ107" s="63"/>
      <c r="FR107" s="63" t="str">
        <f t="shared" si="50"/>
        <v/>
      </c>
      <c r="FS107" s="53" t="str">
        <f t="shared" si="51"/>
        <v/>
      </c>
    </row>
    <row r="108" ht="15.0" customHeight="1">
      <c r="A108" s="15"/>
      <c r="B108" s="15"/>
      <c r="C108" s="15"/>
      <c r="D108" s="15"/>
      <c r="E108" s="15"/>
      <c r="F108" s="15"/>
      <c r="G108" s="15"/>
      <c r="H108" s="20"/>
      <c r="I108" s="12" t="str">
        <f>IF($A108="","",SUMIFS('Consumable Usage'!$E:$E,'Consumable Usage'!$A:$A,$A108,'Consumable Usage'!$D:$D,1))</f>
        <v/>
      </c>
      <c r="J108" s="12" t="str">
        <f>IF($A108="","",SUMIFS('Nursing Charges'!$I:$I,'Nursing Charges'!$A:$A,$A108,'Nursing Charges'!$C:$C,1))</f>
        <v/>
      </c>
      <c r="K108" s="12" t="str">
        <f>IF($A108="","",H108+(J108-SUMIFS('Nursing Charges'!$J:$J,'Nursing Charges'!$A:$A,$A108,'Nursing Charges'!$C:$C,1))+(I108-SUMIFS('Consumable Usage'!$F:$F,'Consumable Usage'!$A:$A,$A108,'Consumable Usage'!$D:$D,1)))</f>
        <v/>
      </c>
      <c r="L108" s="12" t="str">
        <f t="shared" si="1"/>
        <v/>
      </c>
      <c r="M108" s="20"/>
      <c r="N108" s="12" t="str">
        <f t="shared" si="2"/>
        <v/>
      </c>
      <c r="O108" s="45" t="str">
        <f t="shared" si="3"/>
        <v/>
      </c>
      <c r="P108" s="15"/>
      <c r="Q108" s="15"/>
      <c r="R108" s="20"/>
      <c r="S108" s="12" t="str">
        <f>IF($A108="","",SUMIFS('Consumable Usage'!$E:$E,'Consumable Usage'!$A:$A,$A108,'Consumable Usage'!$D:$D,2))</f>
        <v/>
      </c>
      <c r="T108" s="12" t="str">
        <f>IF($A108="","",SUMIFS('Nursing Charges'!$I:$I,'Nursing Charges'!$A:$A,$A108,'Nursing Charges'!$C:$C,2))</f>
        <v/>
      </c>
      <c r="U108" s="12" t="str">
        <f>IF($A108="","",R108+(T108-SUMIFS('Nursing Charges'!$J:$J,'Nursing Charges'!$A:$A,$A108,'Nursing Charges'!$C:$C,2))+(S108-SUMIFS('Consumable Usage'!$F:$F,'Consumable Usage'!$A:$A,$A108,'Consumable Usage'!$D:$D,2)))</f>
        <v/>
      </c>
      <c r="V108" s="12" t="str">
        <f t="shared" si="4"/>
        <v/>
      </c>
      <c r="W108" s="20"/>
      <c r="X108" s="12" t="str">
        <f t="shared" si="5"/>
        <v/>
      </c>
      <c r="Y108" s="45" t="str">
        <f t="shared" si="6"/>
        <v/>
      </c>
      <c r="Z108" s="15"/>
      <c r="AA108" s="15"/>
      <c r="AB108" s="20"/>
      <c r="AC108" s="12" t="str">
        <f>IF($A108="","",SUMIFS('Consumable Usage'!$E:$E,'Consumable Usage'!$A:$A,$A108,'Consumable Usage'!$D:$D,3))</f>
        <v/>
      </c>
      <c r="AD108" s="12" t="str">
        <f>IF($A108="","",SUMIFS('Nursing Charges'!$I:$I,'Nursing Charges'!$A:$A,$A108,'Nursing Charges'!$C:$C,3))</f>
        <v/>
      </c>
      <c r="AE108" s="12" t="str">
        <f>IF($A108="","",AB108+(AD108-SUMIFS('Nursing Charges'!$J:$J,'Nursing Charges'!$A:$A,$A108,'Nursing Charges'!$C:$C,3))+(AC108-SUMIFS('Consumable Usage'!$F:$F,'Consumable Usage'!$A:$A,$A108,'Consumable Usage'!$D:$D,3)))</f>
        <v/>
      </c>
      <c r="AF108" s="12" t="str">
        <f t="shared" si="7"/>
        <v/>
      </c>
      <c r="AG108" s="20"/>
      <c r="AH108" s="12" t="str">
        <f t="shared" si="8"/>
        <v/>
      </c>
      <c r="AI108" s="45" t="str">
        <f t="shared" si="9"/>
        <v/>
      </c>
      <c r="AJ108" s="15"/>
      <c r="AK108" s="15"/>
      <c r="AL108" s="20"/>
      <c r="AM108" s="12" t="str">
        <f>IF($A108="","",SUMIFS('Consumable Usage'!$E:$E,'Consumable Usage'!$A:$A,$A108,'Consumable Usage'!$D:$D,4))</f>
        <v/>
      </c>
      <c r="AN108" s="12" t="str">
        <f>IF($A108="","",SUMIFS('Nursing Charges'!$I:$I,'Nursing Charges'!$A:$A,$A108,'Nursing Charges'!$C:$C,4))</f>
        <v/>
      </c>
      <c r="AO108" s="12" t="str">
        <f>IF($A108="","",AL108+(AN108-SUMIFS('Nursing Charges'!$J:$J,'Nursing Charges'!$A:$A,$A108,'Nursing Charges'!$C:$C,4))+(AM108-SUMIFS('Consumable Usage'!$F:$F,'Consumable Usage'!$A:$A,$A108,'Consumable Usage'!$D:$D,4)))</f>
        <v/>
      </c>
      <c r="AP108" s="12" t="str">
        <f t="shared" si="10"/>
        <v/>
      </c>
      <c r="AQ108" s="20"/>
      <c r="AR108" s="12" t="str">
        <f t="shared" si="11"/>
        <v/>
      </c>
      <c r="AS108" s="45" t="str">
        <f t="shared" si="12"/>
        <v/>
      </c>
      <c r="AT108" s="15"/>
      <c r="AU108" s="15"/>
      <c r="AV108" s="20"/>
      <c r="AW108" s="12" t="str">
        <f>IF($A108="","",SUMIFS('Consumable Usage'!$E:$E,'Consumable Usage'!$A:$A,$A108,'Consumable Usage'!$D:$D,5))</f>
        <v/>
      </c>
      <c r="AX108" s="12" t="str">
        <f>IF($A108="","",SUMIFS('Nursing Charges'!$I:$I,'Nursing Charges'!$A:$A,$A108,'Nursing Charges'!$C:$C,5))</f>
        <v/>
      </c>
      <c r="AY108" s="12" t="str">
        <f>IF($A108="","",AV108+(AX108-SUMIFS('Nursing Charges'!$J:$J,'Nursing Charges'!$A:$A,$A108,'Nursing Charges'!$C:$C,5))+(AW108-SUMIFS('Consumable Usage'!$F:$F,'Consumable Usage'!$A:$A,$A108,'Consumable Usage'!$D:$D,5)))</f>
        <v/>
      </c>
      <c r="AZ108" s="12" t="str">
        <f t="shared" si="13"/>
        <v/>
      </c>
      <c r="BA108" s="20"/>
      <c r="BB108" s="12" t="str">
        <f t="shared" si="14"/>
        <v/>
      </c>
      <c r="BC108" s="45" t="str">
        <f t="shared" si="15"/>
        <v/>
      </c>
      <c r="BD108" s="15"/>
      <c r="BE108" s="15"/>
      <c r="BF108" s="20"/>
      <c r="BG108" s="12" t="str">
        <f>IF($A108="","",SUMIFS('Consumable Usage'!$E:$E,'Consumable Usage'!$A:$A,$A108,'Consumable Usage'!$D:$D,6))</f>
        <v/>
      </c>
      <c r="BH108" s="12" t="str">
        <f>IF($A108="","",SUMIFS('Nursing Charges'!$I:$I,'Nursing Charges'!$A:$A,$A108,'Nursing Charges'!$C:$C,6))</f>
        <v/>
      </c>
      <c r="BI108" s="12" t="str">
        <f>IF($A108="","",BF108+(BH108-SUMIFS('Nursing Charges'!$J:$J,'Nursing Charges'!$A:$A,$A108,'Nursing Charges'!$C:$C,6))+(BG108-SUMIFS('Consumable Usage'!$F:$F,'Consumable Usage'!$A:$A,$A108,'Consumable Usage'!$D:$D,6)))</f>
        <v/>
      </c>
      <c r="BJ108" s="12" t="str">
        <f t="shared" si="16"/>
        <v/>
      </c>
      <c r="BK108" s="20"/>
      <c r="BL108" s="12" t="str">
        <f t="shared" si="17"/>
        <v/>
      </c>
      <c r="BM108" s="45" t="str">
        <f t="shared" si="18"/>
        <v/>
      </c>
      <c r="BN108" s="15"/>
      <c r="BO108" s="15"/>
      <c r="BP108" s="20"/>
      <c r="BQ108" s="12" t="str">
        <f>IF($A108="","",SUMIFS('Consumable Usage'!$E:$E,'Consumable Usage'!$A:$A,$A108,'Consumable Usage'!$D:$D,7))</f>
        <v/>
      </c>
      <c r="BR108" s="12" t="str">
        <f>IF($A108="","",SUMIFS('Nursing Charges'!$I:$I,'Nursing Charges'!$A:$A,$A108,'Nursing Charges'!$C:$C,7))</f>
        <v/>
      </c>
      <c r="BS108" s="12" t="str">
        <f>IF($A108="","",BP108+(BR108-SUMIFS('Nursing Charges'!$J:$J,'Nursing Charges'!$A:$A,$A108,'Nursing Charges'!$C:$C,7))+(BQ108-SUMIFS('Consumable Usage'!$F:$F,'Consumable Usage'!$A:$A,$A108,'Consumable Usage'!$D:$D,7)))</f>
        <v/>
      </c>
      <c r="BT108" s="12" t="str">
        <f t="shared" si="19"/>
        <v/>
      </c>
      <c r="BU108" s="20"/>
      <c r="BV108" s="12" t="str">
        <f t="shared" si="20"/>
        <v/>
      </c>
      <c r="BW108" s="45" t="str">
        <f t="shared" si="21"/>
        <v/>
      </c>
      <c r="BX108" s="15"/>
      <c r="BY108" s="15"/>
      <c r="BZ108" s="20"/>
      <c r="CA108" s="12" t="str">
        <f>IF($A108="","",SUMIFS('Consumable Usage'!$E:$E,'Consumable Usage'!$A:$A,$A108,'Consumable Usage'!$D:$D,8))</f>
        <v/>
      </c>
      <c r="CB108" s="12" t="str">
        <f>IF($A108="","",SUMIFS('Nursing Charges'!$I:$I,'Nursing Charges'!$A:$A,$A108,'Nursing Charges'!$C:$C,8))</f>
        <v/>
      </c>
      <c r="CC108" s="12" t="str">
        <f>IF($A108="","",BZ108+(CB108-SUMIFS('Nursing Charges'!$J:$J,'Nursing Charges'!$A:$A,$A108,'Nursing Charges'!$C:$C,8))+(CA108-SUMIFS('Consumable Usage'!$F:$F,'Consumable Usage'!$A:$A,$A108,'Consumable Usage'!$D:$D,8)))</f>
        <v/>
      </c>
      <c r="CD108" s="12" t="str">
        <f t="shared" si="22"/>
        <v/>
      </c>
      <c r="CE108" s="20"/>
      <c r="CF108" s="12" t="str">
        <f t="shared" si="23"/>
        <v/>
      </c>
      <c r="CG108" s="45" t="str">
        <f t="shared" si="24"/>
        <v/>
      </c>
      <c r="CH108" s="15"/>
      <c r="CI108" s="15"/>
      <c r="CJ108" s="20"/>
      <c r="CK108" s="12" t="str">
        <f>IF($A108="","",SUMIFS('Consumable Usage'!$E:$E,'Consumable Usage'!$A:$A,$A108,'Consumable Usage'!$D:$D,9))</f>
        <v/>
      </c>
      <c r="CL108" s="12" t="str">
        <f>IF($A108="","",SUMIFS('Nursing Charges'!$I:$I,'Nursing Charges'!$A:$A,$A108,'Nursing Charges'!$C:$C,9))</f>
        <v/>
      </c>
      <c r="CM108" s="12" t="str">
        <f>IF($A108="","",CJ108+(CL108-SUMIFS('Nursing Charges'!$J:$J,'Nursing Charges'!$A:$A,$A108,'Nursing Charges'!$C:$C,9))+(CK108-SUMIFS('Consumable Usage'!$F:$F,'Consumable Usage'!$A:$A,$A108,'Consumable Usage'!$D:$D,9)))</f>
        <v/>
      </c>
      <c r="CN108" s="12" t="str">
        <f t="shared" si="25"/>
        <v/>
      </c>
      <c r="CO108" s="20"/>
      <c r="CP108" s="12" t="str">
        <f t="shared" si="26"/>
        <v/>
      </c>
      <c r="CQ108" s="45" t="str">
        <f t="shared" si="27"/>
        <v/>
      </c>
      <c r="CR108" s="15"/>
      <c r="CS108" s="15"/>
      <c r="CT108" s="20"/>
      <c r="CU108" s="12" t="str">
        <f>IF($A108="","",SUMIFS('Consumable Usage'!$E:$E,'Consumable Usage'!$A:$A,$A108,'Consumable Usage'!$D:$D,10))</f>
        <v/>
      </c>
      <c r="CV108" s="12" t="str">
        <f>IF($A108="","",SUMIFS('Nursing Charges'!$I:$I,'Nursing Charges'!$A:$A,$A108,'Nursing Charges'!$C:$C,10))</f>
        <v/>
      </c>
      <c r="CW108" s="12" t="str">
        <f>IF($A108="","",CT108+(CV108-SUMIFS('Nursing Charges'!$J:$J,'Nursing Charges'!$A:$A,$A108,'Nursing Charges'!$C:$C,10))+(CU108-SUMIFS('Consumable Usage'!$F:$F,'Consumable Usage'!$A:$A,$A108,'Consumable Usage'!$D:$D,10)))</f>
        <v/>
      </c>
      <c r="CX108" s="12" t="str">
        <f t="shared" si="28"/>
        <v/>
      </c>
      <c r="CY108" s="20"/>
      <c r="CZ108" s="12" t="str">
        <f t="shared" si="29"/>
        <v/>
      </c>
      <c r="DA108" s="45" t="str">
        <f t="shared" si="30"/>
        <v/>
      </c>
      <c r="DB108" s="15"/>
      <c r="DC108" s="15"/>
      <c r="DD108" s="20"/>
      <c r="DE108" s="12" t="str">
        <f>IF($A108="","",SUMIFS('Consumable Usage'!$E:$E,'Consumable Usage'!$A:$A,$A108,'Consumable Usage'!$D:$D,11))</f>
        <v/>
      </c>
      <c r="DF108" s="12" t="str">
        <f>IF($A108="","",SUMIFS('Nursing Charges'!$I:$I,'Nursing Charges'!$A:$A,$A108,'Nursing Charges'!$C:$C,11))</f>
        <v/>
      </c>
      <c r="DG108" s="12" t="str">
        <f>IF($A108="","",DD108+(DF108-SUMIFS('Nursing Charges'!$J:$J,'Nursing Charges'!$A:$A,$A108,'Nursing Charges'!$C:$C,11))+(DE108-SUMIFS('Consumable Usage'!$F:$F,'Consumable Usage'!$A:$A,$A108,'Consumable Usage'!$D:$D,11)))</f>
        <v/>
      </c>
      <c r="DH108" s="12" t="str">
        <f t="shared" si="31"/>
        <v/>
      </c>
      <c r="DI108" s="20"/>
      <c r="DJ108" s="12" t="str">
        <f t="shared" si="32"/>
        <v/>
      </c>
      <c r="DK108" s="45" t="str">
        <f t="shared" si="33"/>
        <v/>
      </c>
      <c r="DL108" s="15"/>
      <c r="DM108" s="15"/>
      <c r="DN108" s="20"/>
      <c r="DO108" s="12" t="str">
        <f>IF($A108="","",SUMIFS('Consumable Usage'!$E:$E,'Consumable Usage'!$A:$A,$A108,'Consumable Usage'!$D:$D,12))</f>
        <v/>
      </c>
      <c r="DP108" s="12" t="str">
        <f>IF($A108="","",SUMIFS('Nursing Charges'!$I:$I,'Nursing Charges'!$A:$A,$A108,'Nursing Charges'!$C:$C,12))</f>
        <v/>
      </c>
      <c r="DQ108" s="12" t="str">
        <f>IF($A108="","",DN108+(DP108-SUMIFS('Nursing Charges'!$J:$J,'Nursing Charges'!$A:$A,$A108,'Nursing Charges'!$C:$C,12))+(DO108-SUMIFS('Consumable Usage'!$F:$F,'Consumable Usage'!$A:$A,$A108,'Consumable Usage'!$D:$D,12)))</f>
        <v/>
      </c>
      <c r="DR108" s="12" t="str">
        <f t="shared" si="34"/>
        <v/>
      </c>
      <c r="DS108" s="20"/>
      <c r="DT108" s="12" t="str">
        <f t="shared" si="35"/>
        <v/>
      </c>
      <c r="DU108" s="45" t="str">
        <f t="shared" si="36"/>
        <v/>
      </c>
      <c r="DV108" s="15"/>
      <c r="DW108" s="15"/>
      <c r="DX108" s="20"/>
      <c r="DY108" s="12" t="str">
        <f>IF($A108="","",SUMIFS('Consumable Usage'!$E:$E,'Consumable Usage'!$A:$A,$A108,'Consumable Usage'!$D:$D,13))</f>
        <v/>
      </c>
      <c r="DZ108" s="12" t="str">
        <f>IF($A108="","",SUMIFS('Nursing Charges'!$I:$I,'Nursing Charges'!$A:$A,$A108,'Nursing Charges'!$C:$C,13))</f>
        <v/>
      </c>
      <c r="EA108" s="12" t="str">
        <f>IF($A108="","",DX108+(DZ108-SUMIFS('Nursing Charges'!$J:$J,'Nursing Charges'!$A:$A,$A108,'Nursing Charges'!$C:$C,13))+(DY108-SUMIFS('Consumable Usage'!$F:$F,'Consumable Usage'!$A:$A,$A108,'Consumable Usage'!$D:$D,13)))</f>
        <v/>
      </c>
      <c r="EB108" s="12" t="str">
        <f t="shared" si="37"/>
        <v/>
      </c>
      <c r="EC108" s="20"/>
      <c r="ED108" s="12" t="str">
        <f t="shared" si="38"/>
        <v/>
      </c>
      <c r="EE108" s="45" t="str">
        <f t="shared" si="39"/>
        <v/>
      </c>
      <c r="EF108" s="15"/>
      <c r="EG108" s="15"/>
      <c r="EH108" s="20"/>
      <c r="EI108" s="12" t="str">
        <f>IF($A108="","",SUMIFS('Consumable Usage'!$E:$E,'Consumable Usage'!$A:$A,$A108,'Consumable Usage'!$D:$D,14))</f>
        <v/>
      </c>
      <c r="EJ108" s="12" t="str">
        <f>IF($A108="","",SUMIFS('Nursing Charges'!$I:$I,'Nursing Charges'!$A:$A,$A108,'Nursing Charges'!$C:$C,14))</f>
        <v/>
      </c>
      <c r="EK108" s="12" t="str">
        <f>IF($A108="","",EH108+(EJ108-SUMIFS('Nursing Charges'!$J:$J,'Nursing Charges'!$A:$A,$A108,'Nursing Charges'!$C:$C,14))+(EI108-SUMIFS('Consumable Usage'!$F:$F,'Consumable Usage'!$A:$A,$A108,'Consumable Usage'!$D:$D,14)))</f>
        <v/>
      </c>
      <c r="EL108" s="12" t="str">
        <f t="shared" si="40"/>
        <v/>
      </c>
      <c r="EM108" s="20"/>
      <c r="EN108" s="12" t="str">
        <f t="shared" si="41"/>
        <v/>
      </c>
      <c r="EO108" s="45" t="str">
        <f t="shared" si="42"/>
        <v/>
      </c>
      <c r="EP108" s="15"/>
      <c r="EQ108" s="15"/>
      <c r="ER108" s="20"/>
      <c r="ES108" s="12" t="str">
        <f>IF($A108="","",SUMIFS('Consumable Usage'!$E:$E,'Consumable Usage'!$A:$A,$A108,'Consumable Usage'!$D:$D,15))</f>
        <v/>
      </c>
      <c r="ET108" s="12" t="str">
        <f>IF($A108="","",SUMIFS('Nursing Charges'!$I:$I,'Nursing Charges'!$A:$A,$A108,'Nursing Charges'!$C:$C,15))</f>
        <v/>
      </c>
      <c r="EU108" s="12" t="str">
        <f>IF($A108="","",ER108+(ET108-SUMIFS('Nursing Charges'!$J:$J,'Nursing Charges'!$A:$A,$A108,'Nursing Charges'!$C:$C,15))+(ES108-SUMIFS('Consumable Usage'!$F:$F,'Consumable Usage'!$A:$A,$A108,'Consumable Usage'!$D:$D,15)))</f>
        <v/>
      </c>
      <c r="EV108" s="12" t="str">
        <f t="shared" si="43"/>
        <v/>
      </c>
      <c r="EW108" s="20"/>
      <c r="EX108" s="12" t="str">
        <f t="shared" si="44"/>
        <v/>
      </c>
      <c r="EY108" s="45" t="str">
        <f t="shared" si="45"/>
        <v/>
      </c>
      <c r="EZ108" s="15"/>
      <c r="FA108" s="15"/>
      <c r="FB108" s="20"/>
      <c r="FC108" s="12" t="str">
        <f>IF($A108="","",SUMIFS('Consumable Usage'!$E:$E,'Consumable Usage'!$A:$A,$A108,'Consumable Usage'!$D:$D,16))</f>
        <v/>
      </c>
      <c r="FD108" s="12" t="str">
        <f>IF($A108="","",SUMIFS('Nursing Charges'!$I:$I,'Nursing Charges'!$A:$A,$A108,'Nursing Charges'!$C:$C,16))</f>
        <v/>
      </c>
      <c r="FE108" s="12" t="str">
        <f>IF($A108="","",FB108+(FD108-SUMIFS('Nursing Charges'!$J:$J,'Nursing Charges'!$A:$A,$A108,'Nursing Charges'!$C:$C,16))+(FC108-SUMIFS('Consumable Usage'!$F:$F,'Consumable Usage'!$A:$A,$A108,'Consumable Usage'!$D:$D,16)))</f>
        <v/>
      </c>
      <c r="FF108" s="12" t="str">
        <f t="shared" si="46"/>
        <v/>
      </c>
      <c r="FG108" s="20"/>
      <c r="FH108" s="12" t="str">
        <f t="shared" si="47"/>
        <v/>
      </c>
      <c r="FI108" s="45" t="str">
        <f t="shared" si="48"/>
        <v/>
      </c>
      <c r="FJ108" s="53"/>
      <c r="FK108" s="53"/>
      <c r="FL108" s="63"/>
      <c r="FM108" s="63" t="str">
        <f>IF($A108="","",SUMIFS('Consumable Usage'!$E:$E,'Consumable Usage'!$A:$A,$A108,'Consumable Usage'!$D:$D,16))</f>
        <v/>
      </c>
      <c r="FN108" s="63" t="str">
        <f>IF($A108="","",SUMIFS('Nursing Charges'!$I:$I,'Nursing Charges'!$A:$A,$A108,'Nursing Charges'!$C:$C,16))</f>
        <v/>
      </c>
      <c r="FO108" s="63" t="str">
        <f>IF($A108="","",FL108+(FN108-SUMIFS('Nursing Charges'!$J:$J,'Nursing Charges'!$A:$A,$A108,'Nursing Charges'!$C:$C,16))+(FM108-SUMIFS('Consumable Usage'!$F:$F,'Consumable Usage'!$A:$A,$A108,'Consumable Usage'!$D:$D,16)))</f>
        <v/>
      </c>
      <c r="FP108" s="63" t="str">
        <f t="shared" si="49"/>
        <v/>
      </c>
      <c r="FQ108" s="63"/>
      <c r="FR108" s="63" t="str">
        <f t="shared" si="50"/>
        <v/>
      </c>
      <c r="FS108" s="53" t="str">
        <f t="shared" si="51"/>
        <v/>
      </c>
    </row>
    <row r="109" ht="15.0" customHeight="1">
      <c r="A109" s="15"/>
      <c r="B109" s="15"/>
      <c r="C109" s="15"/>
      <c r="D109" s="15"/>
      <c r="E109" s="15"/>
      <c r="F109" s="15"/>
      <c r="G109" s="15"/>
      <c r="H109" s="20"/>
      <c r="I109" s="12" t="str">
        <f>IF($A109="","",SUMIFS('Consumable Usage'!$E:$E,'Consumable Usage'!$A:$A,$A109,'Consumable Usage'!$D:$D,1))</f>
        <v/>
      </c>
      <c r="J109" s="12" t="str">
        <f>IF($A109="","",SUMIFS('Nursing Charges'!$I:$I,'Nursing Charges'!$A:$A,$A109,'Nursing Charges'!$C:$C,1))</f>
        <v/>
      </c>
      <c r="K109" s="12" t="str">
        <f>IF($A109="","",H109+(J109-SUMIFS('Nursing Charges'!$J:$J,'Nursing Charges'!$A:$A,$A109,'Nursing Charges'!$C:$C,1))+(I109-SUMIFS('Consumable Usage'!$F:$F,'Consumable Usage'!$A:$A,$A109,'Consumable Usage'!$D:$D,1)))</f>
        <v/>
      </c>
      <c r="L109" s="12" t="str">
        <f t="shared" si="1"/>
        <v/>
      </c>
      <c r="M109" s="20"/>
      <c r="N109" s="12" t="str">
        <f t="shared" si="2"/>
        <v/>
      </c>
      <c r="O109" s="45" t="str">
        <f t="shared" si="3"/>
        <v/>
      </c>
      <c r="P109" s="15"/>
      <c r="Q109" s="15"/>
      <c r="R109" s="20"/>
      <c r="S109" s="12" t="str">
        <f>IF($A109="","",SUMIFS('Consumable Usage'!$E:$E,'Consumable Usage'!$A:$A,$A109,'Consumable Usage'!$D:$D,2))</f>
        <v/>
      </c>
      <c r="T109" s="12" t="str">
        <f>IF($A109="","",SUMIFS('Nursing Charges'!$I:$I,'Nursing Charges'!$A:$A,$A109,'Nursing Charges'!$C:$C,2))</f>
        <v/>
      </c>
      <c r="U109" s="12" t="str">
        <f>IF($A109="","",R109+(T109-SUMIFS('Nursing Charges'!$J:$J,'Nursing Charges'!$A:$A,$A109,'Nursing Charges'!$C:$C,2))+(S109-SUMIFS('Consumable Usage'!$F:$F,'Consumable Usage'!$A:$A,$A109,'Consumable Usage'!$D:$D,2)))</f>
        <v/>
      </c>
      <c r="V109" s="12" t="str">
        <f t="shared" si="4"/>
        <v/>
      </c>
      <c r="W109" s="20"/>
      <c r="X109" s="12" t="str">
        <f t="shared" si="5"/>
        <v/>
      </c>
      <c r="Y109" s="45" t="str">
        <f t="shared" si="6"/>
        <v/>
      </c>
      <c r="Z109" s="15"/>
      <c r="AA109" s="15"/>
      <c r="AB109" s="20"/>
      <c r="AC109" s="12" t="str">
        <f>IF($A109="","",SUMIFS('Consumable Usage'!$E:$E,'Consumable Usage'!$A:$A,$A109,'Consumable Usage'!$D:$D,3))</f>
        <v/>
      </c>
      <c r="AD109" s="12" t="str">
        <f>IF($A109="","",SUMIFS('Nursing Charges'!$I:$I,'Nursing Charges'!$A:$A,$A109,'Nursing Charges'!$C:$C,3))</f>
        <v/>
      </c>
      <c r="AE109" s="12" t="str">
        <f>IF($A109="","",AB109+(AD109-SUMIFS('Nursing Charges'!$J:$J,'Nursing Charges'!$A:$A,$A109,'Nursing Charges'!$C:$C,3))+(AC109-SUMIFS('Consumable Usage'!$F:$F,'Consumable Usage'!$A:$A,$A109,'Consumable Usage'!$D:$D,3)))</f>
        <v/>
      </c>
      <c r="AF109" s="12" t="str">
        <f t="shared" si="7"/>
        <v/>
      </c>
      <c r="AG109" s="20"/>
      <c r="AH109" s="12" t="str">
        <f t="shared" si="8"/>
        <v/>
      </c>
      <c r="AI109" s="45" t="str">
        <f t="shared" si="9"/>
        <v/>
      </c>
      <c r="AJ109" s="15"/>
      <c r="AK109" s="15"/>
      <c r="AL109" s="20"/>
      <c r="AM109" s="12" t="str">
        <f>IF($A109="","",SUMIFS('Consumable Usage'!$E:$E,'Consumable Usage'!$A:$A,$A109,'Consumable Usage'!$D:$D,4))</f>
        <v/>
      </c>
      <c r="AN109" s="12" t="str">
        <f>IF($A109="","",SUMIFS('Nursing Charges'!$I:$I,'Nursing Charges'!$A:$A,$A109,'Nursing Charges'!$C:$C,4))</f>
        <v/>
      </c>
      <c r="AO109" s="12" t="str">
        <f>IF($A109="","",AL109+(AN109-SUMIFS('Nursing Charges'!$J:$J,'Nursing Charges'!$A:$A,$A109,'Nursing Charges'!$C:$C,4))+(AM109-SUMIFS('Consumable Usage'!$F:$F,'Consumable Usage'!$A:$A,$A109,'Consumable Usage'!$D:$D,4)))</f>
        <v/>
      </c>
      <c r="AP109" s="12" t="str">
        <f t="shared" si="10"/>
        <v/>
      </c>
      <c r="AQ109" s="20"/>
      <c r="AR109" s="12" t="str">
        <f t="shared" si="11"/>
        <v/>
      </c>
      <c r="AS109" s="45" t="str">
        <f t="shared" si="12"/>
        <v/>
      </c>
      <c r="AT109" s="15"/>
      <c r="AU109" s="15"/>
      <c r="AV109" s="20"/>
      <c r="AW109" s="12" t="str">
        <f>IF($A109="","",SUMIFS('Consumable Usage'!$E:$E,'Consumable Usage'!$A:$A,$A109,'Consumable Usage'!$D:$D,5))</f>
        <v/>
      </c>
      <c r="AX109" s="12" t="str">
        <f>IF($A109="","",SUMIFS('Nursing Charges'!$I:$I,'Nursing Charges'!$A:$A,$A109,'Nursing Charges'!$C:$C,5))</f>
        <v/>
      </c>
      <c r="AY109" s="12" t="str">
        <f>IF($A109="","",AV109+(AX109-SUMIFS('Nursing Charges'!$J:$J,'Nursing Charges'!$A:$A,$A109,'Nursing Charges'!$C:$C,5))+(AW109-SUMIFS('Consumable Usage'!$F:$F,'Consumable Usage'!$A:$A,$A109,'Consumable Usage'!$D:$D,5)))</f>
        <v/>
      </c>
      <c r="AZ109" s="12" t="str">
        <f t="shared" si="13"/>
        <v/>
      </c>
      <c r="BA109" s="20"/>
      <c r="BB109" s="12" t="str">
        <f t="shared" si="14"/>
        <v/>
      </c>
      <c r="BC109" s="45" t="str">
        <f t="shared" si="15"/>
        <v/>
      </c>
      <c r="BD109" s="15"/>
      <c r="BE109" s="15"/>
      <c r="BF109" s="20"/>
      <c r="BG109" s="12" t="str">
        <f>IF($A109="","",SUMIFS('Consumable Usage'!$E:$E,'Consumable Usage'!$A:$A,$A109,'Consumable Usage'!$D:$D,6))</f>
        <v/>
      </c>
      <c r="BH109" s="12" t="str">
        <f>IF($A109="","",SUMIFS('Nursing Charges'!$I:$I,'Nursing Charges'!$A:$A,$A109,'Nursing Charges'!$C:$C,6))</f>
        <v/>
      </c>
      <c r="BI109" s="12" t="str">
        <f>IF($A109="","",BF109+(BH109-SUMIFS('Nursing Charges'!$J:$J,'Nursing Charges'!$A:$A,$A109,'Nursing Charges'!$C:$C,6))+(BG109-SUMIFS('Consumable Usage'!$F:$F,'Consumable Usage'!$A:$A,$A109,'Consumable Usage'!$D:$D,6)))</f>
        <v/>
      </c>
      <c r="BJ109" s="12" t="str">
        <f t="shared" si="16"/>
        <v/>
      </c>
      <c r="BK109" s="20"/>
      <c r="BL109" s="12" t="str">
        <f t="shared" si="17"/>
        <v/>
      </c>
      <c r="BM109" s="45" t="str">
        <f t="shared" si="18"/>
        <v/>
      </c>
      <c r="BN109" s="15"/>
      <c r="BO109" s="15"/>
      <c r="BP109" s="20"/>
      <c r="BQ109" s="12" t="str">
        <f>IF($A109="","",SUMIFS('Consumable Usage'!$E:$E,'Consumable Usage'!$A:$A,$A109,'Consumable Usage'!$D:$D,7))</f>
        <v/>
      </c>
      <c r="BR109" s="12" t="str">
        <f>IF($A109="","",SUMIFS('Nursing Charges'!$I:$I,'Nursing Charges'!$A:$A,$A109,'Nursing Charges'!$C:$C,7))</f>
        <v/>
      </c>
      <c r="BS109" s="12" t="str">
        <f>IF($A109="","",BP109+(BR109-SUMIFS('Nursing Charges'!$J:$J,'Nursing Charges'!$A:$A,$A109,'Nursing Charges'!$C:$C,7))+(BQ109-SUMIFS('Consumable Usage'!$F:$F,'Consumable Usage'!$A:$A,$A109,'Consumable Usage'!$D:$D,7)))</f>
        <v/>
      </c>
      <c r="BT109" s="12" t="str">
        <f t="shared" si="19"/>
        <v/>
      </c>
      <c r="BU109" s="20"/>
      <c r="BV109" s="12" t="str">
        <f t="shared" si="20"/>
        <v/>
      </c>
      <c r="BW109" s="45" t="str">
        <f t="shared" si="21"/>
        <v/>
      </c>
      <c r="BX109" s="15"/>
      <c r="BY109" s="15"/>
      <c r="BZ109" s="20"/>
      <c r="CA109" s="12" t="str">
        <f>IF($A109="","",SUMIFS('Consumable Usage'!$E:$E,'Consumable Usage'!$A:$A,$A109,'Consumable Usage'!$D:$D,8))</f>
        <v/>
      </c>
      <c r="CB109" s="12" t="str">
        <f>IF($A109="","",SUMIFS('Nursing Charges'!$I:$I,'Nursing Charges'!$A:$A,$A109,'Nursing Charges'!$C:$C,8))</f>
        <v/>
      </c>
      <c r="CC109" s="12" t="str">
        <f>IF($A109="","",BZ109+(CB109-SUMIFS('Nursing Charges'!$J:$J,'Nursing Charges'!$A:$A,$A109,'Nursing Charges'!$C:$C,8))+(CA109-SUMIFS('Consumable Usage'!$F:$F,'Consumable Usage'!$A:$A,$A109,'Consumable Usage'!$D:$D,8)))</f>
        <v/>
      </c>
      <c r="CD109" s="12" t="str">
        <f t="shared" si="22"/>
        <v/>
      </c>
      <c r="CE109" s="20"/>
      <c r="CF109" s="12" t="str">
        <f t="shared" si="23"/>
        <v/>
      </c>
      <c r="CG109" s="45" t="str">
        <f t="shared" si="24"/>
        <v/>
      </c>
      <c r="CH109" s="15"/>
      <c r="CI109" s="15"/>
      <c r="CJ109" s="20"/>
      <c r="CK109" s="12" t="str">
        <f>IF($A109="","",SUMIFS('Consumable Usage'!$E:$E,'Consumable Usage'!$A:$A,$A109,'Consumable Usage'!$D:$D,9))</f>
        <v/>
      </c>
      <c r="CL109" s="12" t="str">
        <f>IF($A109="","",SUMIFS('Nursing Charges'!$I:$I,'Nursing Charges'!$A:$A,$A109,'Nursing Charges'!$C:$C,9))</f>
        <v/>
      </c>
      <c r="CM109" s="12" t="str">
        <f>IF($A109="","",CJ109+(CL109-SUMIFS('Nursing Charges'!$J:$J,'Nursing Charges'!$A:$A,$A109,'Nursing Charges'!$C:$C,9))+(CK109-SUMIFS('Consumable Usage'!$F:$F,'Consumable Usage'!$A:$A,$A109,'Consumable Usage'!$D:$D,9)))</f>
        <v/>
      </c>
      <c r="CN109" s="12" t="str">
        <f t="shared" si="25"/>
        <v/>
      </c>
      <c r="CO109" s="20"/>
      <c r="CP109" s="12" t="str">
        <f t="shared" si="26"/>
        <v/>
      </c>
      <c r="CQ109" s="45" t="str">
        <f t="shared" si="27"/>
        <v/>
      </c>
      <c r="CR109" s="15"/>
      <c r="CS109" s="15"/>
      <c r="CT109" s="20"/>
      <c r="CU109" s="12" t="str">
        <f>IF($A109="","",SUMIFS('Consumable Usage'!$E:$E,'Consumable Usage'!$A:$A,$A109,'Consumable Usage'!$D:$D,10))</f>
        <v/>
      </c>
      <c r="CV109" s="12" t="str">
        <f>IF($A109="","",SUMIFS('Nursing Charges'!$I:$I,'Nursing Charges'!$A:$A,$A109,'Nursing Charges'!$C:$C,10))</f>
        <v/>
      </c>
      <c r="CW109" s="12" t="str">
        <f>IF($A109="","",CT109+(CV109-SUMIFS('Nursing Charges'!$J:$J,'Nursing Charges'!$A:$A,$A109,'Nursing Charges'!$C:$C,10))+(CU109-SUMIFS('Consumable Usage'!$F:$F,'Consumable Usage'!$A:$A,$A109,'Consumable Usage'!$D:$D,10)))</f>
        <v/>
      </c>
      <c r="CX109" s="12" t="str">
        <f t="shared" si="28"/>
        <v/>
      </c>
      <c r="CY109" s="20"/>
      <c r="CZ109" s="12" t="str">
        <f t="shared" si="29"/>
        <v/>
      </c>
      <c r="DA109" s="45" t="str">
        <f t="shared" si="30"/>
        <v/>
      </c>
      <c r="DB109" s="15"/>
      <c r="DC109" s="15"/>
      <c r="DD109" s="20"/>
      <c r="DE109" s="12" t="str">
        <f>IF($A109="","",SUMIFS('Consumable Usage'!$E:$E,'Consumable Usage'!$A:$A,$A109,'Consumable Usage'!$D:$D,11))</f>
        <v/>
      </c>
      <c r="DF109" s="12" t="str">
        <f>IF($A109="","",SUMIFS('Nursing Charges'!$I:$I,'Nursing Charges'!$A:$A,$A109,'Nursing Charges'!$C:$C,11))</f>
        <v/>
      </c>
      <c r="DG109" s="12" t="str">
        <f>IF($A109="","",DD109+(DF109-SUMIFS('Nursing Charges'!$J:$J,'Nursing Charges'!$A:$A,$A109,'Nursing Charges'!$C:$C,11))+(DE109-SUMIFS('Consumable Usage'!$F:$F,'Consumable Usage'!$A:$A,$A109,'Consumable Usage'!$D:$D,11)))</f>
        <v/>
      </c>
      <c r="DH109" s="12" t="str">
        <f t="shared" si="31"/>
        <v/>
      </c>
      <c r="DI109" s="20"/>
      <c r="DJ109" s="12" t="str">
        <f t="shared" si="32"/>
        <v/>
      </c>
      <c r="DK109" s="45" t="str">
        <f t="shared" si="33"/>
        <v/>
      </c>
      <c r="DL109" s="15"/>
      <c r="DM109" s="15"/>
      <c r="DN109" s="20"/>
      <c r="DO109" s="12" t="str">
        <f>IF($A109="","",SUMIFS('Consumable Usage'!$E:$E,'Consumable Usage'!$A:$A,$A109,'Consumable Usage'!$D:$D,12))</f>
        <v/>
      </c>
      <c r="DP109" s="12" t="str">
        <f>IF($A109="","",SUMIFS('Nursing Charges'!$I:$I,'Nursing Charges'!$A:$A,$A109,'Nursing Charges'!$C:$C,12))</f>
        <v/>
      </c>
      <c r="DQ109" s="12" t="str">
        <f>IF($A109="","",DN109+(DP109-SUMIFS('Nursing Charges'!$J:$J,'Nursing Charges'!$A:$A,$A109,'Nursing Charges'!$C:$C,12))+(DO109-SUMIFS('Consumable Usage'!$F:$F,'Consumable Usage'!$A:$A,$A109,'Consumable Usage'!$D:$D,12)))</f>
        <v/>
      </c>
      <c r="DR109" s="12" t="str">
        <f t="shared" si="34"/>
        <v/>
      </c>
      <c r="DS109" s="20"/>
      <c r="DT109" s="12" t="str">
        <f t="shared" si="35"/>
        <v/>
      </c>
      <c r="DU109" s="45" t="str">
        <f t="shared" si="36"/>
        <v/>
      </c>
      <c r="DV109" s="15"/>
      <c r="DW109" s="15"/>
      <c r="DX109" s="20"/>
      <c r="DY109" s="12" t="str">
        <f>IF($A109="","",SUMIFS('Consumable Usage'!$E:$E,'Consumable Usage'!$A:$A,$A109,'Consumable Usage'!$D:$D,13))</f>
        <v/>
      </c>
      <c r="DZ109" s="12" t="str">
        <f>IF($A109="","",SUMIFS('Nursing Charges'!$I:$I,'Nursing Charges'!$A:$A,$A109,'Nursing Charges'!$C:$C,13))</f>
        <v/>
      </c>
      <c r="EA109" s="12" t="str">
        <f>IF($A109="","",DX109+(DZ109-SUMIFS('Nursing Charges'!$J:$J,'Nursing Charges'!$A:$A,$A109,'Nursing Charges'!$C:$C,13))+(DY109-SUMIFS('Consumable Usage'!$F:$F,'Consumable Usage'!$A:$A,$A109,'Consumable Usage'!$D:$D,13)))</f>
        <v/>
      </c>
      <c r="EB109" s="12" t="str">
        <f t="shared" si="37"/>
        <v/>
      </c>
      <c r="EC109" s="20"/>
      <c r="ED109" s="12" t="str">
        <f t="shared" si="38"/>
        <v/>
      </c>
      <c r="EE109" s="45" t="str">
        <f t="shared" si="39"/>
        <v/>
      </c>
      <c r="EF109" s="15"/>
      <c r="EG109" s="15"/>
      <c r="EH109" s="20"/>
      <c r="EI109" s="12" t="str">
        <f>IF($A109="","",SUMIFS('Consumable Usage'!$E:$E,'Consumable Usage'!$A:$A,$A109,'Consumable Usage'!$D:$D,14))</f>
        <v/>
      </c>
      <c r="EJ109" s="12" t="str">
        <f>IF($A109="","",SUMIFS('Nursing Charges'!$I:$I,'Nursing Charges'!$A:$A,$A109,'Nursing Charges'!$C:$C,14))</f>
        <v/>
      </c>
      <c r="EK109" s="12" t="str">
        <f>IF($A109="","",EH109+(EJ109-SUMIFS('Nursing Charges'!$J:$J,'Nursing Charges'!$A:$A,$A109,'Nursing Charges'!$C:$C,14))+(EI109-SUMIFS('Consumable Usage'!$F:$F,'Consumable Usage'!$A:$A,$A109,'Consumable Usage'!$D:$D,14)))</f>
        <v/>
      </c>
      <c r="EL109" s="12" t="str">
        <f t="shared" si="40"/>
        <v/>
      </c>
      <c r="EM109" s="20"/>
      <c r="EN109" s="12" t="str">
        <f t="shared" si="41"/>
        <v/>
      </c>
      <c r="EO109" s="45" t="str">
        <f t="shared" si="42"/>
        <v/>
      </c>
      <c r="EP109" s="15"/>
      <c r="EQ109" s="15"/>
      <c r="ER109" s="20"/>
      <c r="ES109" s="12" t="str">
        <f>IF($A109="","",SUMIFS('Consumable Usage'!$E:$E,'Consumable Usage'!$A:$A,$A109,'Consumable Usage'!$D:$D,15))</f>
        <v/>
      </c>
      <c r="ET109" s="12" t="str">
        <f>IF($A109="","",SUMIFS('Nursing Charges'!$I:$I,'Nursing Charges'!$A:$A,$A109,'Nursing Charges'!$C:$C,15))</f>
        <v/>
      </c>
      <c r="EU109" s="12" t="str">
        <f>IF($A109="","",ER109+(ET109-SUMIFS('Nursing Charges'!$J:$J,'Nursing Charges'!$A:$A,$A109,'Nursing Charges'!$C:$C,15))+(ES109-SUMIFS('Consumable Usage'!$F:$F,'Consumable Usage'!$A:$A,$A109,'Consumable Usage'!$D:$D,15)))</f>
        <v/>
      </c>
      <c r="EV109" s="12" t="str">
        <f t="shared" si="43"/>
        <v/>
      </c>
      <c r="EW109" s="20"/>
      <c r="EX109" s="12" t="str">
        <f t="shared" si="44"/>
        <v/>
      </c>
      <c r="EY109" s="45" t="str">
        <f t="shared" si="45"/>
        <v/>
      </c>
      <c r="EZ109" s="15"/>
      <c r="FA109" s="15"/>
      <c r="FB109" s="20"/>
      <c r="FC109" s="12" t="str">
        <f>IF($A109="","",SUMIFS('Consumable Usage'!$E:$E,'Consumable Usage'!$A:$A,$A109,'Consumable Usage'!$D:$D,16))</f>
        <v/>
      </c>
      <c r="FD109" s="12" t="str">
        <f>IF($A109="","",SUMIFS('Nursing Charges'!$I:$I,'Nursing Charges'!$A:$A,$A109,'Nursing Charges'!$C:$C,16))</f>
        <v/>
      </c>
      <c r="FE109" s="12" t="str">
        <f>IF($A109="","",FB109+(FD109-SUMIFS('Nursing Charges'!$J:$J,'Nursing Charges'!$A:$A,$A109,'Nursing Charges'!$C:$C,16))+(FC109-SUMIFS('Consumable Usage'!$F:$F,'Consumable Usage'!$A:$A,$A109,'Consumable Usage'!$D:$D,16)))</f>
        <v/>
      </c>
      <c r="FF109" s="12" t="str">
        <f t="shared" si="46"/>
        <v/>
      </c>
      <c r="FG109" s="20"/>
      <c r="FH109" s="12" t="str">
        <f t="shared" si="47"/>
        <v/>
      </c>
      <c r="FI109" s="45" t="str">
        <f t="shared" si="48"/>
        <v/>
      </c>
      <c r="FJ109" s="53"/>
      <c r="FK109" s="53"/>
      <c r="FL109" s="63"/>
      <c r="FM109" s="63" t="str">
        <f>IF($A109="","",SUMIFS('Consumable Usage'!$E:$E,'Consumable Usage'!$A:$A,$A109,'Consumable Usage'!$D:$D,16))</f>
        <v/>
      </c>
      <c r="FN109" s="63" t="str">
        <f>IF($A109="","",SUMIFS('Nursing Charges'!$I:$I,'Nursing Charges'!$A:$A,$A109,'Nursing Charges'!$C:$C,16))</f>
        <v/>
      </c>
      <c r="FO109" s="63" t="str">
        <f>IF($A109="","",FL109+(FN109-SUMIFS('Nursing Charges'!$J:$J,'Nursing Charges'!$A:$A,$A109,'Nursing Charges'!$C:$C,16))+(FM109-SUMIFS('Consumable Usage'!$F:$F,'Consumable Usage'!$A:$A,$A109,'Consumable Usage'!$D:$D,16)))</f>
        <v/>
      </c>
      <c r="FP109" s="63" t="str">
        <f t="shared" si="49"/>
        <v/>
      </c>
      <c r="FQ109" s="63"/>
      <c r="FR109" s="63" t="str">
        <f t="shared" si="50"/>
        <v/>
      </c>
      <c r="FS109" s="53" t="str">
        <f t="shared" si="51"/>
        <v/>
      </c>
    </row>
    <row r="110" ht="15.0" customHeight="1">
      <c r="A110" s="15"/>
      <c r="B110" s="15"/>
      <c r="C110" s="15"/>
      <c r="D110" s="15"/>
      <c r="E110" s="15"/>
      <c r="F110" s="15"/>
      <c r="G110" s="15"/>
      <c r="H110" s="20"/>
      <c r="I110" s="12" t="str">
        <f>IF($A110="","",SUMIFS('Consumable Usage'!$E:$E,'Consumable Usage'!$A:$A,$A110,'Consumable Usage'!$D:$D,1))</f>
        <v/>
      </c>
      <c r="J110" s="12" t="str">
        <f>IF($A110="","",SUMIFS('Nursing Charges'!$I:$I,'Nursing Charges'!$A:$A,$A110,'Nursing Charges'!$C:$C,1))</f>
        <v/>
      </c>
      <c r="K110" s="12" t="str">
        <f>IF($A110="","",H110+(J110-SUMIFS('Nursing Charges'!$J:$J,'Nursing Charges'!$A:$A,$A110,'Nursing Charges'!$C:$C,1))+(I110-SUMIFS('Consumable Usage'!$F:$F,'Consumable Usage'!$A:$A,$A110,'Consumable Usage'!$D:$D,1)))</f>
        <v/>
      </c>
      <c r="L110" s="12" t="str">
        <f t="shared" si="1"/>
        <v/>
      </c>
      <c r="M110" s="20"/>
      <c r="N110" s="12" t="str">
        <f t="shared" si="2"/>
        <v/>
      </c>
      <c r="O110" s="45" t="str">
        <f t="shared" si="3"/>
        <v/>
      </c>
      <c r="P110" s="15"/>
      <c r="Q110" s="15"/>
      <c r="R110" s="20"/>
      <c r="S110" s="12" t="str">
        <f>IF($A110="","",SUMIFS('Consumable Usage'!$E:$E,'Consumable Usage'!$A:$A,$A110,'Consumable Usage'!$D:$D,2))</f>
        <v/>
      </c>
      <c r="T110" s="12" t="str">
        <f>IF($A110="","",SUMIFS('Nursing Charges'!$I:$I,'Nursing Charges'!$A:$A,$A110,'Nursing Charges'!$C:$C,2))</f>
        <v/>
      </c>
      <c r="U110" s="12" t="str">
        <f>IF($A110="","",R110+(T110-SUMIFS('Nursing Charges'!$J:$J,'Nursing Charges'!$A:$A,$A110,'Nursing Charges'!$C:$C,2))+(S110-SUMIFS('Consumable Usage'!$F:$F,'Consumable Usage'!$A:$A,$A110,'Consumable Usage'!$D:$D,2)))</f>
        <v/>
      </c>
      <c r="V110" s="12" t="str">
        <f t="shared" si="4"/>
        <v/>
      </c>
      <c r="W110" s="20"/>
      <c r="X110" s="12" t="str">
        <f t="shared" si="5"/>
        <v/>
      </c>
      <c r="Y110" s="45" t="str">
        <f t="shared" si="6"/>
        <v/>
      </c>
      <c r="Z110" s="15"/>
      <c r="AA110" s="15"/>
      <c r="AB110" s="20"/>
      <c r="AC110" s="12" t="str">
        <f>IF($A110="","",SUMIFS('Consumable Usage'!$E:$E,'Consumable Usage'!$A:$A,$A110,'Consumable Usage'!$D:$D,3))</f>
        <v/>
      </c>
      <c r="AD110" s="12" t="str">
        <f>IF($A110="","",SUMIFS('Nursing Charges'!$I:$I,'Nursing Charges'!$A:$A,$A110,'Nursing Charges'!$C:$C,3))</f>
        <v/>
      </c>
      <c r="AE110" s="12" t="str">
        <f>IF($A110="","",AB110+(AD110-SUMIFS('Nursing Charges'!$J:$J,'Nursing Charges'!$A:$A,$A110,'Nursing Charges'!$C:$C,3))+(AC110-SUMIFS('Consumable Usage'!$F:$F,'Consumable Usage'!$A:$A,$A110,'Consumable Usage'!$D:$D,3)))</f>
        <v/>
      </c>
      <c r="AF110" s="12" t="str">
        <f t="shared" si="7"/>
        <v/>
      </c>
      <c r="AG110" s="20"/>
      <c r="AH110" s="12" t="str">
        <f t="shared" si="8"/>
        <v/>
      </c>
      <c r="AI110" s="45" t="str">
        <f t="shared" si="9"/>
        <v/>
      </c>
      <c r="AJ110" s="15"/>
      <c r="AK110" s="15"/>
      <c r="AL110" s="20"/>
      <c r="AM110" s="12" t="str">
        <f>IF($A110="","",SUMIFS('Consumable Usage'!$E:$E,'Consumable Usage'!$A:$A,$A110,'Consumable Usage'!$D:$D,4))</f>
        <v/>
      </c>
      <c r="AN110" s="12" t="str">
        <f>IF($A110="","",SUMIFS('Nursing Charges'!$I:$I,'Nursing Charges'!$A:$A,$A110,'Nursing Charges'!$C:$C,4))</f>
        <v/>
      </c>
      <c r="AO110" s="12" t="str">
        <f>IF($A110="","",AL110+(AN110-SUMIFS('Nursing Charges'!$J:$J,'Nursing Charges'!$A:$A,$A110,'Nursing Charges'!$C:$C,4))+(AM110-SUMIFS('Consumable Usage'!$F:$F,'Consumable Usage'!$A:$A,$A110,'Consumable Usage'!$D:$D,4)))</f>
        <v/>
      </c>
      <c r="AP110" s="12" t="str">
        <f t="shared" si="10"/>
        <v/>
      </c>
      <c r="AQ110" s="20"/>
      <c r="AR110" s="12" t="str">
        <f t="shared" si="11"/>
        <v/>
      </c>
      <c r="AS110" s="45" t="str">
        <f t="shared" si="12"/>
        <v/>
      </c>
      <c r="AT110" s="15"/>
      <c r="AU110" s="15"/>
      <c r="AV110" s="20"/>
      <c r="AW110" s="12" t="str">
        <f>IF($A110="","",SUMIFS('Consumable Usage'!$E:$E,'Consumable Usage'!$A:$A,$A110,'Consumable Usage'!$D:$D,5))</f>
        <v/>
      </c>
      <c r="AX110" s="12" t="str">
        <f>IF($A110="","",SUMIFS('Nursing Charges'!$I:$I,'Nursing Charges'!$A:$A,$A110,'Nursing Charges'!$C:$C,5))</f>
        <v/>
      </c>
      <c r="AY110" s="12" t="str">
        <f>IF($A110="","",AV110+(AX110-SUMIFS('Nursing Charges'!$J:$J,'Nursing Charges'!$A:$A,$A110,'Nursing Charges'!$C:$C,5))+(AW110-SUMIFS('Consumable Usage'!$F:$F,'Consumable Usage'!$A:$A,$A110,'Consumable Usage'!$D:$D,5)))</f>
        <v/>
      </c>
      <c r="AZ110" s="12" t="str">
        <f t="shared" si="13"/>
        <v/>
      </c>
      <c r="BA110" s="20"/>
      <c r="BB110" s="12" t="str">
        <f t="shared" si="14"/>
        <v/>
      </c>
      <c r="BC110" s="45" t="str">
        <f t="shared" si="15"/>
        <v/>
      </c>
      <c r="BD110" s="15"/>
      <c r="BE110" s="15"/>
      <c r="BF110" s="20"/>
      <c r="BG110" s="12" t="str">
        <f>IF($A110="","",SUMIFS('Consumable Usage'!$E:$E,'Consumable Usage'!$A:$A,$A110,'Consumable Usage'!$D:$D,6))</f>
        <v/>
      </c>
      <c r="BH110" s="12" t="str">
        <f>IF($A110="","",SUMIFS('Nursing Charges'!$I:$I,'Nursing Charges'!$A:$A,$A110,'Nursing Charges'!$C:$C,6))</f>
        <v/>
      </c>
      <c r="BI110" s="12" t="str">
        <f>IF($A110="","",BF110+(BH110-SUMIFS('Nursing Charges'!$J:$J,'Nursing Charges'!$A:$A,$A110,'Nursing Charges'!$C:$C,6))+(BG110-SUMIFS('Consumable Usage'!$F:$F,'Consumable Usage'!$A:$A,$A110,'Consumable Usage'!$D:$D,6)))</f>
        <v/>
      </c>
      <c r="BJ110" s="12" t="str">
        <f t="shared" si="16"/>
        <v/>
      </c>
      <c r="BK110" s="20"/>
      <c r="BL110" s="12" t="str">
        <f t="shared" si="17"/>
        <v/>
      </c>
      <c r="BM110" s="45" t="str">
        <f t="shared" si="18"/>
        <v/>
      </c>
      <c r="BN110" s="15"/>
      <c r="BO110" s="15"/>
      <c r="BP110" s="20"/>
      <c r="BQ110" s="12" t="str">
        <f>IF($A110="","",SUMIFS('Consumable Usage'!$E:$E,'Consumable Usage'!$A:$A,$A110,'Consumable Usage'!$D:$D,7))</f>
        <v/>
      </c>
      <c r="BR110" s="12" t="str">
        <f>IF($A110="","",SUMIFS('Nursing Charges'!$I:$I,'Nursing Charges'!$A:$A,$A110,'Nursing Charges'!$C:$C,7))</f>
        <v/>
      </c>
      <c r="BS110" s="12" t="str">
        <f>IF($A110="","",BP110+(BR110-SUMIFS('Nursing Charges'!$J:$J,'Nursing Charges'!$A:$A,$A110,'Nursing Charges'!$C:$C,7))+(BQ110-SUMIFS('Consumable Usage'!$F:$F,'Consumable Usage'!$A:$A,$A110,'Consumable Usage'!$D:$D,7)))</f>
        <v/>
      </c>
      <c r="BT110" s="12" t="str">
        <f t="shared" si="19"/>
        <v/>
      </c>
      <c r="BU110" s="20"/>
      <c r="BV110" s="12" t="str">
        <f t="shared" si="20"/>
        <v/>
      </c>
      <c r="BW110" s="45" t="str">
        <f t="shared" si="21"/>
        <v/>
      </c>
      <c r="BX110" s="15"/>
      <c r="BY110" s="15"/>
      <c r="BZ110" s="20"/>
      <c r="CA110" s="12" t="str">
        <f>IF($A110="","",SUMIFS('Consumable Usage'!$E:$E,'Consumable Usage'!$A:$A,$A110,'Consumable Usage'!$D:$D,8))</f>
        <v/>
      </c>
      <c r="CB110" s="12" t="str">
        <f>IF($A110="","",SUMIFS('Nursing Charges'!$I:$I,'Nursing Charges'!$A:$A,$A110,'Nursing Charges'!$C:$C,8))</f>
        <v/>
      </c>
      <c r="CC110" s="12" t="str">
        <f>IF($A110="","",BZ110+(CB110-SUMIFS('Nursing Charges'!$J:$J,'Nursing Charges'!$A:$A,$A110,'Nursing Charges'!$C:$C,8))+(CA110-SUMIFS('Consumable Usage'!$F:$F,'Consumable Usage'!$A:$A,$A110,'Consumable Usage'!$D:$D,8)))</f>
        <v/>
      </c>
      <c r="CD110" s="12" t="str">
        <f t="shared" si="22"/>
        <v/>
      </c>
      <c r="CE110" s="20"/>
      <c r="CF110" s="12" t="str">
        <f t="shared" si="23"/>
        <v/>
      </c>
      <c r="CG110" s="45" t="str">
        <f t="shared" si="24"/>
        <v/>
      </c>
      <c r="CH110" s="15"/>
      <c r="CI110" s="15"/>
      <c r="CJ110" s="20"/>
      <c r="CK110" s="12" t="str">
        <f>IF($A110="","",SUMIFS('Consumable Usage'!$E:$E,'Consumable Usage'!$A:$A,$A110,'Consumable Usage'!$D:$D,9))</f>
        <v/>
      </c>
      <c r="CL110" s="12" t="str">
        <f>IF($A110="","",SUMIFS('Nursing Charges'!$I:$I,'Nursing Charges'!$A:$A,$A110,'Nursing Charges'!$C:$C,9))</f>
        <v/>
      </c>
      <c r="CM110" s="12" t="str">
        <f>IF($A110="","",CJ110+(CL110-SUMIFS('Nursing Charges'!$J:$J,'Nursing Charges'!$A:$A,$A110,'Nursing Charges'!$C:$C,9))+(CK110-SUMIFS('Consumable Usage'!$F:$F,'Consumable Usage'!$A:$A,$A110,'Consumable Usage'!$D:$D,9)))</f>
        <v/>
      </c>
      <c r="CN110" s="12" t="str">
        <f t="shared" si="25"/>
        <v/>
      </c>
      <c r="CO110" s="20"/>
      <c r="CP110" s="12" t="str">
        <f t="shared" si="26"/>
        <v/>
      </c>
      <c r="CQ110" s="45" t="str">
        <f t="shared" si="27"/>
        <v/>
      </c>
      <c r="CR110" s="15"/>
      <c r="CS110" s="15"/>
      <c r="CT110" s="20"/>
      <c r="CU110" s="12" t="str">
        <f>IF($A110="","",SUMIFS('Consumable Usage'!$E:$E,'Consumable Usage'!$A:$A,$A110,'Consumable Usage'!$D:$D,10))</f>
        <v/>
      </c>
      <c r="CV110" s="12" t="str">
        <f>IF($A110="","",SUMIFS('Nursing Charges'!$I:$I,'Nursing Charges'!$A:$A,$A110,'Nursing Charges'!$C:$C,10))</f>
        <v/>
      </c>
      <c r="CW110" s="12" t="str">
        <f>IF($A110="","",CT110+(CV110-SUMIFS('Nursing Charges'!$J:$J,'Nursing Charges'!$A:$A,$A110,'Nursing Charges'!$C:$C,10))+(CU110-SUMIFS('Consumable Usage'!$F:$F,'Consumable Usage'!$A:$A,$A110,'Consumable Usage'!$D:$D,10)))</f>
        <v/>
      </c>
      <c r="CX110" s="12" t="str">
        <f t="shared" si="28"/>
        <v/>
      </c>
      <c r="CY110" s="20"/>
      <c r="CZ110" s="12" t="str">
        <f t="shared" si="29"/>
        <v/>
      </c>
      <c r="DA110" s="45" t="str">
        <f t="shared" si="30"/>
        <v/>
      </c>
      <c r="DB110" s="15"/>
      <c r="DC110" s="15"/>
      <c r="DD110" s="20"/>
      <c r="DE110" s="12" t="str">
        <f>IF($A110="","",SUMIFS('Consumable Usage'!$E:$E,'Consumable Usage'!$A:$A,$A110,'Consumable Usage'!$D:$D,11))</f>
        <v/>
      </c>
      <c r="DF110" s="12" t="str">
        <f>IF($A110="","",SUMIFS('Nursing Charges'!$I:$I,'Nursing Charges'!$A:$A,$A110,'Nursing Charges'!$C:$C,11))</f>
        <v/>
      </c>
      <c r="DG110" s="12" t="str">
        <f>IF($A110="","",DD110+(DF110-SUMIFS('Nursing Charges'!$J:$J,'Nursing Charges'!$A:$A,$A110,'Nursing Charges'!$C:$C,11))+(DE110-SUMIFS('Consumable Usage'!$F:$F,'Consumable Usage'!$A:$A,$A110,'Consumable Usage'!$D:$D,11)))</f>
        <v/>
      </c>
      <c r="DH110" s="12" t="str">
        <f t="shared" si="31"/>
        <v/>
      </c>
      <c r="DI110" s="20"/>
      <c r="DJ110" s="12" t="str">
        <f t="shared" si="32"/>
        <v/>
      </c>
      <c r="DK110" s="45" t="str">
        <f t="shared" si="33"/>
        <v/>
      </c>
      <c r="DL110" s="15"/>
      <c r="DM110" s="15"/>
      <c r="DN110" s="20"/>
      <c r="DO110" s="12" t="str">
        <f>IF($A110="","",SUMIFS('Consumable Usage'!$E:$E,'Consumable Usage'!$A:$A,$A110,'Consumable Usage'!$D:$D,12))</f>
        <v/>
      </c>
      <c r="DP110" s="12" t="str">
        <f>IF($A110="","",SUMIFS('Nursing Charges'!$I:$I,'Nursing Charges'!$A:$A,$A110,'Nursing Charges'!$C:$C,12))</f>
        <v/>
      </c>
      <c r="DQ110" s="12" t="str">
        <f>IF($A110="","",DN110+(DP110-SUMIFS('Nursing Charges'!$J:$J,'Nursing Charges'!$A:$A,$A110,'Nursing Charges'!$C:$C,12))+(DO110-SUMIFS('Consumable Usage'!$F:$F,'Consumable Usage'!$A:$A,$A110,'Consumable Usage'!$D:$D,12)))</f>
        <v/>
      </c>
      <c r="DR110" s="12" t="str">
        <f t="shared" si="34"/>
        <v/>
      </c>
      <c r="DS110" s="20"/>
      <c r="DT110" s="12" t="str">
        <f t="shared" si="35"/>
        <v/>
      </c>
      <c r="DU110" s="45" t="str">
        <f t="shared" si="36"/>
        <v/>
      </c>
      <c r="DV110" s="15"/>
      <c r="DW110" s="15"/>
      <c r="DX110" s="20"/>
      <c r="DY110" s="12" t="str">
        <f>IF($A110="","",SUMIFS('Consumable Usage'!$E:$E,'Consumable Usage'!$A:$A,$A110,'Consumable Usage'!$D:$D,13))</f>
        <v/>
      </c>
      <c r="DZ110" s="12" t="str">
        <f>IF($A110="","",SUMIFS('Nursing Charges'!$I:$I,'Nursing Charges'!$A:$A,$A110,'Nursing Charges'!$C:$C,13))</f>
        <v/>
      </c>
      <c r="EA110" s="12" t="str">
        <f>IF($A110="","",DX110+(DZ110-SUMIFS('Nursing Charges'!$J:$J,'Nursing Charges'!$A:$A,$A110,'Nursing Charges'!$C:$C,13))+(DY110-SUMIFS('Consumable Usage'!$F:$F,'Consumable Usage'!$A:$A,$A110,'Consumable Usage'!$D:$D,13)))</f>
        <v/>
      </c>
      <c r="EB110" s="12" t="str">
        <f t="shared" si="37"/>
        <v/>
      </c>
      <c r="EC110" s="20"/>
      <c r="ED110" s="12" t="str">
        <f t="shared" si="38"/>
        <v/>
      </c>
      <c r="EE110" s="45" t="str">
        <f t="shared" si="39"/>
        <v/>
      </c>
      <c r="EF110" s="15"/>
      <c r="EG110" s="15"/>
      <c r="EH110" s="20"/>
      <c r="EI110" s="12" t="str">
        <f>IF($A110="","",SUMIFS('Consumable Usage'!$E:$E,'Consumable Usage'!$A:$A,$A110,'Consumable Usage'!$D:$D,14))</f>
        <v/>
      </c>
      <c r="EJ110" s="12" t="str">
        <f>IF($A110="","",SUMIFS('Nursing Charges'!$I:$I,'Nursing Charges'!$A:$A,$A110,'Nursing Charges'!$C:$C,14))</f>
        <v/>
      </c>
      <c r="EK110" s="12" t="str">
        <f>IF($A110="","",EH110+(EJ110-SUMIFS('Nursing Charges'!$J:$J,'Nursing Charges'!$A:$A,$A110,'Nursing Charges'!$C:$C,14))+(EI110-SUMIFS('Consumable Usage'!$F:$F,'Consumable Usage'!$A:$A,$A110,'Consumable Usage'!$D:$D,14)))</f>
        <v/>
      </c>
      <c r="EL110" s="12" t="str">
        <f t="shared" si="40"/>
        <v/>
      </c>
      <c r="EM110" s="20"/>
      <c r="EN110" s="12" t="str">
        <f t="shared" si="41"/>
        <v/>
      </c>
      <c r="EO110" s="45" t="str">
        <f t="shared" si="42"/>
        <v/>
      </c>
      <c r="EP110" s="15"/>
      <c r="EQ110" s="15"/>
      <c r="ER110" s="20"/>
      <c r="ES110" s="12" t="str">
        <f>IF($A110="","",SUMIFS('Consumable Usage'!$E:$E,'Consumable Usage'!$A:$A,$A110,'Consumable Usage'!$D:$D,15))</f>
        <v/>
      </c>
      <c r="ET110" s="12" t="str">
        <f>IF($A110="","",SUMIFS('Nursing Charges'!$I:$I,'Nursing Charges'!$A:$A,$A110,'Nursing Charges'!$C:$C,15))</f>
        <v/>
      </c>
      <c r="EU110" s="12" t="str">
        <f>IF($A110="","",ER110+(ET110-SUMIFS('Nursing Charges'!$J:$J,'Nursing Charges'!$A:$A,$A110,'Nursing Charges'!$C:$C,15))+(ES110-SUMIFS('Consumable Usage'!$F:$F,'Consumable Usage'!$A:$A,$A110,'Consumable Usage'!$D:$D,15)))</f>
        <v/>
      </c>
      <c r="EV110" s="12" t="str">
        <f t="shared" si="43"/>
        <v/>
      </c>
      <c r="EW110" s="20"/>
      <c r="EX110" s="12" t="str">
        <f t="shared" si="44"/>
        <v/>
      </c>
      <c r="EY110" s="45" t="str">
        <f t="shared" si="45"/>
        <v/>
      </c>
      <c r="EZ110" s="15"/>
      <c r="FA110" s="15"/>
      <c r="FB110" s="20"/>
      <c r="FC110" s="12" t="str">
        <f>IF($A110="","",SUMIFS('Consumable Usage'!$E:$E,'Consumable Usage'!$A:$A,$A110,'Consumable Usage'!$D:$D,16))</f>
        <v/>
      </c>
      <c r="FD110" s="12" t="str">
        <f>IF($A110="","",SUMIFS('Nursing Charges'!$I:$I,'Nursing Charges'!$A:$A,$A110,'Nursing Charges'!$C:$C,16))</f>
        <v/>
      </c>
      <c r="FE110" s="12" t="str">
        <f>IF($A110="","",FB110+(FD110-SUMIFS('Nursing Charges'!$J:$J,'Nursing Charges'!$A:$A,$A110,'Nursing Charges'!$C:$C,16))+(FC110-SUMIFS('Consumable Usage'!$F:$F,'Consumable Usage'!$A:$A,$A110,'Consumable Usage'!$D:$D,16)))</f>
        <v/>
      </c>
      <c r="FF110" s="12" t="str">
        <f t="shared" si="46"/>
        <v/>
      </c>
      <c r="FG110" s="20"/>
      <c r="FH110" s="12" t="str">
        <f t="shared" si="47"/>
        <v/>
      </c>
      <c r="FI110" s="45" t="str">
        <f t="shared" si="48"/>
        <v/>
      </c>
      <c r="FJ110" s="53"/>
      <c r="FK110" s="53"/>
      <c r="FL110" s="63"/>
      <c r="FM110" s="63" t="str">
        <f>IF($A110="","",SUMIFS('Consumable Usage'!$E:$E,'Consumable Usage'!$A:$A,$A110,'Consumable Usage'!$D:$D,16))</f>
        <v/>
      </c>
      <c r="FN110" s="63" t="str">
        <f>IF($A110="","",SUMIFS('Nursing Charges'!$I:$I,'Nursing Charges'!$A:$A,$A110,'Nursing Charges'!$C:$C,16))</f>
        <v/>
      </c>
      <c r="FO110" s="63" t="str">
        <f>IF($A110="","",FL110+(FN110-SUMIFS('Nursing Charges'!$J:$J,'Nursing Charges'!$A:$A,$A110,'Nursing Charges'!$C:$C,16))+(FM110-SUMIFS('Consumable Usage'!$F:$F,'Consumable Usage'!$A:$A,$A110,'Consumable Usage'!$D:$D,16)))</f>
        <v/>
      </c>
      <c r="FP110" s="63" t="str">
        <f t="shared" si="49"/>
        <v/>
      </c>
      <c r="FQ110" s="63"/>
      <c r="FR110" s="63" t="str">
        <f t="shared" si="50"/>
        <v/>
      </c>
      <c r="FS110" s="53" t="str">
        <f t="shared" si="51"/>
        <v/>
      </c>
    </row>
    <row r="111" ht="15.0" customHeight="1">
      <c r="A111" s="15"/>
      <c r="B111" s="15"/>
      <c r="C111" s="15"/>
      <c r="D111" s="15"/>
      <c r="E111" s="15"/>
      <c r="F111" s="15"/>
      <c r="G111" s="15"/>
      <c r="H111" s="20"/>
      <c r="I111" s="12" t="str">
        <f>IF($A111="","",SUMIFS('Consumable Usage'!$E:$E,'Consumable Usage'!$A:$A,$A111,'Consumable Usage'!$D:$D,1))</f>
        <v/>
      </c>
      <c r="J111" s="12" t="str">
        <f>IF($A111="","",SUMIFS('Nursing Charges'!$I:$I,'Nursing Charges'!$A:$A,$A111,'Nursing Charges'!$C:$C,1))</f>
        <v/>
      </c>
      <c r="K111" s="12" t="str">
        <f>IF($A111="","",H111+(J111-SUMIFS('Nursing Charges'!$J:$J,'Nursing Charges'!$A:$A,$A111,'Nursing Charges'!$C:$C,1))+(I111-SUMIFS('Consumable Usage'!$F:$F,'Consumable Usage'!$A:$A,$A111,'Consumable Usage'!$D:$D,1)))</f>
        <v/>
      </c>
      <c r="L111" s="12" t="str">
        <f t="shared" si="1"/>
        <v/>
      </c>
      <c r="M111" s="20"/>
      <c r="N111" s="12" t="str">
        <f t="shared" si="2"/>
        <v/>
      </c>
      <c r="O111" s="45" t="str">
        <f t="shared" si="3"/>
        <v/>
      </c>
      <c r="P111" s="15"/>
      <c r="Q111" s="15"/>
      <c r="R111" s="20"/>
      <c r="S111" s="12" t="str">
        <f>IF($A111="","",SUMIFS('Consumable Usage'!$E:$E,'Consumable Usage'!$A:$A,$A111,'Consumable Usage'!$D:$D,2))</f>
        <v/>
      </c>
      <c r="T111" s="12" t="str">
        <f>IF($A111="","",SUMIFS('Nursing Charges'!$I:$I,'Nursing Charges'!$A:$A,$A111,'Nursing Charges'!$C:$C,2))</f>
        <v/>
      </c>
      <c r="U111" s="12" t="str">
        <f>IF($A111="","",R111+(T111-SUMIFS('Nursing Charges'!$J:$J,'Nursing Charges'!$A:$A,$A111,'Nursing Charges'!$C:$C,2))+(S111-SUMIFS('Consumable Usage'!$F:$F,'Consumable Usage'!$A:$A,$A111,'Consumable Usage'!$D:$D,2)))</f>
        <v/>
      </c>
      <c r="V111" s="12" t="str">
        <f t="shared" si="4"/>
        <v/>
      </c>
      <c r="W111" s="20"/>
      <c r="X111" s="12" t="str">
        <f t="shared" si="5"/>
        <v/>
      </c>
      <c r="Y111" s="45" t="str">
        <f t="shared" si="6"/>
        <v/>
      </c>
      <c r="Z111" s="15"/>
      <c r="AA111" s="15"/>
      <c r="AB111" s="20"/>
      <c r="AC111" s="12" t="str">
        <f>IF($A111="","",SUMIFS('Consumable Usage'!$E:$E,'Consumable Usage'!$A:$A,$A111,'Consumable Usage'!$D:$D,3))</f>
        <v/>
      </c>
      <c r="AD111" s="12" t="str">
        <f>IF($A111="","",SUMIFS('Nursing Charges'!$I:$I,'Nursing Charges'!$A:$A,$A111,'Nursing Charges'!$C:$C,3))</f>
        <v/>
      </c>
      <c r="AE111" s="12" t="str">
        <f>IF($A111="","",AB111+(AD111-SUMIFS('Nursing Charges'!$J:$J,'Nursing Charges'!$A:$A,$A111,'Nursing Charges'!$C:$C,3))+(AC111-SUMIFS('Consumable Usage'!$F:$F,'Consumable Usage'!$A:$A,$A111,'Consumable Usage'!$D:$D,3)))</f>
        <v/>
      </c>
      <c r="AF111" s="12" t="str">
        <f t="shared" si="7"/>
        <v/>
      </c>
      <c r="AG111" s="20"/>
      <c r="AH111" s="12" t="str">
        <f t="shared" si="8"/>
        <v/>
      </c>
      <c r="AI111" s="45" t="str">
        <f t="shared" si="9"/>
        <v/>
      </c>
      <c r="AJ111" s="15"/>
      <c r="AK111" s="15"/>
      <c r="AL111" s="20"/>
      <c r="AM111" s="12" t="str">
        <f>IF($A111="","",SUMIFS('Consumable Usage'!$E:$E,'Consumable Usage'!$A:$A,$A111,'Consumable Usage'!$D:$D,4))</f>
        <v/>
      </c>
      <c r="AN111" s="12" t="str">
        <f>IF($A111="","",SUMIFS('Nursing Charges'!$I:$I,'Nursing Charges'!$A:$A,$A111,'Nursing Charges'!$C:$C,4))</f>
        <v/>
      </c>
      <c r="AO111" s="12" t="str">
        <f>IF($A111="","",AL111+(AN111-SUMIFS('Nursing Charges'!$J:$J,'Nursing Charges'!$A:$A,$A111,'Nursing Charges'!$C:$C,4))+(AM111-SUMIFS('Consumable Usage'!$F:$F,'Consumable Usage'!$A:$A,$A111,'Consumable Usage'!$D:$D,4)))</f>
        <v/>
      </c>
      <c r="AP111" s="12" t="str">
        <f t="shared" si="10"/>
        <v/>
      </c>
      <c r="AQ111" s="20"/>
      <c r="AR111" s="12" t="str">
        <f t="shared" si="11"/>
        <v/>
      </c>
      <c r="AS111" s="45" t="str">
        <f t="shared" si="12"/>
        <v/>
      </c>
      <c r="AT111" s="15"/>
      <c r="AU111" s="15"/>
      <c r="AV111" s="20"/>
      <c r="AW111" s="12" t="str">
        <f>IF($A111="","",SUMIFS('Consumable Usage'!$E:$E,'Consumable Usage'!$A:$A,$A111,'Consumable Usage'!$D:$D,5))</f>
        <v/>
      </c>
      <c r="AX111" s="12" t="str">
        <f>IF($A111="","",SUMIFS('Nursing Charges'!$I:$I,'Nursing Charges'!$A:$A,$A111,'Nursing Charges'!$C:$C,5))</f>
        <v/>
      </c>
      <c r="AY111" s="12" t="str">
        <f>IF($A111="","",AV111+(AX111-SUMIFS('Nursing Charges'!$J:$J,'Nursing Charges'!$A:$A,$A111,'Nursing Charges'!$C:$C,5))+(AW111-SUMIFS('Consumable Usage'!$F:$F,'Consumable Usage'!$A:$A,$A111,'Consumable Usage'!$D:$D,5)))</f>
        <v/>
      </c>
      <c r="AZ111" s="12" t="str">
        <f t="shared" si="13"/>
        <v/>
      </c>
      <c r="BA111" s="20"/>
      <c r="BB111" s="12" t="str">
        <f t="shared" si="14"/>
        <v/>
      </c>
      <c r="BC111" s="45" t="str">
        <f t="shared" si="15"/>
        <v/>
      </c>
      <c r="BD111" s="15"/>
      <c r="BE111" s="15"/>
      <c r="BF111" s="20"/>
      <c r="BG111" s="12" t="str">
        <f>IF($A111="","",SUMIFS('Consumable Usage'!$E:$E,'Consumable Usage'!$A:$A,$A111,'Consumable Usage'!$D:$D,6))</f>
        <v/>
      </c>
      <c r="BH111" s="12" t="str">
        <f>IF($A111="","",SUMIFS('Nursing Charges'!$I:$I,'Nursing Charges'!$A:$A,$A111,'Nursing Charges'!$C:$C,6))</f>
        <v/>
      </c>
      <c r="BI111" s="12" t="str">
        <f>IF($A111="","",BF111+(BH111-SUMIFS('Nursing Charges'!$J:$J,'Nursing Charges'!$A:$A,$A111,'Nursing Charges'!$C:$C,6))+(BG111-SUMIFS('Consumable Usage'!$F:$F,'Consumable Usage'!$A:$A,$A111,'Consumable Usage'!$D:$D,6)))</f>
        <v/>
      </c>
      <c r="BJ111" s="12" t="str">
        <f t="shared" si="16"/>
        <v/>
      </c>
      <c r="BK111" s="20"/>
      <c r="BL111" s="12" t="str">
        <f t="shared" si="17"/>
        <v/>
      </c>
      <c r="BM111" s="45" t="str">
        <f t="shared" si="18"/>
        <v/>
      </c>
      <c r="BN111" s="15"/>
      <c r="BO111" s="15"/>
      <c r="BP111" s="20"/>
      <c r="BQ111" s="12" t="str">
        <f>IF($A111="","",SUMIFS('Consumable Usage'!$E:$E,'Consumable Usage'!$A:$A,$A111,'Consumable Usage'!$D:$D,7))</f>
        <v/>
      </c>
      <c r="BR111" s="12" t="str">
        <f>IF($A111="","",SUMIFS('Nursing Charges'!$I:$I,'Nursing Charges'!$A:$A,$A111,'Nursing Charges'!$C:$C,7))</f>
        <v/>
      </c>
      <c r="BS111" s="12" t="str">
        <f>IF($A111="","",BP111+(BR111-SUMIFS('Nursing Charges'!$J:$J,'Nursing Charges'!$A:$A,$A111,'Nursing Charges'!$C:$C,7))+(BQ111-SUMIFS('Consumable Usage'!$F:$F,'Consumable Usage'!$A:$A,$A111,'Consumable Usage'!$D:$D,7)))</f>
        <v/>
      </c>
      <c r="BT111" s="12" t="str">
        <f t="shared" si="19"/>
        <v/>
      </c>
      <c r="BU111" s="20"/>
      <c r="BV111" s="12" t="str">
        <f t="shared" si="20"/>
        <v/>
      </c>
      <c r="BW111" s="45" t="str">
        <f t="shared" si="21"/>
        <v/>
      </c>
      <c r="BX111" s="15"/>
      <c r="BY111" s="15"/>
      <c r="BZ111" s="20"/>
      <c r="CA111" s="12" t="str">
        <f>IF($A111="","",SUMIFS('Consumable Usage'!$E:$E,'Consumable Usage'!$A:$A,$A111,'Consumable Usage'!$D:$D,8))</f>
        <v/>
      </c>
      <c r="CB111" s="12" t="str">
        <f>IF($A111="","",SUMIFS('Nursing Charges'!$I:$I,'Nursing Charges'!$A:$A,$A111,'Nursing Charges'!$C:$C,8))</f>
        <v/>
      </c>
      <c r="CC111" s="12" t="str">
        <f>IF($A111="","",BZ111+(CB111-SUMIFS('Nursing Charges'!$J:$J,'Nursing Charges'!$A:$A,$A111,'Nursing Charges'!$C:$C,8))+(CA111-SUMIFS('Consumable Usage'!$F:$F,'Consumable Usage'!$A:$A,$A111,'Consumable Usage'!$D:$D,8)))</f>
        <v/>
      </c>
      <c r="CD111" s="12" t="str">
        <f t="shared" si="22"/>
        <v/>
      </c>
      <c r="CE111" s="20"/>
      <c r="CF111" s="12" t="str">
        <f t="shared" si="23"/>
        <v/>
      </c>
      <c r="CG111" s="45" t="str">
        <f t="shared" si="24"/>
        <v/>
      </c>
      <c r="CH111" s="15"/>
      <c r="CI111" s="15"/>
      <c r="CJ111" s="20"/>
      <c r="CK111" s="12" t="str">
        <f>IF($A111="","",SUMIFS('Consumable Usage'!$E:$E,'Consumable Usage'!$A:$A,$A111,'Consumable Usage'!$D:$D,9))</f>
        <v/>
      </c>
      <c r="CL111" s="12" t="str">
        <f>IF($A111="","",SUMIFS('Nursing Charges'!$I:$I,'Nursing Charges'!$A:$A,$A111,'Nursing Charges'!$C:$C,9))</f>
        <v/>
      </c>
      <c r="CM111" s="12" t="str">
        <f>IF($A111="","",CJ111+(CL111-SUMIFS('Nursing Charges'!$J:$J,'Nursing Charges'!$A:$A,$A111,'Nursing Charges'!$C:$C,9))+(CK111-SUMIFS('Consumable Usage'!$F:$F,'Consumable Usage'!$A:$A,$A111,'Consumable Usage'!$D:$D,9)))</f>
        <v/>
      </c>
      <c r="CN111" s="12" t="str">
        <f t="shared" si="25"/>
        <v/>
      </c>
      <c r="CO111" s="20"/>
      <c r="CP111" s="12" t="str">
        <f t="shared" si="26"/>
        <v/>
      </c>
      <c r="CQ111" s="45" t="str">
        <f t="shared" si="27"/>
        <v/>
      </c>
      <c r="CR111" s="15"/>
      <c r="CS111" s="15"/>
      <c r="CT111" s="20"/>
      <c r="CU111" s="12" t="str">
        <f>IF($A111="","",SUMIFS('Consumable Usage'!$E:$E,'Consumable Usage'!$A:$A,$A111,'Consumable Usage'!$D:$D,10))</f>
        <v/>
      </c>
      <c r="CV111" s="12" t="str">
        <f>IF($A111="","",SUMIFS('Nursing Charges'!$I:$I,'Nursing Charges'!$A:$A,$A111,'Nursing Charges'!$C:$C,10))</f>
        <v/>
      </c>
      <c r="CW111" s="12" t="str">
        <f>IF($A111="","",CT111+(CV111-SUMIFS('Nursing Charges'!$J:$J,'Nursing Charges'!$A:$A,$A111,'Nursing Charges'!$C:$C,10))+(CU111-SUMIFS('Consumable Usage'!$F:$F,'Consumable Usage'!$A:$A,$A111,'Consumable Usage'!$D:$D,10)))</f>
        <v/>
      </c>
      <c r="CX111" s="12" t="str">
        <f t="shared" si="28"/>
        <v/>
      </c>
      <c r="CY111" s="20"/>
      <c r="CZ111" s="12" t="str">
        <f t="shared" si="29"/>
        <v/>
      </c>
      <c r="DA111" s="45" t="str">
        <f t="shared" si="30"/>
        <v/>
      </c>
      <c r="DB111" s="15"/>
      <c r="DC111" s="15"/>
      <c r="DD111" s="20"/>
      <c r="DE111" s="12" t="str">
        <f>IF($A111="","",SUMIFS('Consumable Usage'!$E:$E,'Consumable Usage'!$A:$A,$A111,'Consumable Usage'!$D:$D,11))</f>
        <v/>
      </c>
      <c r="DF111" s="12" t="str">
        <f>IF($A111="","",SUMIFS('Nursing Charges'!$I:$I,'Nursing Charges'!$A:$A,$A111,'Nursing Charges'!$C:$C,11))</f>
        <v/>
      </c>
      <c r="DG111" s="12" t="str">
        <f>IF($A111="","",DD111+(DF111-SUMIFS('Nursing Charges'!$J:$J,'Nursing Charges'!$A:$A,$A111,'Nursing Charges'!$C:$C,11))+(DE111-SUMIFS('Consumable Usage'!$F:$F,'Consumable Usage'!$A:$A,$A111,'Consumable Usage'!$D:$D,11)))</f>
        <v/>
      </c>
      <c r="DH111" s="12" t="str">
        <f t="shared" si="31"/>
        <v/>
      </c>
      <c r="DI111" s="20"/>
      <c r="DJ111" s="12" t="str">
        <f t="shared" si="32"/>
        <v/>
      </c>
      <c r="DK111" s="45" t="str">
        <f t="shared" si="33"/>
        <v/>
      </c>
      <c r="DL111" s="15"/>
      <c r="DM111" s="15"/>
      <c r="DN111" s="20"/>
      <c r="DO111" s="12" t="str">
        <f>IF($A111="","",SUMIFS('Consumable Usage'!$E:$E,'Consumable Usage'!$A:$A,$A111,'Consumable Usage'!$D:$D,12))</f>
        <v/>
      </c>
      <c r="DP111" s="12" t="str">
        <f>IF($A111="","",SUMIFS('Nursing Charges'!$I:$I,'Nursing Charges'!$A:$A,$A111,'Nursing Charges'!$C:$C,12))</f>
        <v/>
      </c>
      <c r="DQ111" s="12" t="str">
        <f>IF($A111="","",DN111+(DP111-SUMIFS('Nursing Charges'!$J:$J,'Nursing Charges'!$A:$A,$A111,'Nursing Charges'!$C:$C,12))+(DO111-SUMIFS('Consumable Usage'!$F:$F,'Consumable Usage'!$A:$A,$A111,'Consumable Usage'!$D:$D,12)))</f>
        <v/>
      </c>
      <c r="DR111" s="12" t="str">
        <f t="shared" si="34"/>
        <v/>
      </c>
      <c r="DS111" s="20"/>
      <c r="DT111" s="12" t="str">
        <f t="shared" si="35"/>
        <v/>
      </c>
      <c r="DU111" s="45" t="str">
        <f t="shared" si="36"/>
        <v/>
      </c>
      <c r="DV111" s="15"/>
      <c r="DW111" s="15"/>
      <c r="DX111" s="20"/>
      <c r="DY111" s="12" t="str">
        <f>IF($A111="","",SUMIFS('Consumable Usage'!$E:$E,'Consumable Usage'!$A:$A,$A111,'Consumable Usage'!$D:$D,13))</f>
        <v/>
      </c>
      <c r="DZ111" s="12" t="str">
        <f>IF($A111="","",SUMIFS('Nursing Charges'!$I:$I,'Nursing Charges'!$A:$A,$A111,'Nursing Charges'!$C:$C,13))</f>
        <v/>
      </c>
      <c r="EA111" s="12" t="str">
        <f>IF($A111="","",DX111+(DZ111-SUMIFS('Nursing Charges'!$J:$J,'Nursing Charges'!$A:$A,$A111,'Nursing Charges'!$C:$C,13))+(DY111-SUMIFS('Consumable Usage'!$F:$F,'Consumable Usage'!$A:$A,$A111,'Consumable Usage'!$D:$D,13)))</f>
        <v/>
      </c>
      <c r="EB111" s="12" t="str">
        <f t="shared" si="37"/>
        <v/>
      </c>
      <c r="EC111" s="20"/>
      <c r="ED111" s="12" t="str">
        <f t="shared" si="38"/>
        <v/>
      </c>
      <c r="EE111" s="45" t="str">
        <f t="shared" si="39"/>
        <v/>
      </c>
      <c r="EF111" s="15"/>
      <c r="EG111" s="15"/>
      <c r="EH111" s="20"/>
      <c r="EI111" s="12" t="str">
        <f>IF($A111="","",SUMIFS('Consumable Usage'!$E:$E,'Consumable Usage'!$A:$A,$A111,'Consumable Usage'!$D:$D,14))</f>
        <v/>
      </c>
      <c r="EJ111" s="12" t="str">
        <f>IF($A111="","",SUMIFS('Nursing Charges'!$I:$I,'Nursing Charges'!$A:$A,$A111,'Nursing Charges'!$C:$C,14))</f>
        <v/>
      </c>
      <c r="EK111" s="12" t="str">
        <f>IF($A111="","",EH111+(EJ111-SUMIFS('Nursing Charges'!$J:$J,'Nursing Charges'!$A:$A,$A111,'Nursing Charges'!$C:$C,14))+(EI111-SUMIFS('Consumable Usage'!$F:$F,'Consumable Usage'!$A:$A,$A111,'Consumable Usage'!$D:$D,14)))</f>
        <v/>
      </c>
      <c r="EL111" s="12" t="str">
        <f t="shared" si="40"/>
        <v/>
      </c>
      <c r="EM111" s="20"/>
      <c r="EN111" s="12" t="str">
        <f t="shared" si="41"/>
        <v/>
      </c>
      <c r="EO111" s="45" t="str">
        <f t="shared" si="42"/>
        <v/>
      </c>
      <c r="EP111" s="15"/>
      <c r="EQ111" s="15"/>
      <c r="ER111" s="20"/>
      <c r="ES111" s="12" t="str">
        <f>IF($A111="","",SUMIFS('Consumable Usage'!$E:$E,'Consumable Usage'!$A:$A,$A111,'Consumable Usage'!$D:$D,15))</f>
        <v/>
      </c>
      <c r="ET111" s="12" t="str">
        <f>IF($A111="","",SUMIFS('Nursing Charges'!$I:$I,'Nursing Charges'!$A:$A,$A111,'Nursing Charges'!$C:$C,15))</f>
        <v/>
      </c>
      <c r="EU111" s="12" t="str">
        <f>IF($A111="","",ER111+(ET111-SUMIFS('Nursing Charges'!$J:$J,'Nursing Charges'!$A:$A,$A111,'Nursing Charges'!$C:$C,15))+(ES111-SUMIFS('Consumable Usage'!$F:$F,'Consumable Usage'!$A:$A,$A111,'Consumable Usage'!$D:$D,15)))</f>
        <v/>
      </c>
      <c r="EV111" s="12" t="str">
        <f t="shared" si="43"/>
        <v/>
      </c>
      <c r="EW111" s="20"/>
      <c r="EX111" s="12" t="str">
        <f t="shared" si="44"/>
        <v/>
      </c>
      <c r="EY111" s="45" t="str">
        <f t="shared" si="45"/>
        <v/>
      </c>
      <c r="EZ111" s="15"/>
      <c r="FA111" s="15"/>
      <c r="FB111" s="20"/>
      <c r="FC111" s="12" t="str">
        <f>IF($A111="","",SUMIFS('Consumable Usage'!$E:$E,'Consumable Usage'!$A:$A,$A111,'Consumable Usage'!$D:$D,16))</f>
        <v/>
      </c>
      <c r="FD111" s="12" t="str">
        <f>IF($A111="","",SUMIFS('Nursing Charges'!$I:$I,'Nursing Charges'!$A:$A,$A111,'Nursing Charges'!$C:$C,16))</f>
        <v/>
      </c>
      <c r="FE111" s="12" t="str">
        <f>IF($A111="","",FB111+(FD111-SUMIFS('Nursing Charges'!$J:$J,'Nursing Charges'!$A:$A,$A111,'Nursing Charges'!$C:$C,16))+(FC111-SUMIFS('Consumable Usage'!$F:$F,'Consumable Usage'!$A:$A,$A111,'Consumable Usage'!$D:$D,16)))</f>
        <v/>
      </c>
      <c r="FF111" s="12" t="str">
        <f t="shared" si="46"/>
        <v/>
      </c>
      <c r="FG111" s="20"/>
      <c r="FH111" s="12" t="str">
        <f t="shared" si="47"/>
        <v/>
      </c>
      <c r="FI111" s="45" t="str">
        <f t="shared" si="48"/>
        <v/>
      </c>
      <c r="FJ111" s="53"/>
      <c r="FK111" s="53"/>
      <c r="FL111" s="63"/>
      <c r="FM111" s="63" t="str">
        <f>IF($A111="","",SUMIFS('Consumable Usage'!$E:$E,'Consumable Usage'!$A:$A,$A111,'Consumable Usage'!$D:$D,16))</f>
        <v/>
      </c>
      <c r="FN111" s="63" t="str">
        <f>IF($A111="","",SUMIFS('Nursing Charges'!$I:$I,'Nursing Charges'!$A:$A,$A111,'Nursing Charges'!$C:$C,16))</f>
        <v/>
      </c>
      <c r="FO111" s="63" t="str">
        <f>IF($A111="","",FL111+(FN111-SUMIFS('Nursing Charges'!$J:$J,'Nursing Charges'!$A:$A,$A111,'Nursing Charges'!$C:$C,16))+(FM111-SUMIFS('Consumable Usage'!$F:$F,'Consumable Usage'!$A:$A,$A111,'Consumable Usage'!$D:$D,16)))</f>
        <v/>
      </c>
      <c r="FP111" s="63" t="str">
        <f t="shared" si="49"/>
        <v/>
      </c>
      <c r="FQ111" s="63"/>
      <c r="FR111" s="63" t="str">
        <f t="shared" si="50"/>
        <v/>
      </c>
      <c r="FS111" s="53" t="str">
        <f t="shared" si="51"/>
        <v/>
      </c>
    </row>
    <row r="112" ht="15.0" customHeight="1">
      <c r="A112" s="15"/>
      <c r="B112" s="15"/>
      <c r="C112" s="15"/>
      <c r="D112" s="15"/>
      <c r="E112" s="15"/>
      <c r="F112" s="15"/>
      <c r="G112" s="15"/>
      <c r="H112" s="20"/>
      <c r="I112" s="12" t="str">
        <f>IF($A112="","",SUMIFS('Consumable Usage'!$E:$E,'Consumable Usage'!$A:$A,$A112,'Consumable Usage'!$D:$D,1))</f>
        <v/>
      </c>
      <c r="J112" s="12" t="str">
        <f>IF($A112="","",SUMIFS('Nursing Charges'!$I:$I,'Nursing Charges'!$A:$A,$A112,'Nursing Charges'!$C:$C,1))</f>
        <v/>
      </c>
      <c r="K112" s="12" t="str">
        <f>IF($A112="","",H112+(J112-SUMIFS('Nursing Charges'!$J:$J,'Nursing Charges'!$A:$A,$A112,'Nursing Charges'!$C:$C,1))+(I112-SUMIFS('Consumable Usage'!$F:$F,'Consumable Usage'!$A:$A,$A112,'Consumable Usage'!$D:$D,1)))</f>
        <v/>
      </c>
      <c r="L112" s="12" t="str">
        <f t="shared" si="1"/>
        <v/>
      </c>
      <c r="M112" s="20"/>
      <c r="N112" s="12" t="str">
        <f t="shared" si="2"/>
        <v/>
      </c>
      <c r="O112" s="45" t="str">
        <f t="shared" si="3"/>
        <v/>
      </c>
      <c r="P112" s="15"/>
      <c r="Q112" s="15"/>
      <c r="R112" s="20"/>
      <c r="S112" s="12" t="str">
        <f>IF($A112="","",SUMIFS('Consumable Usage'!$E:$E,'Consumable Usage'!$A:$A,$A112,'Consumable Usage'!$D:$D,2))</f>
        <v/>
      </c>
      <c r="T112" s="12" t="str">
        <f>IF($A112="","",SUMIFS('Nursing Charges'!$I:$I,'Nursing Charges'!$A:$A,$A112,'Nursing Charges'!$C:$C,2))</f>
        <v/>
      </c>
      <c r="U112" s="12" t="str">
        <f>IF($A112="","",R112+(T112-SUMIFS('Nursing Charges'!$J:$J,'Nursing Charges'!$A:$A,$A112,'Nursing Charges'!$C:$C,2))+(S112-SUMIFS('Consumable Usage'!$F:$F,'Consumable Usage'!$A:$A,$A112,'Consumable Usage'!$D:$D,2)))</f>
        <v/>
      </c>
      <c r="V112" s="12" t="str">
        <f t="shared" si="4"/>
        <v/>
      </c>
      <c r="W112" s="20"/>
      <c r="X112" s="12" t="str">
        <f t="shared" si="5"/>
        <v/>
      </c>
      <c r="Y112" s="45" t="str">
        <f t="shared" si="6"/>
        <v/>
      </c>
      <c r="Z112" s="15"/>
      <c r="AA112" s="15"/>
      <c r="AB112" s="20"/>
      <c r="AC112" s="12" t="str">
        <f>IF($A112="","",SUMIFS('Consumable Usage'!$E:$E,'Consumable Usage'!$A:$A,$A112,'Consumable Usage'!$D:$D,3))</f>
        <v/>
      </c>
      <c r="AD112" s="12" t="str">
        <f>IF($A112="","",SUMIFS('Nursing Charges'!$I:$I,'Nursing Charges'!$A:$A,$A112,'Nursing Charges'!$C:$C,3))</f>
        <v/>
      </c>
      <c r="AE112" s="12" t="str">
        <f>IF($A112="","",AB112+(AD112-SUMIFS('Nursing Charges'!$J:$J,'Nursing Charges'!$A:$A,$A112,'Nursing Charges'!$C:$C,3))+(AC112-SUMIFS('Consumable Usage'!$F:$F,'Consumable Usage'!$A:$A,$A112,'Consumable Usage'!$D:$D,3)))</f>
        <v/>
      </c>
      <c r="AF112" s="12" t="str">
        <f t="shared" si="7"/>
        <v/>
      </c>
      <c r="AG112" s="20"/>
      <c r="AH112" s="12" t="str">
        <f t="shared" si="8"/>
        <v/>
      </c>
      <c r="AI112" s="45" t="str">
        <f t="shared" si="9"/>
        <v/>
      </c>
      <c r="AJ112" s="15"/>
      <c r="AK112" s="15"/>
      <c r="AL112" s="20"/>
      <c r="AM112" s="12" t="str">
        <f>IF($A112="","",SUMIFS('Consumable Usage'!$E:$E,'Consumable Usage'!$A:$A,$A112,'Consumable Usage'!$D:$D,4))</f>
        <v/>
      </c>
      <c r="AN112" s="12" t="str">
        <f>IF($A112="","",SUMIFS('Nursing Charges'!$I:$I,'Nursing Charges'!$A:$A,$A112,'Nursing Charges'!$C:$C,4))</f>
        <v/>
      </c>
      <c r="AO112" s="12" t="str">
        <f>IF($A112="","",AL112+(AN112-SUMIFS('Nursing Charges'!$J:$J,'Nursing Charges'!$A:$A,$A112,'Nursing Charges'!$C:$C,4))+(AM112-SUMIFS('Consumable Usage'!$F:$F,'Consumable Usage'!$A:$A,$A112,'Consumable Usage'!$D:$D,4)))</f>
        <v/>
      </c>
      <c r="AP112" s="12" t="str">
        <f t="shared" si="10"/>
        <v/>
      </c>
      <c r="AQ112" s="20"/>
      <c r="AR112" s="12" t="str">
        <f t="shared" si="11"/>
        <v/>
      </c>
      <c r="AS112" s="45" t="str">
        <f t="shared" si="12"/>
        <v/>
      </c>
      <c r="AT112" s="15"/>
      <c r="AU112" s="15"/>
      <c r="AV112" s="20"/>
      <c r="AW112" s="12" t="str">
        <f>IF($A112="","",SUMIFS('Consumable Usage'!$E:$E,'Consumable Usage'!$A:$A,$A112,'Consumable Usage'!$D:$D,5))</f>
        <v/>
      </c>
      <c r="AX112" s="12" t="str">
        <f>IF($A112="","",SUMIFS('Nursing Charges'!$I:$I,'Nursing Charges'!$A:$A,$A112,'Nursing Charges'!$C:$C,5))</f>
        <v/>
      </c>
      <c r="AY112" s="12" t="str">
        <f>IF($A112="","",AV112+(AX112-SUMIFS('Nursing Charges'!$J:$J,'Nursing Charges'!$A:$A,$A112,'Nursing Charges'!$C:$C,5))+(AW112-SUMIFS('Consumable Usage'!$F:$F,'Consumable Usage'!$A:$A,$A112,'Consumable Usage'!$D:$D,5)))</f>
        <v/>
      </c>
      <c r="AZ112" s="12" t="str">
        <f t="shared" si="13"/>
        <v/>
      </c>
      <c r="BA112" s="20"/>
      <c r="BB112" s="12" t="str">
        <f t="shared" si="14"/>
        <v/>
      </c>
      <c r="BC112" s="45" t="str">
        <f t="shared" si="15"/>
        <v/>
      </c>
      <c r="BD112" s="15"/>
      <c r="BE112" s="15"/>
      <c r="BF112" s="20"/>
      <c r="BG112" s="12" t="str">
        <f>IF($A112="","",SUMIFS('Consumable Usage'!$E:$E,'Consumable Usage'!$A:$A,$A112,'Consumable Usage'!$D:$D,6))</f>
        <v/>
      </c>
      <c r="BH112" s="12" t="str">
        <f>IF($A112="","",SUMIFS('Nursing Charges'!$I:$I,'Nursing Charges'!$A:$A,$A112,'Nursing Charges'!$C:$C,6))</f>
        <v/>
      </c>
      <c r="BI112" s="12" t="str">
        <f>IF($A112="","",BF112+(BH112-SUMIFS('Nursing Charges'!$J:$J,'Nursing Charges'!$A:$A,$A112,'Nursing Charges'!$C:$C,6))+(BG112-SUMIFS('Consumable Usage'!$F:$F,'Consumable Usage'!$A:$A,$A112,'Consumable Usage'!$D:$D,6)))</f>
        <v/>
      </c>
      <c r="BJ112" s="12" t="str">
        <f t="shared" si="16"/>
        <v/>
      </c>
      <c r="BK112" s="20"/>
      <c r="BL112" s="12" t="str">
        <f t="shared" si="17"/>
        <v/>
      </c>
      <c r="BM112" s="45" t="str">
        <f t="shared" si="18"/>
        <v/>
      </c>
      <c r="BN112" s="15"/>
      <c r="BO112" s="15"/>
      <c r="BP112" s="20"/>
      <c r="BQ112" s="12" t="str">
        <f>IF($A112="","",SUMIFS('Consumable Usage'!$E:$E,'Consumable Usage'!$A:$A,$A112,'Consumable Usage'!$D:$D,7))</f>
        <v/>
      </c>
      <c r="BR112" s="12" t="str">
        <f>IF($A112="","",SUMIFS('Nursing Charges'!$I:$I,'Nursing Charges'!$A:$A,$A112,'Nursing Charges'!$C:$C,7))</f>
        <v/>
      </c>
      <c r="BS112" s="12" t="str">
        <f>IF($A112="","",BP112+(BR112-SUMIFS('Nursing Charges'!$J:$J,'Nursing Charges'!$A:$A,$A112,'Nursing Charges'!$C:$C,7))+(BQ112-SUMIFS('Consumable Usage'!$F:$F,'Consumable Usage'!$A:$A,$A112,'Consumable Usage'!$D:$D,7)))</f>
        <v/>
      </c>
      <c r="BT112" s="12" t="str">
        <f t="shared" si="19"/>
        <v/>
      </c>
      <c r="BU112" s="20"/>
      <c r="BV112" s="12" t="str">
        <f t="shared" si="20"/>
        <v/>
      </c>
      <c r="BW112" s="45" t="str">
        <f t="shared" si="21"/>
        <v/>
      </c>
      <c r="BX112" s="15"/>
      <c r="BY112" s="15"/>
      <c r="BZ112" s="20"/>
      <c r="CA112" s="12" t="str">
        <f>IF($A112="","",SUMIFS('Consumable Usage'!$E:$E,'Consumable Usage'!$A:$A,$A112,'Consumable Usage'!$D:$D,8))</f>
        <v/>
      </c>
      <c r="CB112" s="12" t="str">
        <f>IF($A112="","",SUMIFS('Nursing Charges'!$I:$I,'Nursing Charges'!$A:$A,$A112,'Nursing Charges'!$C:$C,8))</f>
        <v/>
      </c>
      <c r="CC112" s="12" t="str">
        <f>IF($A112="","",BZ112+(CB112-SUMIFS('Nursing Charges'!$J:$J,'Nursing Charges'!$A:$A,$A112,'Nursing Charges'!$C:$C,8))+(CA112-SUMIFS('Consumable Usage'!$F:$F,'Consumable Usage'!$A:$A,$A112,'Consumable Usage'!$D:$D,8)))</f>
        <v/>
      </c>
      <c r="CD112" s="12" t="str">
        <f t="shared" si="22"/>
        <v/>
      </c>
      <c r="CE112" s="20"/>
      <c r="CF112" s="12" t="str">
        <f t="shared" si="23"/>
        <v/>
      </c>
      <c r="CG112" s="45" t="str">
        <f t="shared" si="24"/>
        <v/>
      </c>
      <c r="CH112" s="15"/>
      <c r="CI112" s="15"/>
      <c r="CJ112" s="20"/>
      <c r="CK112" s="12" t="str">
        <f>IF($A112="","",SUMIFS('Consumable Usage'!$E:$E,'Consumable Usage'!$A:$A,$A112,'Consumable Usage'!$D:$D,9))</f>
        <v/>
      </c>
      <c r="CL112" s="12" t="str">
        <f>IF($A112="","",SUMIFS('Nursing Charges'!$I:$I,'Nursing Charges'!$A:$A,$A112,'Nursing Charges'!$C:$C,9))</f>
        <v/>
      </c>
      <c r="CM112" s="12" t="str">
        <f>IF($A112="","",CJ112+(CL112-SUMIFS('Nursing Charges'!$J:$J,'Nursing Charges'!$A:$A,$A112,'Nursing Charges'!$C:$C,9))+(CK112-SUMIFS('Consumable Usage'!$F:$F,'Consumable Usage'!$A:$A,$A112,'Consumable Usage'!$D:$D,9)))</f>
        <v/>
      </c>
      <c r="CN112" s="12" t="str">
        <f t="shared" si="25"/>
        <v/>
      </c>
      <c r="CO112" s="20"/>
      <c r="CP112" s="12" t="str">
        <f t="shared" si="26"/>
        <v/>
      </c>
      <c r="CQ112" s="45" t="str">
        <f t="shared" si="27"/>
        <v/>
      </c>
      <c r="CR112" s="15"/>
      <c r="CS112" s="15"/>
      <c r="CT112" s="20"/>
      <c r="CU112" s="12" t="str">
        <f>IF($A112="","",SUMIFS('Consumable Usage'!$E:$E,'Consumable Usage'!$A:$A,$A112,'Consumable Usage'!$D:$D,10))</f>
        <v/>
      </c>
      <c r="CV112" s="12" t="str">
        <f>IF($A112="","",SUMIFS('Nursing Charges'!$I:$I,'Nursing Charges'!$A:$A,$A112,'Nursing Charges'!$C:$C,10))</f>
        <v/>
      </c>
      <c r="CW112" s="12" t="str">
        <f>IF($A112="","",CT112+(CV112-SUMIFS('Nursing Charges'!$J:$J,'Nursing Charges'!$A:$A,$A112,'Nursing Charges'!$C:$C,10))+(CU112-SUMIFS('Consumable Usage'!$F:$F,'Consumable Usage'!$A:$A,$A112,'Consumable Usage'!$D:$D,10)))</f>
        <v/>
      </c>
      <c r="CX112" s="12" t="str">
        <f t="shared" si="28"/>
        <v/>
      </c>
      <c r="CY112" s="20"/>
      <c r="CZ112" s="12" t="str">
        <f t="shared" si="29"/>
        <v/>
      </c>
      <c r="DA112" s="45" t="str">
        <f t="shared" si="30"/>
        <v/>
      </c>
      <c r="DB112" s="15"/>
      <c r="DC112" s="15"/>
      <c r="DD112" s="20"/>
      <c r="DE112" s="12" t="str">
        <f>IF($A112="","",SUMIFS('Consumable Usage'!$E:$E,'Consumable Usage'!$A:$A,$A112,'Consumable Usage'!$D:$D,11))</f>
        <v/>
      </c>
      <c r="DF112" s="12" t="str">
        <f>IF($A112="","",SUMIFS('Nursing Charges'!$I:$I,'Nursing Charges'!$A:$A,$A112,'Nursing Charges'!$C:$C,11))</f>
        <v/>
      </c>
      <c r="DG112" s="12" t="str">
        <f>IF($A112="","",DD112+(DF112-SUMIFS('Nursing Charges'!$J:$J,'Nursing Charges'!$A:$A,$A112,'Nursing Charges'!$C:$C,11))+(DE112-SUMIFS('Consumable Usage'!$F:$F,'Consumable Usage'!$A:$A,$A112,'Consumable Usage'!$D:$D,11)))</f>
        <v/>
      </c>
      <c r="DH112" s="12" t="str">
        <f t="shared" si="31"/>
        <v/>
      </c>
      <c r="DI112" s="20"/>
      <c r="DJ112" s="12" t="str">
        <f t="shared" si="32"/>
        <v/>
      </c>
      <c r="DK112" s="45" t="str">
        <f t="shared" si="33"/>
        <v/>
      </c>
      <c r="DL112" s="15"/>
      <c r="DM112" s="15"/>
      <c r="DN112" s="20"/>
      <c r="DO112" s="12" t="str">
        <f>IF($A112="","",SUMIFS('Consumable Usage'!$E:$E,'Consumable Usage'!$A:$A,$A112,'Consumable Usage'!$D:$D,12))</f>
        <v/>
      </c>
      <c r="DP112" s="12" t="str">
        <f>IF($A112="","",SUMIFS('Nursing Charges'!$I:$I,'Nursing Charges'!$A:$A,$A112,'Nursing Charges'!$C:$C,12))</f>
        <v/>
      </c>
      <c r="DQ112" s="12" t="str">
        <f>IF($A112="","",DN112+(DP112-SUMIFS('Nursing Charges'!$J:$J,'Nursing Charges'!$A:$A,$A112,'Nursing Charges'!$C:$C,12))+(DO112-SUMIFS('Consumable Usage'!$F:$F,'Consumable Usage'!$A:$A,$A112,'Consumable Usage'!$D:$D,12)))</f>
        <v/>
      </c>
      <c r="DR112" s="12" t="str">
        <f t="shared" si="34"/>
        <v/>
      </c>
      <c r="DS112" s="20"/>
      <c r="DT112" s="12" t="str">
        <f t="shared" si="35"/>
        <v/>
      </c>
      <c r="DU112" s="45" t="str">
        <f t="shared" si="36"/>
        <v/>
      </c>
      <c r="DV112" s="15"/>
      <c r="DW112" s="15"/>
      <c r="DX112" s="20"/>
      <c r="DY112" s="12" t="str">
        <f>IF($A112="","",SUMIFS('Consumable Usage'!$E:$E,'Consumable Usage'!$A:$A,$A112,'Consumable Usage'!$D:$D,13))</f>
        <v/>
      </c>
      <c r="DZ112" s="12" t="str">
        <f>IF($A112="","",SUMIFS('Nursing Charges'!$I:$I,'Nursing Charges'!$A:$A,$A112,'Nursing Charges'!$C:$C,13))</f>
        <v/>
      </c>
      <c r="EA112" s="12" t="str">
        <f>IF($A112="","",DX112+(DZ112-SUMIFS('Nursing Charges'!$J:$J,'Nursing Charges'!$A:$A,$A112,'Nursing Charges'!$C:$C,13))+(DY112-SUMIFS('Consumable Usage'!$F:$F,'Consumable Usage'!$A:$A,$A112,'Consumable Usage'!$D:$D,13)))</f>
        <v/>
      </c>
      <c r="EB112" s="12" t="str">
        <f t="shared" si="37"/>
        <v/>
      </c>
      <c r="EC112" s="20"/>
      <c r="ED112" s="12" t="str">
        <f t="shared" si="38"/>
        <v/>
      </c>
      <c r="EE112" s="45" t="str">
        <f t="shared" si="39"/>
        <v/>
      </c>
      <c r="EF112" s="15"/>
      <c r="EG112" s="15"/>
      <c r="EH112" s="20"/>
      <c r="EI112" s="12" t="str">
        <f>IF($A112="","",SUMIFS('Consumable Usage'!$E:$E,'Consumable Usage'!$A:$A,$A112,'Consumable Usage'!$D:$D,14))</f>
        <v/>
      </c>
      <c r="EJ112" s="12" t="str">
        <f>IF($A112="","",SUMIFS('Nursing Charges'!$I:$I,'Nursing Charges'!$A:$A,$A112,'Nursing Charges'!$C:$C,14))</f>
        <v/>
      </c>
      <c r="EK112" s="12" t="str">
        <f>IF($A112="","",EH112+(EJ112-SUMIFS('Nursing Charges'!$J:$J,'Nursing Charges'!$A:$A,$A112,'Nursing Charges'!$C:$C,14))+(EI112-SUMIFS('Consumable Usage'!$F:$F,'Consumable Usage'!$A:$A,$A112,'Consumable Usage'!$D:$D,14)))</f>
        <v/>
      </c>
      <c r="EL112" s="12" t="str">
        <f t="shared" si="40"/>
        <v/>
      </c>
      <c r="EM112" s="20"/>
      <c r="EN112" s="12" t="str">
        <f t="shared" si="41"/>
        <v/>
      </c>
      <c r="EO112" s="45" t="str">
        <f t="shared" si="42"/>
        <v/>
      </c>
      <c r="EP112" s="15"/>
      <c r="EQ112" s="15"/>
      <c r="ER112" s="20"/>
      <c r="ES112" s="12" t="str">
        <f>IF($A112="","",SUMIFS('Consumable Usage'!$E:$E,'Consumable Usage'!$A:$A,$A112,'Consumable Usage'!$D:$D,15))</f>
        <v/>
      </c>
      <c r="ET112" s="12" t="str">
        <f>IF($A112="","",SUMIFS('Nursing Charges'!$I:$I,'Nursing Charges'!$A:$A,$A112,'Nursing Charges'!$C:$C,15))</f>
        <v/>
      </c>
      <c r="EU112" s="12" t="str">
        <f>IF($A112="","",ER112+(ET112-SUMIFS('Nursing Charges'!$J:$J,'Nursing Charges'!$A:$A,$A112,'Nursing Charges'!$C:$C,15))+(ES112-SUMIFS('Consumable Usage'!$F:$F,'Consumable Usage'!$A:$A,$A112,'Consumable Usage'!$D:$D,15)))</f>
        <v/>
      </c>
      <c r="EV112" s="12" t="str">
        <f t="shared" si="43"/>
        <v/>
      </c>
      <c r="EW112" s="20"/>
      <c r="EX112" s="12" t="str">
        <f t="shared" si="44"/>
        <v/>
      </c>
      <c r="EY112" s="45" t="str">
        <f t="shared" si="45"/>
        <v/>
      </c>
      <c r="EZ112" s="15"/>
      <c r="FA112" s="15"/>
      <c r="FB112" s="20"/>
      <c r="FC112" s="12" t="str">
        <f>IF($A112="","",SUMIFS('Consumable Usage'!$E:$E,'Consumable Usage'!$A:$A,$A112,'Consumable Usage'!$D:$D,16))</f>
        <v/>
      </c>
      <c r="FD112" s="12" t="str">
        <f>IF($A112="","",SUMIFS('Nursing Charges'!$I:$I,'Nursing Charges'!$A:$A,$A112,'Nursing Charges'!$C:$C,16))</f>
        <v/>
      </c>
      <c r="FE112" s="12" t="str">
        <f>IF($A112="","",FB112+(FD112-SUMIFS('Nursing Charges'!$J:$J,'Nursing Charges'!$A:$A,$A112,'Nursing Charges'!$C:$C,16))+(FC112-SUMIFS('Consumable Usage'!$F:$F,'Consumable Usage'!$A:$A,$A112,'Consumable Usage'!$D:$D,16)))</f>
        <v/>
      </c>
      <c r="FF112" s="12" t="str">
        <f t="shared" si="46"/>
        <v/>
      </c>
      <c r="FG112" s="20"/>
      <c r="FH112" s="12" t="str">
        <f t="shared" si="47"/>
        <v/>
      </c>
      <c r="FI112" s="45" t="str">
        <f t="shared" si="48"/>
        <v/>
      </c>
      <c r="FJ112" s="53"/>
      <c r="FK112" s="53"/>
      <c r="FL112" s="63"/>
      <c r="FM112" s="63" t="str">
        <f>IF($A112="","",SUMIFS('Consumable Usage'!$E:$E,'Consumable Usage'!$A:$A,$A112,'Consumable Usage'!$D:$D,16))</f>
        <v/>
      </c>
      <c r="FN112" s="63" t="str">
        <f>IF($A112="","",SUMIFS('Nursing Charges'!$I:$I,'Nursing Charges'!$A:$A,$A112,'Nursing Charges'!$C:$C,16))</f>
        <v/>
      </c>
      <c r="FO112" s="63" t="str">
        <f>IF($A112="","",FL112+(FN112-SUMIFS('Nursing Charges'!$J:$J,'Nursing Charges'!$A:$A,$A112,'Nursing Charges'!$C:$C,16))+(FM112-SUMIFS('Consumable Usage'!$F:$F,'Consumable Usage'!$A:$A,$A112,'Consumable Usage'!$D:$D,16)))</f>
        <v/>
      </c>
      <c r="FP112" s="63" t="str">
        <f t="shared" si="49"/>
        <v/>
      </c>
      <c r="FQ112" s="63"/>
      <c r="FR112" s="63" t="str">
        <f t="shared" si="50"/>
        <v/>
      </c>
      <c r="FS112" s="53" t="str">
        <f t="shared" si="51"/>
        <v/>
      </c>
    </row>
    <row r="113" ht="15.0" customHeight="1">
      <c r="A113" s="15"/>
      <c r="B113" s="15"/>
      <c r="C113" s="15"/>
      <c r="D113" s="15"/>
      <c r="E113" s="15"/>
      <c r="F113" s="15"/>
      <c r="G113" s="15"/>
      <c r="H113" s="20"/>
      <c r="I113" s="12" t="str">
        <f>IF($A113="","",SUMIFS('Consumable Usage'!$E:$E,'Consumable Usage'!$A:$A,$A113,'Consumable Usage'!$D:$D,1))</f>
        <v/>
      </c>
      <c r="J113" s="12" t="str">
        <f>IF($A113="","",SUMIFS('Nursing Charges'!$I:$I,'Nursing Charges'!$A:$A,$A113,'Nursing Charges'!$C:$C,1))</f>
        <v/>
      </c>
      <c r="K113" s="12" t="str">
        <f>IF($A113="","",H113+(J113-SUMIFS('Nursing Charges'!$J:$J,'Nursing Charges'!$A:$A,$A113,'Nursing Charges'!$C:$C,1))+(I113-SUMIFS('Consumable Usage'!$F:$F,'Consumable Usage'!$A:$A,$A113,'Consumable Usage'!$D:$D,1)))</f>
        <v/>
      </c>
      <c r="L113" s="12" t="str">
        <f t="shared" si="1"/>
        <v/>
      </c>
      <c r="M113" s="20"/>
      <c r="N113" s="12" t="str">
        <f t="shared" si="2"/>
        <v/>
      </c>
      <c r="O113" s="45" t="str">
        <f t="shared" si="3"/>
        <v/>
      </c>
      <c r="P113" s="15"/>
      <c r="Q113" s="15"/>
      <c r="R113" s="20"/>
      <c r="S113" s="12" t="str">
        <f>IF($A113="","",SUMIFS('Consumable Usage'!$E:$E,'Consumable Usage'!$A:$A,$A113,'Consumable Usage'!$D:$D,2))</f>
        <v/>
      </c>
      <c r="T113" s="12" t="str">
        <f>IF($A113="","",SUMIFS('Nursing Charges'!$I:$I,'Nursing Charges'!$A:$A,$A113,'Nursing Charges'!$C:$C,2))</f>
        <v/>
      </c>
      <c r="U113" s="12" t="str">
        <f>IF($A113="","",R113+(T113-SUMIFS('Nursing Charges'!$J:$J,'Nursing Charges'!$A:$A,$A113,'Nursing Charges'!$C:$C,2))+(S113-SUMIFS('Consumable Usage'!$F:$F,'Consumable Usage'!$A:$A,$A113,'Consumable Usage'!$D:$D,2)))</f>
        <v/>
      </c>
      <c r="V113" s="12" t="str">
        <f t="shared" si="4"/>
        <v/>
      </c>
      <c r="W113" s="20"/>
      <c r="X113" s="12" t="str">
        <f t="shared" si="5"/>
        <v/>
      </c>
      <c r="Y113" s="45" t="str">
        <f t="shared" si="6"/>
        <v/>
      </c>
      <c r="Z113" s="15"/>
      <c r="AA113" s="15"/>
      <c r="AB113" s="20"/>
      <c r="AC113" s="12" t="str">
        <f>IF($A113="","",SUMIFS('Consumable Usage'!$E:$E,'Consumable Usage'!$A:$A,$A113,'Consumable Usage'!$D:$D,3))</f>
        <v/>
      </c>
      <c r="AD113" s="12" t="str">
        <f>IF($A113="","",SUMIFS('Nursing Charges'!$I:$I,'Nursing Charges'!$A:$A,$A113,'Nursing Charges'!$C:$C,3))</f>
        <v/>
      </c>
      <c r="AE113" s="12" t="str">
        <f>IF($A113="","",AB113+(AD113-SUMIFS('Nursing Charges'!$J:$J,'Nursing Charges'!$A:$A,$A113,'Nursing Charges'!$C:$C,3))+(AC113-SUMIFS('Consumable Usage'!$F:$F,'Consumable Usage'!$A:$A,$A113,'Consumable Usage'!$D:$D,3)))</f>
        <v/>
      </c>
      <c r="AF113" s="12" t="str">
        <f t="shared" si="7"/>
        <v/>
      </c>
      <c r="AG113" s="20"/>
      <c r="AH113" s="12" t="str">
        <f t="shared" si="8"/>
        <v/>
      </c>
      <c r="AI113" s="45" t="str">
        <f t="shared" si="9"/>
        <v/>
      </c>
      <c r="AJ113" s="15"/>
      <c r="AK113" s="15"/>
      <c r="AL113" s="20"/>
      <c r="AM113" s="12" t="str">
        <f>IF($A113="","",SUMIFS('Consumable Usage'!$E:$E,'Consumable Usage'!$A:$A,$A113,'Consumable Usage'!$D:$D,4))</f>
        <v/>
      </c>
      <c r="AN113" s="12" t="str">
        <f>IF($A113="","",SUMIFS('Nursing Charges'!$I:$I,'Nursing Charges'!$A:$A,$A113,'Nursing Charges'!$C:$C,4))</f>
        <v/>
      </c>
      <c r="AO113" s="12" t="str">
        <f>IF($A113="","",AL113+(AN113-SUMIFS('Nursing Charges'!$J:$J,'Nursing Charges'!$A:$A,$A113,'Nursing Charges'!$C:$C,4))+(AM113-SUMIFS('Consumable Usage'!$F:$F,'Consumable Usage'!$A:$A,$A113,'Consumable Usage'!$D:$D,4)))</f>
        <v/>
      </c>
      <c r="AP113" s="12" t="str">
        <f t="shared" si="10"/>
        <v/>
      </c>
      <c r="AQ113" s="20"/>
      <c r="AR113" s="12" t="str">
        <f t="shared" si="11"/>
        <v/>
      </c>
      <c r="AS113" s="45" t="str">
        <f t="shared" si="12"/>
        <v/>
      </c>
      <c r="AT113" s="15"/>
      <c r="AU113" s="15"/>
      <c r="AV113" s="20"/>
      <c r="AW113" s="12" t="str">
        <f>IF($A113="","",SUMIFS('Consumable Usage'!$E:$E,'Consumable Usage'!$A:$A,$A113,'Consumable Usage'!$D:$D,5))</f>
        <v/>
      </c>
      <c r="AX113" s="12" t="str">
        <f>IF($A113="","",SUMIFS('Nursing Charges'!$I:$I,'Nursing Charges'!$A:$A,$A113,'Nursing Charges'!$C:$C,5))</f>
        <v/>
      </c>
      <c r="AY113" s="12" t="str">
        <f>IF($A113="","",AV113+(AX113-SUMIFS('Nursing Charges'!$J:$J,'Nursing Charges'!$A:$A,$A113,'Nursing Charges'!$C:$C,5))+(AW113-SUMIFS('Consumable Usage'!$F:$F,'Consumable Usage'!$A:$A,$A113,'Consumable Usage'!$D:$D,5)))</f>
        <v/>
      </c>
      <c r="AZ113" s="12" t="str">
        <f t="shared" si="13"/>
        <v/>
      </c>
      <c r="BA113" s="20"/>
      <c r="BB113" s="12" t="str">
        <f t="shared" si="14"/>
        <v/>
      </c>
      <c r="BC113" s="45" t="str">
        <f t="shared" si="15"/>
        <v/>
      </c>
      <c r="BD113" s="15"/>
      <c r="BE113" s="15"/>
      <c r="BF113" s="20"/>
      <c r="BG113" s="12" t="str">
        <f>IF($A113="","",SUMIFS('Consumable Usage'!$E:$E,'Consumable Usage'!$A:$A,$A113,'Consumable Usage'!$D:$D,6))</f>
        <v/>
      </c>
      <c r="BH113" s="12" t="str">
        <f>IF($A113="","",SUMIFS('Nursing Charges'!$I:$I,'Nursing Charges'!$A:$A,$A113,'Nursing Charges'!$C:$C,6))</f>
        <v/>
      </c>
      <c r="BI113" s="12" t="str">
        <f>IF($A113="","",BF113+(BH113-SUMIFS('Nursing Charges'!$J:$J,'Nursing Charges'!$A:$A,$A113,'Nursing Charges'!$C:$C,6))+(BG113-SUMIFS('Consumable Usage'!$F:$F,'Consumable Usage'!$A:$A,$A113,'Consumable Usage'!$D:$D,6)))</f>
        <v/>
      </c>
      <c r="BJ113" s="12" t="str">
        <f t="shared" si="16"/>
        <v/>
      </c>
      <c r="BK113" s="20"/>
      <c r="BL113" s="12" t="str">
        <f t="shared" si="17"/>
        <v/>
      </c>
      <c r="BM113" s="45" t="str">
        <f t="shared" si="18"/>
        <v/>
      </c>
      <c r="BN113" s="15"/>
      <c r="BO113" s="15"/>
      <c r="BP113" s="20"/>
      <c r="BQ113" s="12" t="str">
        <f>IF($A113="","",SUMIFS('Consumable Usage'!$E:$E,'Consumable Usage'!$A:$A,$A113,'Consumable Usage'!$D:$D,7))</f>
        <v/>
      </c>
      <c r="BR113" s="12" t="str">
        <f>IF($A113="","",SUMIFS('Nursing Charges'!$I:$I,'Nursing Charges'!$A:$A,$A113,'Nursing Charges'!$C:$C,7))</f>
        <v/>
      </c>
      <c r="BS113" s="12" t="str">
        <f>IF($A113="","",BP113+(BR113-SUMIFS('Nursing Charges'!$J:$J,'Nursing Charges'!$A:$A,$A113,'Nursing Charges'!$C:$C,7))+(BQ113-SUMIFS('Consumable Usage'!$F:$F,'Consumable Usage'!$A:$A,$A113,'Consumable Usage'!$D:$D,7)))</f>
        <v/>
      </c>
      <c r="BT113" s="12" t="str">
        <f t="shared" si="19"/>
        <v/>
      </c>
      <c r="BU113" s="20"/>
      <c r="BV113" s="12" t="str">
        <f t="shared" si="20"/>
        <v/>
      </c>
      <c r="BW113" s="45" t="str">
        <f t="shared" si="21"/>
        <v/>
      </c>
      <c r="BX113" s="15"/>
      <c r="BY113" s="15"/>
      <c r="BZ113" s="20"/>
      <c r="CA113" s="12" t="str">
        <f>IF($A113="","",SUMIFS('Consumable Usage'!$E:$E,'Consumable Usage'!$A:$A,$A113,'Consumable Usage'!$D:$D,8))</f>
        <v/>
      </c>
      <c r="CB113" s="12" t="str">
        <f>IF($A113="","",SUMIFS('Nursing Charges'!$I:$I,'Nursing Charges'!$A:$A,$A113,'Nursing Charges'!$C:$C,8))</f>
        <v/>
      </c>
      <c r="CC113" s="12" t="str">
        <f>IF($A113="","",BZ113+(CB113-SUMIFS('Nursing Charges'!$J:$J,'Nursing Charges'!$A:$A,$A113,'Nursing Charges'!$C:$C,8))+(CA113-SUMIFS('Consumable Usage'!$F:$F,'Consumable Usage'!$A:$A,$A113,'Consumable Usage'!$D:$D,8)))</f>
        <v/>
      </c>
      <c r="CD113" s="12" t="str">
        <f t="shared" si="22"/>
        <v/>
      </c>
      <c r="CE113" s="20"/>
      <c r="CF113" s="12" t="str">
        <f t="shared" si="23"/>
        <v/>
      </c>
      <c r="CG113" s="45" t="str">
        <f t="shared" si="24"/>
        <v/>
      </c>
      <c r="CH113" s="15"/>
      <c r="CI113" s="15"/>
      <c r="CJ113" s="20"/>
      <c r="CK113" s="12" t="str">
        <f>IF($A113="","",SUMIFS('Consumable Usage'!$E:$E,'Consumable Usage'!$A:$A,$A113,'Consumable Usage'!$D:$D,9))</f>
        <v/>
      </c>
      <c r="CL113" s="12" t="str">
        <f>IF($A113="","",SUMIFS('Nursing Charges'!$I:$I,'Nursing Charges'!$A:$A,$A113,'Nursing Charges'!$C:$C,9))</f>
        <v/>
      </c>
      <c r="CM113" s="12" t="str">
        <f>IF($A113="","",CJ113+(CL113-SUMIFS('Nursing Charges'!$J:$J,'Nursing Charges'!$A:$A,$A113,'Nursing Charges'!$C:$C,9))+(CK113-SUMIFS('Consumable Usage'!$F:$F,'Consumable Usage'!$A:$A,$A113,'Consumable Usage'!$D:$D,9)))</f>
        <v/>
      </c>
      <c r="CN113" s="12" t="str">
        <f t="shared" si="25"/>
        <v/>
      </c>
      <c r="CO113" s="20"/>
      <c r="CP113" s="12" t="str">
        <f t="shared" si="26"/>
        <v/>
      </c>
      <c r="CQ113" s="45" t="str">
        <f t="shared" si="27"/>
        <v/>
      </c>
      <c r="CR113" s="15"/>
      <c r="CS113" s="15"/>
      <c r="CT113" s="20"/>
      <c r="CU113" s="12" t="str">
        <f>IF($A113="","",SUMIFS('Consumable Usage'!$E:$E,'Consumable Usage'!$A:$A,$A113,'Consumable Usage'!$D:$D,10))</f>
        <v/>
      </c>
      <c r="CV113" s="12" t="str">
        <f>IF($A113="","",SUMIFS('Nursing Charges'!$I:$I,'Nursing Charges'!$A:$A,$A113,'Nursing Charges'!$C:$C,10))</f>
        <v/>
      </c>
      <c r="CW113" s="12" t="str">
        <f>IF($A113="","",CT113+(CV113-SUMIFS('Nursing Charges'!$J:$J,'Nursing Charges'!$A:$A,$A113,'Nursing Charges'!$C:$C,10))+(CU113-SUMIFS('Consumable Usage'!$F:$F,'Consumable Usage'!$A:$A,$A113,'Consumable Usage'!$D:$D,10)))</f>
        <v/>
      </c>
      <c r="CX113" s="12" t="str">
        <f t="shared" si="28"/>
        <v/>
      </c>
      <c r="CY113" s="20"/>
      <c r="CZ113" s="12" t="str">
        <f t="shared" si="29"/>
        <v/>
      </c>
      <c r="DA113" s="45" t="str">
        <f t="shared" si="30"/>
        <v/>
      </c>
      <c r="DB113" s="15"/>
      <c r="DC113" s="15"/>
      <c r="DD113" s="20"/>
      <c r="DE113" s="12" t="str">
        <f>IF($A113="","",SUMIFS('Consumable Usage'!$E:$E,'Consumable Usage'!$A:$A,$A113,'Consumable Usage'!$D:$D,11))</f>
        <v/>
      </c>
      <c r="DF113" s="12" t="str">
        <f>IF($A113="","",SUMIFS('Nursing Charges'!$I:$I,'Nursing Charges'!$A:$A,$A113,'Nursing Charges'!$C:$C,11))</f>
        <v/>
      </c>
      <c r="DG113" s="12" t="str">
        <f>IF($A113="","",DD113+(DF113-SUMIFS('Nursing Charges'!$J:$J,'Nursing Charges'!$A:$A,$A113,'Nursing Charges'!$C:$C,11))+(DE113-SUMIFS('Consumable Usage'!$F:$F,'Consumable Usage'!$A:$A,$A113,'Consumable Usage'!$D:$D,11)))</f>
        <v/>
      </c>
      <c r="DH113" s="12" t="str">
        <f t="shared" si="31"/>
        <v/>
      </c>
      <c r="DI113" s="20"/>
      <c r="DJ113" s="12" t="str">
        <f t="shared" si="32"/>
        <v/>
      </c>
      <c r="DK113" s="45" t="str">
        <f t="shared" si="33"/>
        <v/>
      </c>
      <c r="DL113" s="15"/>
      <c r="DM113" s="15"/>
      <c r="DN113" s="20"/>
      <c r="DO113" s="12" t="str">
        <f>IF($A113="","",SUMIFS('Consumable Usage'!$E:$E,'Consumable Usage'!$A:$A,$A113,'Consumable Usage'!$D:$D,12))</f>
        <v/>
      </c>
      <c r="DP113" s="12" t="str">
        <f>IF($A113="","",SUMIFS('Nursing Charges'!$I:$I,'Nursing Charges'!$A:$A,$A113,'Nursing Charges'!$C:$C,12))</f>
        <v/>
      </c>
      <c r="DQ113" s="12" t="str">
        <f>IF($A113="","",DN113+(DP113-SUMIFS('Nursing Charges'!$J:$J,'Nursing Charges'!$A:$A,$A113,'Nursing Charges'!$C:$C,12))+(DO113-SUMIFS('Consumable Usage'!$F:$F,'Consumable Usage'!$A:$A,$A113,'Consumable Usage'!$D:$D,12)))</f>
        <v/>
      </c>
      <c r="DR113" s="12" t="str">
        <f t="shared" si="34"/>
        <v/>
      </c>
      <c r="DS113" s="20"/>
      <c r="DT113" s="12" t="str">
        <f t="shared" si="35"/>
        <v/>
      </c>
      <c r="DU113" s="45" t="str">
        <f t="shared" si="36"/>
        <v/>
      </c>
      <c r="DV113" s="15"/>
      <c r="DW113" s="15"/>
      <c r="DX113" s="20"/>
      <c r="DY113" s="12" t="str">
        <f>IF($A113="","",SUMIFS('Consumable Usage'!$E:$E,'Consumable Usage'!$A:$A,$A113,'Consumable Usage'!$D:$D,13))</f>
        <v/>
      </c>
      <c r="DZ113" s="12" t="str">
        <f>IF($A113="","",SUMIFS('Nursing Charges'!$I:$I,'Nursing Charges'!$A:$A,$A113,'Nursing Charges'!$C:$C,13))</f>
        <v/>
      </c>
      <c r="EA113" s="12" t="str">
        <f>IF($A113="","",DX113+(DZ113-SUMIFS('Nursing Charges'!$J:$J,'Nursing Charges'!$A:$A,$A113,'Nursing Charges'!$C:$C,13))+(DY113-SUMIFS('Consumable Usage'!$F:$F,'Consumable Usage'!$A:$A,$A113,'Consumable Usage'!$D:$D,13)))</f>
        <v/>
      </c>
      <c r="EB113" s="12" t="str">
        <f t="shared" si="37"/>
        <v/>
      </c>
      <c r="EC113" s="20"/>
      <c r="ED113" s="12" t="str">
        <f t="shared" si="38"/>
        <v/>
      </c>
      <c r="EE113" s="45" t="str">
        <f t="shared" si="39"/>
        <v/>
      </c>
      <c r="EF113" s="15"/>
      <c r="EG113" s="15"/>
      <c r="EH113" s="20"/>
      <c r="EI113" s="12" t="str">
        <f>IF($A113="","",SUMIFS('Consumable Usage'!$E:$E,'Consumable Usage'!$A:$A,$A113,'Consumable Usage'!$D:$D,14))</f>
        <v/>
      </c>
      <c r="EJ113" s="12" t="str">
        <f>IF($A113="","",SUMIFS('Nursing Charges'!$I:$I,'Nursing Charges'!$A:$A,$A113,'Nursing Charges'!$C:$C,14))</f>
        <v/>
      </c>
      <c r="EK113" s="12" t="str">
        <f>IF($A113="","",EH113+(EJ113-SUMIFS('Nursing Charges'!$J:$J,'Nursing Charges'!$A:$A,$A113,'Nursing Charges'!$C:$C,14))+(EI113-SUMIFS('Consumable Usage'!$F:$F,'Consumable Usage'!$A:$A,$A113,'Consumable Usage'!$D:$D,14)))</f>
        <v/>
      </c>
      <c r="EL113" s="12" t="str">
        <f t="shared" si="40"/>
        <v/>
      </c>
      <c r="EM113" s="20"/>
      <c r="EN113" s="12" t="str">
        <f t="shared" si="41"/>
        <v/>
      </c>
      <c r="EO113" s="45" t="str">
        <f t="shared" si="42"/>
        <v/>
      </c>
      <c r="EP113" s="15"/>
      <c r="EQ113" s="15"/>
      <c r="ER113" s="20"/>
      <c r="ES113" s="12" t="str">
        <f>IF($A113="","",SUMIFS('Consumable Usage'!$E:$E,'Consumable Usage'!$A:$A,$A113,'Consumable Usage'!$D:$D,15))</f>
        <v/>
      </c>
      <c r="ET113" s="12" t="str">
        <f>IF($A113="","",SUMIFS('Nursing Charges'!$I:$I,'Nursing Charges'!$A:$A,$A113,'Nursing Charges'!$C:$C,15))</f>
        <v/>
      </c>
      <c r="EU113" s="12" t="str">
        <f>IF($A113="","",ER113+(ET113-SUMIFS('Nursing Charges'!$J:$J,'Nursing Charges'!$A:$A,$A113,'Nursing Charges'!$C:$C,15))+(ES113-SUMIFS('Consumable Usage'!$F:$F,'Consumable Usage'!$A:$A,$A113,'Consumable Usage'!$D:$D,15)))</f>
        <v/>
      </c>
      <c r="EV113" s="12" t="str">
        <f t="shared" si="43"/>
        <v/>
      </c>
      <c r="EW113" s="20"/>
      <c r="EX113" s="12" t="str">
        <f t="shared" si="44"/>
        <v/>
      </c>
      <c r="EY113" s="45" t="str">
        <f t="shared" si="45"/>
        <v/>
      </c>
      <c r="EZ113" s="15"/>
      <c r="FA113" s="15"/>
      <c r="FB113" s="20"/>
      <c r="FC113" s="12" t="str">
        <f>IF($A113="","",SUMIFS('Consumable Usage'!$E:$E,'Consumable Usage'!$A:$A,$A113,'Consumable Usage'!$D:$D,16))</f>
        <v/>
      </c>
      <c r="FD113" s="12" t="str">
        <f>IF($A113="","",SUMIFS('Nursing Charges'!$I:$I,'Nursing Charges'!$A:$A,$A113,'Nursing Charges'!$C:$C,16))</f>
        <v/>
      </c>
      <c r="FE113" s="12" t="str">
        <f>IF($A113="","",FB113+(FD113-SUMIFS('Nursing Charges'!$J:$J,'Nursing Charges'!$A:$A,$A113,'Nursing Charges'!$C:$C,16))+(FC113-SUMIFS('Consumable Usage'!$F:$F,'Consumable Usage'!$A:$A,$A113,'Consumable Usage'!$D:$D,16)))</f>
        <v/>
      </c>
      <c r="FF113" s="12" t="str">
        <f t="shared" si="46"/>
        <v/>
      </c>
      <c r="FG113" s="20"/>
      <c r="FH113" s="12" t="str">
        <f t="shared" si="47"/>
        <v/>
      </c>
      <c r="FI113" s="45" t="str">
        <f t="shared" si="48"/>
        <v/>
      </c>
      <c r="FJ113" s="53"/>
      <c r="FK113" s="53"/>
      <c r="FL113" s="63"/>
      <c r="FM113" s="63" t="str">
        <f>IF($A113="","",SUMIFS('Consumable Usage'!$E:$E,'Consumable Usage'!$A:$A,$A113,'Consumable Usage'!$D:$D,16))</f>
        <v/>
      </c>
      <c r="FN113" s="63" t="str">
        <f>IF($A113="","",SUMIFS('Nursing Charges'!$I:$I,'Nursing Charges'!$A:$A,$A113,'Nursing Charges'!$C:$C,16))</f>
        <v/>
      </c>
      <c r="FO113" s="63" t="str">
        <f>IF($A113="","",FL113+(FN113-SUMIFS('Nursing Charges'!$J:$J,'Nursing Charges'!$A:$A,$A113,'Nursing Charges'!$C:$C,16))+(FM113-SUMIFS('Consumable Usage'!$F:$F,'Consumable Usage'!$A:$A,$A113,'Consumable Usage'!$D:$D,16)))</f>
        <v/>
      </c>
      <c r="FP113" s="63" t="str">
        <f t="shared" si="49"/>
        <v/>
      </c>
      <c r="FQ113" s="63"/>
      <c r="FR113" s="63" t="str">
        <f t="shared" si="50"/>
        <v/>
      </c>
      <c r="FS113" s="53" t="str">
        <f t="shared" si="51"/>
        <v/>
      </c>
    </row>
    <row r="114" ht="15.0" customHeight="1">
      <c r="A114" s="15"/>
      <c r="B114" s="15"/>
      <c r="C114" s="15"/>
      <c r="D114" s="15"/>
      <c r="E114" s="15"/>
      <c r="F114" s="15"/>
      <c r="G114" s="15"/>
      <c r="H114" s="20"/>
      <c r="I114" s="12" t="str">
        <f>IF($A114="","",SUMIFS('Consumable Usage'!$E:$E,'Consumable Usage'!$A:$A,$A114,'Consumable Usage'!$D:$D,1))</f>
        <v/>
      </c>
      <c r="J114" s="12" t="str">
        <f>IF($A114="","",SUMIFS('Nursing Charges'!$I:$I,'Nursing Charges'!$A:$A,$A114,'Nursing Charges'!$C:$C,1))</f>
        <v/>
      </c>
      <c r="K114" s="12" t="str">
        <f>IF($A114="","",H114+(J114-SUMIFS('Nursing Charges'!$J:$J,'Nursing Charges'!$A:$A,$A114,'Nursing Charges'!$C:$C,1))+(I114-SUMIFS('Consumable Usage'!$F:$F,'Consumable Usage'!$A:$A,$A114,'Consumable Usage'!$D:$D,1)))</f>
        <v/>
      </c>
      <c r="L114" s="12" t="str">
        <f t="shared" si="1"/>
        <v/>
      </c>
      <c r="M114" s="20"/>
      <c r="N114" s="12" t="str">
        <f t="shared" si="2"/>
        <v/>
      </c>
      <c r="O114" s="45" t="str">
        <f t="shared" si="3"/>
        <v/>
      </c>
      <c r="P114" s="15"/>
      <c r="Q114" s="15"/>
      <c r="R114" s="20"/>
      <c r="S114" s="12" t="str">
        <f>IF($A114="","",SUMIFS('Consumable Usage'!$E:$E,'Consumable Usage'!$A:$A,$A114,'Consumable Usage'!$D:$D,2))</f>
        <v/>
      </c>
      <c r="T114" s="12" t="str">
        <f>IF($A114="","",SUMIFS('Nursing Charges'!$I:$I,'Nursing Charges'!$A:$A,$A114,'Nursing Charges'!$C:$C,2))</f>
        <v/>
      </c>
      <c r="U114" s="12" t="str">
        <f>IF($A114="","",R114+(T114-SUMIFS('Nursing Charges'!$J:$J,'Nursing Charges'!$A:$A,$A114,'Nursing Charges'!$C:$C,2))+(S114-SUMIFS('Consumable Usage'!$F:$F,'Consumable Usage'!$A:$A,$A114,'Consumable Usage'!$D:$D,2)))</f>
        <v/>
      </c>
      <c r="V114" s="12" t="str">
        <f t="shared" si="4"/>
        <v/>
      </c>
      <c r="W114" s="20"/>
      <c r="X114" s="12" t="str">
        <f t="shared" si="5"/>
        <v/>
      </c>
      <c r="Y114" s="45" t="str">
        <f t="shared" si="6"/>
        <v/>
      </c>
      <c r="Z114" s="15"/>
      <c r="AA114" s="15"/>
      <c r="AB114" s="20"/>
      <c r="AC114" s="12" t="str">
        <f>IF($A114="","",SUMIFS('Consumable Usage'!$E:$E,'Consumable Usage'!$A:$A,$A114,'Consumable Usage'!$D:$D,3))</f>
        <v/>
      </c>
      <c r="AD114" s="12" t="str">
        <f>IF($A114="","",SUMIFS('Nursing Charges'!$I:$I,'Nursing Charges'!$A:$A,$A114,'Nursing Charges'!$C:$C,3))</f>
        <v/>
      </c>
      <c r="AE114" s="12" t="str">
        <f>IF($A114="","",AB114+(AD114-SUMIFS('Nursing Charges'!$J:$J,'Nursing Charges'!$A:$A,$A114,'Nursing Charges'!$C:$C,3))+(AC114-SUMIFS('Consumable Usage'!$F:$F,'Consumable Usage'!$A:$A,$A114,'Consumable Usage'!$D:$D,3)))</f>
        <v/>
      </c>
      <c r="AF114" s="12" t="str">
        <f t="shared" si="7"/>
        <v/>
      </c>
      <c r="AG114" s="20"/>
      <c r="AH114" s="12" t="str">
        <f t="shared" si="8"/>
        <v/>
      </c>
      <c r="AI114" s="45" t="str">
        <f t="shared" si="9"/>
        <v/>
      </c>
      <c r="AJ114" s="15"/>
      <c r="AK114" s="15"/>
      <c r="AL114" s="20"/>
      <c r="AM114" s="12" t="str">
        <f>IF($A114="","",SUMIFS('Consumable Usage'!$E:$E,'Consumable Usage'!$A:$A,$A114,'Consumable Usage'!$D:$D,4))</f>
        <v/>
      </c>
      <c r="AN114" s="12" t="str">
        <f>IF($A114="","",SUMIFS('Nursing Charges'!$I:$I,'Nursing Charges'!$A:$A,$A114,'Nursing Charges'!$C:$C,4))</f>
        <v/>
      </c>
      <c r="AO114" s="12" t="str">
        <f>IF($A114="","",AL114+(AN114-SUMIFS('Nursing Charges'!$J:$J,'Nursing Charges'!$A:$A,$A114,'Nursing Charges'!$C:$C,4))+(AM114-SUMIFS('Consumable Usage'!$F:$F,'Consumable Usage'!$A:$A,$A114,'Consumable Usage'!$D:$D,4)))</f>
        <v/>
      </c>
      <c r="AP114" s="12" t="str">
        <f t="shared" si="10"/>
        <v/>
      </c>
      <c r="AQ114" s="20"/>
      <c r="AR114" s="12" t="str">
        <f t="shared" si="11"/>
        <v/>
      </c>
      <c r="AS114" s="45" t="str">
        <f t="shared" si="12"/>
        <v/>
      </c>
      <c r="AT114" s="15"/>
      <c r="AU114" s="15"/>
      <c r="AV114" s="20"/>
      <c r="AW114" s="12" t="str">
        <f>IF($A114="","",SUMIFS('Consumable Usage'!$E:$E,'Consumable Usage'!$A:$A,$A114,'Consumable Usage'!$D:$D,5))</f>
        <v/>
      </c>
      <c r="AX114" s="12" t="str">
        <f>IF($A114="","",SUMIFS('Nursing Charges'!$I:$I,'Nursing Charges'!$A:$A,$A114,'Nursing Charges'!$C:$C,5))</f>
        <v/>
      </c>
      <c r="AY114" s="12" t="str">
        <f>IF($A114="","",AV114+(AX114-SUMIFS('Nursing Charges'!$J:$J,'Nursing Charges'!$A:$A,$A114,'Nursing Charges'!$C:$C,5))+(AW114-SUMIFS('Consumable Usage'!$F:$F,'Consumable Usage'!$A:$A,$A114,'Consumable Usage'!$D:$D,5)))</f>
        <v/>
      </c>
      <c r="AZ114" s="12" t="str">
        <f t="shared" si="13"/>
        <v/>
      </c>
      <c r="BA114" s="20"/>
      <c r="BB114" s="12" t="str">
        <f t="shared" si="14"/>
        <v/>
      </c>
      <c r="BC114" s="45" t="str">
        <f t="shared" si="15"/>
        <v/>
      </c>
      <c r="BD114" s="15"/>
      <c r="BE114" s="15"/>
      <c r="BF114" s="20"/>
      <c r="BG114" s="12" t="str">
        <f>IF($A114="","",SUMIFS('Consumable Usage'!$E:$E,'Consumable Usage'!$A:$A,$A114,'Consumable Usage'!$D:$D,6))</f>
        <v/>
      </c>
      <c r="BH114" s="12" t="str">
        <f>IF($A114="","",SUMIFS('Nursing Charges'!$I:$I,'Nursing Charges'!$A:$A,$A114,'Nursing Charges'!$C:$C,6))</f>
        <v/>
      </c>
      <c r="BI114" s="12" t="str">
        <f>IF($A114="","",BF114+(BH114-SUMIFS('Nursing Charges'!$J:$J,'Nursing Charges'!$A:$A,$A114,'Nursing Charges'!$C:$C,6))+(BG114-SUMIFS('Consumable Usage'!$F:$F,'Consumable Usage'!$A:$A,$A114,'Consumable Usage'!$D:$D,6)))</f>
        <v/>
      </c>
      <c r="BJ114" s="12" t="str">
        <f t="shared" si="16"/>
        <v/>
      </c>
      <c r="BK114" s="20"/>
      <c r="BL114" s="12" t="str">
        <f t="shared" si="17"/>
        <v/>
      </c>
      <c r="BM114" s="45" t="str">
        <f t="shared" si="18"/>
        <v/>
      </c>
      <c r="BN114" s="15"/>
      <c r="BO114" s="15"/>
      <c r="BP114" s="20"/>
      <c r="BQ114" s="12" t="str">
        <f>IF($A114="","",SUMIFS('Consumable Usage'!$E:$E,'Consumable Usage'!$A:$A,$A114,'Consumable Usage'!$D:$D,7))</f>
        <v/>
      </c>
      <c r="BR114" s="12" t="str">
        <f>IF($A114="","",SUMIFS('Nursing Charges'!$I:$I,'Nursing Charges'!$A:$A,$A114,'Nursing Charges'!$C:$C,7))</f>
        <v/>
      </c>
      <c r="BS114" s="12" t="str">
        <f>IF($A114="","",BP114+(BR114-SUMIFS('Nursing Charges'!$J:$J,'Nursing Charges'!$A:$A,$A114,'Nursing Charges'!$C:$C,7))+(BQ114-SUMIFS('Consumable Usage'!$F:$F,'Consumable Usage'!$A:$A,$A114,'Consumable Usage'!$D:$D,7)))</f>
        <v/>
      </c>
      <c r="BT114" s="12" t="str">
        <f t="shared" si="19"/>
        <v/>
      </c>
      <c r="BU114" s="20"/>
      <c r="BV114" s="12" t="str">
        <f t="shared" si="20"/>
        <v/>
      </c>
      <c r="BW114" s="45" t="str">
        <f t="shared" si="21"/>
        <v/>
      </c>
      <c r="BX114" s="15"/>
      <c r="BY114" s="15"/>
      <c r="BZ114" s="20"/>
      <c r="CA114" s="12" t="str">
        <f>IF($A114="","",SUMIFS('Consumable Usage'!$E:$E,'Consumable Usage'!$A:$A,$A114,'Consumable Usage'!$D:$D,8))</f>
        <v/>
      </c>
      <c r="CB114" s="12" t="str">
        <f>IF($A114="","",SUMIFS('Nursing Charges'!$I:$I,'Nursing Charges'!$A:$A,$A114,'Nursing Charges'!$C:$C,8))</f>
        <v/>
      </c>
      <c r="CC114" s="12" t="str">
        <f>IF($A114="","",BZ114+(CB114-SUMIFS('Nursing Charges'!$J:$J,'Nursing Charges'!$A:$A,$A114,'Nursing Charges'!$C:$C,8))+(CA114-SUMIFS('Consumable Usage'!$F:$F,'Consumable Usage'!$A:$A,$A114,'Consumable Usage'!$D:$D,8)))</f>
        <v/>
      </c>
      <c r="CD114" s="12" t="str">
        <f t="shared" si="22"/>
        <v/>
      </c>
      <c r="CE114" s="20"/>
      <c r="CF114" s="12" t="str">
        <f t="shared" si="23"/>
        <v/>
      </c>
      <c r="CG114" s="45" t="str">
        <f t="shared" si="24"/>
        <v/>
      </c>
      <c r="CH114" s="15"/>
      <c r="CI114" s="15"/>
      <c r="CJ114" s="20"/>
      <c r="CK114" s="12" t="str">
        <f>IF($A114="","",SUMIFS('Consumable Usage'!$E:$E,'Consumable Usage'!$A:$A,$A114,'Consumable Usage'!$D:$D,9))</f>
        <v/>
      </c>
      <c r="CL114" s="12" t="str">
        <f>IF($A114="","",SUMIFS('Nursing Charges'!$I:$I,'Nursing Charges'!$A:$A,$A114,'Nursing Charges'!$C:$C,9))</f>
        <v/>
      </c>
      <c r="CM114" s="12" t="str">
        <f>IF($A114="","",CJ114+(CL114-SUMIFS('Nursing Charges'!$J:$J,'Nursing Charges'!$A:$A,$A114,'Nursing Charges'!$C:$C,9))+(CK114-SUMIFS('Consumable Usage'!$F:$F,'Consumable Usage'!$A:$A,$A114,'Consumable Usage'!$D:$D,9)))</f>
        <v/>
      </c>
      <c r="CN114" s="12" t="str">
        <f t="shared" si="25"/>
        <v/>
      </c>
      <c r="CO114" s="20"/>
      <c r="CP114" s="12" t="str">
        <f t="shared" si="26"/>
        <v/>
      </c>
      <c r="CQ114" s="45" t="str">
        <f t="shared" si="27"/>
        <v/>
      </c>
      <c r="CR114" s="15"/>
      <c r="CS114" s="15"/>
      <c r="CT114" s="20"/>
      <c r="CU114" s="12" t="str">
        <f>IF($A114="","",SUMIFS('Consumable Usage'!$E:$E,'Consumable Usage'!$A:$A,$A114,'Consumable Usage'!$D:$D,10))</f>
        <v/>
      </c>
      <c r="CV114" s="12" t="str">
        <f>IF($A114="","",SUMIFS('Nursing Charges'!$I:$I,'Nursing Charges'!$A:$A,$A114,'Nursing Charges'!$C:$C,10))</f>
        <v/>
      </c>
      <c r="CW114" s="12" t="str">
        <f>IF($A114="","",CT114+(CV114-SUMIFS('Nursing Charges'!$J:$J,'Nursing Charges'!$A:$A,$A114,'Nursing Charges'!$C:$C,10))+(CU114-SUMIFS('Consumable Usage'!$F:$F,'Consumable Usage'!$A:$A,$A114,'Consumable Usage'!$D:$D,10)))</f>
        <v/>
      </c>
      <c r="CX114" s="12" t="str">
        <f t="shared" si="28"/>
        <v/>
      </c>
      <c r="CY114" s="20"/>
      <c r="CZ114" s="12" t="str">
        <f t="shared" si="29"/>
        <v/>
      </c>
      <c r="DA114" s="45" t="str">
        <f t="shared" si="30"/>
        <v/>
      </c>
      <c r="DB114" s="15"/>
      <c r="DC114" s="15"/>
      <c r="DD114" s="20"/>
      <c r="DE114" s="12" t="str">
        <f>IF($A114="","",SUMIFS('Consumable Usage'!$E:$E,'Consumable Usage'!$A:$A,$A114,'Consumable Usage'!$D:$D,11))</f>
        <v/>
      </c>
      <c r="DF114" s="12" t="str">
        <f>IF($A114="","",SUMIFS('Nursing Charges'!$I:$I,'Nursing Charges'!$A:$A,$A114,'Nursing Charges'!$C:$C,11))</f>
        <v/>
      </c>
      <c r="DG114" s="12" t="str">
        <f>IF($A114="","",DD114+(DF114-SUMIFS('Nursing Charges'!$J:$J,'Nursing Charges'!$A:$A,$A114,'Nursing Charges'!$C:$C,11))+(DE114-SUMIFS('Consumable Usage'!$F:$F,'Consumable Usage'!$A:$A,$A114,'Consumable Usage'!$D:$D,11)))</f>
        <v/>
      </c>
      <c r="DH114" s="12" t="str">
        <f t="shared" si="31"/>
        <v/>
      </c>
      <c r="DI114" s="20"/>
      <c r="DJ114" s="12" t="str">
        <f t="shared" si="32"/>
        <v/>
      </c>
      <c r="DK114" s="45" t="str">
        <f t="shared" si="33"/>
        <v/>
      </c>
      <c r="DL114" s="15"/>
      <c r="DM114" s="15"/>
      <c r="DN114" s="20"/>
      <c r="DO114" s="12" t="str">
        <f>IF($A114="","",SUMIFS('Consumable Usage'!$E:$E,'Consumable Usage'!$A:$A,$A114,'Consumable Usage'!$D:$D,12))</f>
        <v/>
      </c>
      <c r="DP114" s="12" t="str">
        <f>IF($A114="","",SUMIFS('Nursing Charges'!$I:$I,'Nursing Charges'!$A:$A,$A114,'Nursing Charges'!$C:$C,12))</f>
        <v/>
      </c>
      <c r="DQ114" s="12" t="str">
        <f>IF($A114="","",DN114+(DP114-SUMIFS('Nursing Charges'!$J:$J,'Nursing Charges'!$A:$A,$A114,'Nursing Charges'!$C:$C,12))+(DO114-SUMIFS('Consumable Usage'!$F:$F,'Consumable Usage'!$A:$A,$A114,'Consumable Usage'!$D:$D,12)))</f>
        <v/>
      </c>
      <c r="DR114" s="12" t="str">
        <f t="shared" si="34"/>
        <v/>
      </c>
      <c r="DS114" s="20"/>
      <c r="DT114" s="12" t="str">
        <f t="shared" si="35"/>
        <v/>
      </c>
      <c r="DU114" s="45" t="str">
        <f t="shared" si="36"/>
        <v/>
      </c>
      <c r="DV114" s="15"/>
      <c r="DW114" s="15"/>
      <c r="DX114" s="20"/>
      <c r="DY114" s="12" t="str">
        <f>IF($A114="","",SUMIFS('Consumable Usage'!$E:$E,'Consumable Usage'!$A:$A,$A114,'Consumable Usage'!$D:$D,13))</f>
        <v/>
      </c>
      <c r="DZ114" s="12" t="str">
        <f>IF($A114="","",SUMIFS('Nursing Charges'!$I:$I,'Nursing Charges'!$A:$A,$A114,'Nursing Charges'!$C:$C,13))</f>
        <v/>
      </c>
      <c r="EA114" s="12" t="str">
        <f>IF($A114="","",DX114+(DZ114-SUMIFS('Nursing Charges'!$J:$J,'Nursing Charges'!$A:$A,$A114,'Nursing Charges'!$C:$C,13))+(DY114-SUMIFS('Consumable Usage'!$F:$F,'Consumable Usage'!$A:$A,$A114,'Consumable Usage'!$D:$D,13)))</f>
        <v/>
      </c>
      <c r="EB114" s="12" t="str">
        <f t="shared" si="37"/>
        <v/>
      </c>
      <c r="EC114" s="20"/>
      <c r="ED114" s="12" t="str">
        <f t="shared" si="38"/>
        <v/>
      </c>
      <c r="EE114" s="45" t="str">
        <f t="shared" si="39"/>
        <v/>
      </c>
      <c r="EF114" s="15"/>
      <c r="EG114" s="15"/>
      <c r="EH114" s="20"/>
      <c r="EI114" s="12" t="str">
        <f>IF($A114="","",SUMIFS('Consumable Usage'!$E:$E,'Consumable Usage'!$A:$A,$A114,'Consumable Usage'!$D:$D,14))</f>
        <v/>
      </c>
      <c r="EJ114" s="12" t="str">
        <f>IF($A114="","",SUMIFS('Nursing Charges'!$I:$I,'Nursing Charges'!$A:$A,$A114,'Nursing Charges'!$C:$C,14))</f>
        <v/>
      </c>
      <c r="EK114" s="12" t="str">
        <f>IF($A114="","",EH114+(EJ114-SUMIFS('Nursing Charges'!$J:$J,'Nursing Charges'!$A:$A,$A114,'Nursing Charges'!$C:$C,14))+(EI114-SUMIFS('Consumable Usage'!$F:$F,'Consumable Usage'!$A:$A,$A114,'Consumable Usage'!$D:$D,14)))</f>
        <v/>
      </c>
      <c r="EL114" s="12" t="str">
        <f t="shared" si="40"/>
        <v/>
      </c>
      <c r="EM114" s="20"/>
      <c r="EN114" s="12" t="str">
        <f t="shared" si="41"/>
        <v/>
      </c>
      <c r="EO114" s="45" t="str">
        <f t="shared" si="42"/>
        <v/>
      </c>
      <c r="EP114" s="15"/>
      <c r="EQ114" s="15"/>
      <c r="ER114" s="20"/>
      <c r="ES114" s="12" t="str">
        <f>IF($A114="","",SUMIFS('Consumable Usage'!$E:$E,'Consumable Usage'!$A:$A,$A114,'Consumable Usage'!$D:$D,15))</f>
        <v/>
      </c>
      <c r="ET114" s="12" t="str">
        <f>IF($A114="","",SUMIFS('Nursing Charges'!$I:$I,'Nursing Charges'!$A:$A,$A114,'Nursing Charges'!$C:$C,15))</f>
        <v/>
      </c>
      <c r="EU114" s="12" t="str">
        <f>IF($A114="","",ER114+(ET114-SUMIFS('Nursing Charges'!$J:$J,'Nursing Charges'!$A:$A,$A114,'Nursing Charges'!$C:$C,15))+(ES114-SUMIFS('Consumable Usage'!$F:$F,'Consumable Usage'!$A:$A,$A114,'Consumable Usage'!$D:$D,15)))</f>
        <v/>
      </c>
      <c r="EV114" s="12" t="str">
        <f t="shared" si="43"/>
        <v/>
      </c>
      <c r="EW114" s="20"/>
      <c r="EX114" s="12" t="str">
        <f t="shared" si="44"/>
        <v/>
      </c>
      <c r="EY114" s="45" t="str">
        <f t="shared" si="45"/>
        <v/>
      </c>
      <c r="EZ114" s="15"/>
      <c r="FA114" s="15"/>
      <c r="FB114" s="20"/>
      <c r="FC114" s="12" t="str">
        <f>IF($A114="","",SUMIFS('Consumable Usage'!$E:$E,'Consumable Usage'!$A:$A,$A114,'Consumable Usage'!$D:$D,16))</f>
        <v/>
      </c>
      <c r="FD114" s="12" t="str">
        <f>IF($A114="","",SUMIFS('Nursing Charges'!$I:$I,'Nursing Charges'!$A:$A,$A114,'Nursing Charges'!$C:$C,16))</f>
        <v/>
      </c>
      <c r="FE114" s="12" t="str">
        <f>IF($A114="","",FB114+(FD114-SUMIFS('Nursing Charges'!$J:$J,'Nursing Charges'!$A:$A,$A114,'Nursing Charges'!$C:$C,16))+(FC114-SUMIFS('Consumable Usage'!$F:$F,'Consumable Usage'!$A:$A,$A114,'Consumable Usage'!$D:$D,16)))</f>
        <v/>
      </c>
      <c r="FF114" s="12" t="str">
        <f t="shared" si="46"/>
        <v/>
      </c>
      <c r="FG114" s="20"/>
      <c r="FH114" s="12" t="str">
        <f t="shared" si="47"/>
        <v/>
      </c>
      <c r="FI114" s="45" t="str">
        <f t="shared" si="48"/>
        <v/>
      </c>
      <c r="FJ114" s="53"/>
      <c r="FK114" s="53"/>
      <c r="FL114" s="63"/>
      <c r="FM114" s="63" t="str">
        <f>IF($A114="","",SUMIFS('Consumable Usage'!$E:$E,'Consumable Usage'!$A:$A,$A114,'Consumable Usage'!$D:$D,16))</f>
        <v/>
      </c>
      <c r="FN114" s="63" t="str">
        <f>IF($A114="","",SUMIFS('Nursing Charges'!$I:$I,'Nursing Charges'!$A:$A,$A114,'Nursing Charges'!$C:$C,16))</f>
        <v/>
      </c>
      <c r="FO114" s="63" t="str">
        <f>IF($A114="","",FL114+(FN114-SUMIFS('Nursing Charges'!$J:$J,'Nursing Charges'!$A:$A,$A114,'Nursing Charges'!$C:$C,16))+(FM114-SUMIFS('Consumable Usage'!$F:$F,'Consumable Usage'!$A:$A,$A114,'Consumable Usage'!$D:$D,16)))</f>
        <v/>
      </c>
      <c r="FP114" s="63" t="str">
        <f t="shared" si="49"/>
        <v/>
      </c>
      <c r="FQ114" s="63"/>
      <c r="FR114" s="63" t="str">
        <f t="shared" si="50"/>
        <v/>
      </c>
      <c r="FS114" s="53" t="str">
        <f t="shared" si="51"/>
        <v/>
      </c>
    </row>
    <row r="115" ht="15.0" customHeight="1">
      <c r="A115" s="15"/>
      <c r="B115" s="15"/>
      <c r="C115" s="15"/>
      <c r="D115" s="15"/>
      <c r="E115" s="15"/>
      <c r="F115" s="15"/>
      <c r="G115" s="15"/>
      <c r="H115" s="20"/>
      <c r="I115" s="12" t="str">
        <f>IF($A115="","",SUMIFS('Consumable Usage'!$E:$E,'Consumable Usage'!$A:$A,$A115,'Consumable Usage'!$D:$D,1))</f>
        <v/>
      </c>
      <c r="J115" s="12" t="str">
        <f>IF($A115="","",SUMIFS('Nursing Charges'!$I:$I,'Nursing Charges'!$A:$A,$A115,'Nursing Charges'!$C:$C,1))</f>
        <v/>
      </c>
      <c r="K115" s="12" t="str">
        <f>IF($A115="","",H115+(J115-SUMIFS('Nursing Charges'!$J:$J,'Nursing Charges'!$A:$A,$A115,'Nursing Charges'!$C:$C,1))+(I115-SUMIFS('Consumable Usage'!$F:$F,'Consumable Usage'!$A:$A,$A115,'Consumable Usage'!$D:$D,1)))</f>
        <v/>
      </c>
      <c r="L115" s="12" t="str">
        <f t="shared" si="1"/>
        <v/>
      </c>
      <c r="M115" s="20"/>
      <c r="N115" s="12" t="str">
        <f t="shared" si="2"/>
        <v/>
      </c>
      <c r="O115" s="45" t="str">
        <f t="shared" si="3"/>
        <v/>
      </c>
      <c r="P115" s="15"/>
      <c r="Q115" s="15"/>
      <c r="R115" s="20"/>
      <c r="S115" s="12" t="str">
        <f>IF($A115="","",SUMIFS('Consumable Usage'!$E:$E,'Consumable Usage'!$A:$A,$A115,'Consumable Usage'!$D:$D,2))</f>
        <v/>
      </c>
      <c r="T115" s="12" t="str">
        <f>IF($A115="","",SUMIFS('Nursing Charges'!$I:$I,'Nursing Charges'!$A:$A,$A115,'Nursing Charges'!$C:$C,2))</f>
        <v/>
      </c>
      <c r="U115" s="12" t="str">
        <f>IF($A115="","",R115+(T115-SUMIFS('Nursing Charges'!$J:$J,'Nursing Charges'!$A:$A,$A115,'Nursing Charges'!$C:$C,2))+(S115-SUMIFS('Consumable Usage'!$F:$F,'Consumable Usage'!$A:$A,$A115,'Consumable Usage'!$D:$D,2)))</f>
        <v/>
      </c>
      <c r="V115" s="12" t="str">
        <f t="shared" si="4"/>
        <v/>
      </c>
      <c r="W115" s="20"/>
      <c r="X115" s="12" t="str">
        <f t="shared" si="5"/>
        <v/>
      </c>
      <c r="Y115" s="45" t="str">
        <f t="shared" si="6"/>
        <v/>
      </c>
      <c r="Z115" s="15"/>
      <c r="AA115" s="15"/>
      <c r="AB115" s="20"/>
      <c r="AC115" s="12" t="str">
        <f>IF($A115="","",SUMIFS('Consumable Usage'!$E:$E,'Consumable Usage'!$A:$A,$A115,'Consumable Usage'!$D:$D,3))</f>
        <v/>
      </c>
      <c r="AD115" s="12" t="str">
        <f>IF($A115="","",SUMIFS('Nursing Charges'!$I:$I,'Nursing Charges'!$A:$A,$A115,'Nursing Charges'!$C:$C,3))</f>
        <v/>
      </c>
      <c r="AE115" s="12" t="str">
        <f>IF($A115="","",AB115+(AD115-SUMIFS('Nursing Charges'!$J:$J,'Nursing Charges'!$A:$A,$A115,'Nursing Charges'!$C:$C,3))+(AC115-SUMIFS('Consumable Usage'!$F:$F,'Consumable Usage'!$A:$A,$A115,'Consumable Usage'!$D:$D,3)))</f>
        <v/>
      </c>
      <c r="AF115" s="12" t="str">
        <f t="shared" si="7"/>
        <v/>
      </c>
      <c r="AG115" s="20"/>
      <c r="AH115" s="12" t="str">
        <f t="shared" si="8"/>
        <v/>
      </c>
      <c r="AI115" s="45" t="str">
        <f t="shared" si="9"/>
        <v/>
      </c>
      <c r="AJ115" s="15"/>
      <c r="AK115" s="15"/>
      <c r="AL115" s="20"/>
      <c r="AM115" s="12" t="str">
        <f>IF($A115="","",SUMIFS('Consumable Usage'!$E:$E,'Consumable Usage'!$A:$A,$A115,'Consumable Usage'!$D:$D,4))</f>
        <v/>
      </c>
      <c r="AN115" s="12" t="str">
        <f>IF($A115="","",SUMIFS('Nursing Charges'!$I:$I,'Nursing Charges'!$A:$A,$A115,'Nursing Charges'!$C:$C,4))</f>
        <v/>
      </c>
      <c r="AO115" s="12" t="str">
        <f>IF($A115="","",AL115+(AN115-SUMIFS('Nursing Charges'!$J:$J,'Nursing Charges'!$A:$A,$A115,'Nursing Charges'!$C:$C,4))+(AM115-SUMIFS('Consumable Usage'!$F:$F,'Consumable Usage'!$A:$A,$A115,'Consumable Usage'!$D:$D,4)))</f>
        <v/>
      </c>
      <c r="AP115" s="12" t="str">
        <f t="shared" si="10"/>
        <v/>
      </c>
      <c r="AQ115" s="20"/>
      <c r="AR115" s="12" t="str">
        <f t="shared" si="11"/>
        <v/>
      </c>
      <c r="AS115" s="45" t="str">
        <f t="shared" si="12"/>
        <v/>
      </c>
      <c r="AT115" s="15"/>
      <c r="AU115" s="15"/>
      <c r="AV115" s="20"/>
      <c r="AW115" s="12" t="str">
        <f>IF($A115="","",SUMIFS('Consumable Usage'!$E:$E,'Consumable Usage'!$A:$A,$A115,'Consumable Usage'!$D:$D,5))</f>
        <v/>
      </c>
      <c r="AX115" s="12" t="str">
        <f>IF($A115="","",SUMIFS('Nursing Charges'!$I:$I,'Nursing Charges'!$A:$A,$A115,'Nursing Charges'!$C:$C,5))</f>
        <v/>
      </c>
      <c r="AY115" s="12" t="str">
        <f>IF($A115="","",AV115+(AX115-SUMIFS('Nursing Charges'!$J:$J,'Nursing Charges'!$A:$A,$A115,'Nursing Charges'!$C:$C,5))+(AW115-SUMIFS('Consumable Usage'!$F:$F,'Consumable Usage'!$A:$A,$A115,'Consumable Usage'!$D:$D,5)))</f>
        <v/>
      </c>
      <c r="AZ115" s="12" t="str">
        <f t="shared" si="13"/>
        <v/>
      </c>
      <c r="BA115" s="20"/>
      <c r="BB115" s="12" t="str">
        <f t="shared" si="14"/>
        <v/>
      </c>
      <c r="BC115" s="45" t="str">
        <f t="shared" si="15"/>
        <v/>
      </c>
      <c r="BD115" s="15"/>
      <c r="BE115" s="15"/>
      <c r="BF115" s="20"/>
      <c r="BG115" s="12" t="str">
        <f>IF($A115="","",SUMIFS('Consumable Usage'!$E:$E,'Consumable Usage'!$A:$A,$A115,'Consumable Usage'!$D:$D,6))</f>
        <v/>
      </c>
      <c r="BH115" s="12" t="str">
        <f>IF($A115="","",SUMIFS('Nursing Charges'!$I:$I,'Nursing Charges'!$A:$A,$A115,'Nursing Charges'!$C:$C,6))</f>
        <v/>
      </c>
      <c r="BI115" s="12" t="str">
        <f>IF($A115="","",BF115+(BH115-SUMIFS('Nursing Charges'!$J:$J,'Nursing Charges'!$A:$A,$A115,'Nursing Charges'!$C:$C,6))+(BG115-SUMIFS('Consumable Usage'!$F:$F,'Consumable Usage'!$A:$A,$A115,'Consumable Usage'!$D:$D,6)))</f>
        <v/>
      </c>
      <c r="BJ115" s="12" t="str">
        <f t="shared" si="16"/>
        <v/>
      </c>
      <c r="BK115" s="20"/>
      <c r="BL115" s="12" t="str">
        <f t="shared" si="17"/>
        <v/>
      </c>
      <c r="BM115" s="45" t="str">
        <f t="shared" si="18"/>
        <v/>
      </c>
      <c r="BN115" s="15"/>
      <c r="BO115" s="15"/>
      <c r="BP115" s="20"/>
      <c r="BQ115" s="12" t="str">
        <f>IF($A115="","",SUMIFS('Consumable Usage'!$E:$E,'Consumable Usage'!$A:$A,$A115,'Consumable Usage'!$D:$D,7))</f>
        <v/>
      </c>
      <c r="BR115" s="12" t="str">
        <f>IF($A115="","",SUMIFS('Nursing Charges'!$I:$I,'Nursing Charges'!$A:$A,$A115,'Nursing Charges'!$C:$C,7))</f>
        <v/>
      </c>
      <c r="BS115" s="12" t="str">
        <f>IF($A115="","",BP115+(BR115-SUMIFS('Nursing Charges'!$J:$J,'Nursing Charges'!$A:$A,$A115,'Nursing Charges'!$C:$C,7))+(BQ115-SUMIFS('Consumable Usage'!$F:$F,'Consumable Usage'!$A:$A,$A115,'Consumable Usage'!$D:$D,7)))</f>
        <v/>
      </c>
      <c r="BT115" s="12" t="str">
        <f t="shared" si="19"/>
        <v/>
      </c>
      <c r="BU115" s="20"/>
      <c r="BV115" s="12" t="str">
        <f t="shared" si="20"/>
        <v/>
      </c>
      <c r="BW115" s="45" t="str">
        <f t="shared" si="21"/>
        <v/>
      </c>
      <c r="BX115" s="15"/>
      <c r="BY115" s="15"/>
      <c r="BZ115" s="20"/>
      <c r="CA115" s="12" t="str">
        <f>IF($A115="","",SUMIFS('Consumable Usage'!$E:$E,'Consumable Usage'!$A:$A,$A115,'Consumable Usage'!$D:$D,8))</f>
        <v/>
      </c>
      <c r="CB115" s="12" t="str">
        <f>IF($A115="","",SUMIFS('Nursing Charges'!$I:$I,'Nursing Charges'!$A:$A,$A115,'Nursing Charges'!$C:$C,8))</f>
        <v/>
      </c>
      <c r="CC115" s="12" t="str">
        <f>IF($A115="","",BZ115+(CB115-SUMIFS('Nursing Charges'!$J:$J,'Nursing Charges'!$A:$A,$A115,'Nursing Charges'!$C:$C,8))+(CA115-SUMIFS('Consumable Usage'!$F:$F,'Consumable Usage'!$A:$A,$A115,'Consumable Usage'!$D:$D,8)))</f>
        <v/>
      </c>
      <c r="CD115" s="12" t="str">
        <f t="shared" si="22"/>
        <v/>
      </c>
      <c r="CE115" s="20"/>
      <c r="CF115" s="12" t="str">
        <f t="shared" si="23"/>
        <v/>
      </c>
      <c r="CG115" s="45" t="str">
        <f t="shared" si="24"/>
        <v/>
      </c>
      <c r="CH115" s="15"/>
      <c r="CI115" s="15"/>
      <c r="CJ115" s="20"/>
      <c r="CK115" s="12" t="str">
        <f>IF($A115="","",SUMIFS('Consumable Usage'!$E:$E,'Consumable Usage'!$A:$A,$A115,'Consumable Usage'!$D:$D,9))</f>
        <v/>
      </c>
      <c r="CL115" s="12" t="str">
        <f>IF($A115="","",SUMIFS('Nursing Charges'!$I:$I,'Nursing Charges'!$A:$A,$A115,'Nursing Charges'!$C:$C,9))</f>
        <v/>
      </c>
      <c r="CM115" s="12" t="str">
        <f>IF($A115="","",CJ115+(CL115-SUMIFS('Nursing Charges'!$J:$J,'Nursing Charges'!$A:$A,$A115,'Nursing Charges'!$C:$C,9))+(CK115-SUMIFS('Consumable Usage'!$F:$F,'Consumable Usage'!$A:$A,$A115,'Consumable Usage'!$D:$D,9)))</f>
        <v/>
      </c>
      <c r="CN115" s="12" t="str">
        <f t="shared" si="25"/>
        <v/>
      </c>
      <c r="CO115" s="20"/>
      <c r="CP115" s="12" t="str">
        <f t="shared" si="26"/>
        <v/>
      </c>
      <c r="CQ115" s="45" t="str">
        <f t="shared" si="27"/>
        <v/>
      </c>
      <c r="CR115" s="15"/>
      <c r="CS115" s="15"/>
      <c r="CT115" s="20"/>
      <c r="CU115" s="12" t="str">
        <f>IF($A115="","",SUMIFS('Consumable Usage'!$E:$E,'Consumable Usage'!$A:$A,$A115,'Consumable Usage'!$D:$D,10))</f>
        <v/>
      </c>
      <c r="CV115" s="12" t="str">
        <f>IF($A115="","",SUMIFS('Nursing Charges'!$I:$I,'Nursing Charges'!$A:$A,$A115,'Nursing Charges'!$C:$C,10))</f>
        <v/>
      </c>
      <c r="CW115" s="12" t="str">
        <f>IF($A115="","",CT115+(CV115-SUMIFS('Nursing Charges'!$J:$J,'Nursing Charges'!$A:$A,$A115,'Nursing Charges'!$C:$C,10))+(CU115-SUMIFS('Consumable Usage'!$F:$F,'Consumable Usage'!$A:$A,$A115,'Consumable Usage'!$D:$D,10)))</f>
        <v/>
      </c>
      <c r="CX115" s="12" t="str">
        <f t="shared" si="28"/>
        <v/>
      </c>
      <c r="CY115" s="20"/>
      <c r="CZ115" s="12" t="str">
        <f t="shared" si="29"/>
        <v/>
      </c>
      <c r="DA115" s="45" t="str">
        <f t="shared" si="30"/>
        <v/>
      </c>
      <c r="DB115" s="15"/>
      <c r="DC115" s="15"/>
      <c r="DD115" s="20"/>
      <c r="DE115" s="12" t="str">
        <f>IF($A115="","",SUMIFS('Consumable Usage'!$E:$E,'Consumable Usage'!$A:$A,$A115,'Consumable Usage'!$D:$D,11))</f>
        <v/>
      </c>
      <c r="DF115" s="12" t="str">
        <f>IF($A115="","",SUMIFS('Nursing Charges'!$I:$I,'Nursing Charges'!$A:$A,$A115,'Nursing Charges'!$C:$C,11))</f>
        <v/>
      </c>
      <c r="DG115" s="12" t="str">
        <f>IF($A115="","",DD115+(DF115-SUMIFS('Nursing Charges'!$J:$J,'Nursing Charges'!$A:$A,$A115,'Nursing Charges'!$C:$C,11))+(DE115-SUMIFS('Consumable Usage'!$F:$F,'Consumable Usage'!$A:$A,$A115,'Consumable Usage'!$D:$D,11)))</f>
        <v/>
      </c>
      <c r="DH115" s="12" t="str">
        <f t="shared" si="31"/>
        <v/>
      </c>
      <c r="DI115" s="20"/>
      <c r="DJ115" s="12" t="str">
        <f t="shared" si="32"/>
        <v/>
      </c>
      <c r="DK115" s="45" t="str">
        <f t="shared" si="33"/>
        <v/>
      </c>
      <c r="DL115" s="15"/>
      <c r="DM115" s="15"/>
      <c r="DN115" s="20"/>
      <c r="DO115" s="12" t="str">
        <f>IF($A115="","",SUMIFS('Consumable Usage'!$E:$E,'Consumable Usage'!$A:$A,$A115,'Consumable Usage'!$D:$D,12))</f>
        <v/>
      </c>
      <c r="DP115" s="12" t="str">
        <f>IF($A115="","",SUMIFS('Nursing Charges'!$I:$I,'Nursing Charges'!$A:$A,$A115,'Nursing Charges'!$C:$C,12))</f>
        <v/>
      </c>
      <c r="DQ115" s="12" t="str">
        <f>IF($A115="","",DN115+(DP115-SUMIFS('Nursing Charges'!$J:$J,'Nursing Charges'!$A:$A,$A115,'Nursing Charges'!$C:$C,12))+(DO115-SUMIFS('Consumable Usage'!$F:$F,'Consumable Usage'!$A:$A,$A115,'Consumable Usage'!$D:$D,12)))</f>
        <v/>
      </c>
      <c r="DR115" s="12" t="str">
        <f t="shared" si="34"/>
        <v/>
      </c>
      <c r="DS115" s="20"/>
      <c r="DT115" s="12" t="str">
        <f t="shared" si="35"/>
        <v/>
      </c>
      <c r="DU115" s="45" t="str">
        <f t="shared" si="36"/>
        <v/>
      </c>
      <c r="DV115" s="15"/>
      <c r="DW115" s="15"/>
      <c r="DX115" s="20"/>
      <c r="DY115" s="12" t="str">
        <f>IF($A115="","",SUMIFS('Consumable Usage'!$E:$E,'Consumable Usage'!$A:$A,$A115,'Consumable Usage'!$D:$D,13))</f>
        <v/>
      </c>
      <c r="DZ115" s="12" t="str">
        <f>IF($A115="","",SUMIFS('Nursing Charges'!$I:$I,'Nursing Charges'!$A:$A,$A115,'Nursing Charges'!$C:$C,13))</f>
        <v/>
      </c>
      <c r="EA115" s="12" t="str">
        <f>IF($A115="","",DX115+(DZ115-SUMIFS('Nursing Charges'!$J:$J,'Nursing Charges'!$A:$A,$A115,'Nursing Charges'!$C:$C,13))+(DY115-SUMIFS('Consumable Usage'!$F:$F,'Consumable Usage'!$A:$A,$A115,'Consumable Usage'!$D:$D,13)))</f>
        <v/>
      </c>
      <c r="EB115" s="12" t="str">
        <f t="shared" si="37"/>
        <v/>
      </c>
      <c r="EC115" s="20"/>
      <c r="ED115" s="12" t="str">
        <f t="shared" si="38"/>
        <v/>
      </c>
      <c r="EE115" s="45" t="str">
        <f t="shared" si="39"/>
        <v/>
      </c>
      <c r="EF115" s="15"/>
      <c r="EG115" s="15"/>
      <c r="EH115" s="20"/>
      <c r="EI115" s="12" t="str">
        <f>IF($A115="","",SUMIFS('Consumable Usage'!$E:$E,'Consumable Usage'!$A:$A,$A115,'Consumable Usage'!$D:$D,14))</f>
        <v/>
      </c>
      <c r="EJ115" s="12" t="str">
        <f>IF($A115="","",SUMIFS('Nursing Charges'!$I:$I,'Nursing Charges'!$A:$A,$A115,'Nursing Charges'!$C:$C,14))</f>
        <v/>
      </c>
      <c r="EK115" s="12" t="str">
        <f>IF($A115="","",EH115+(EJ115-SUMIFS('Nursing Charges'!$J:$J,'Nursing Charges'!$A:$A,$A115,'Nursing Charges'!$C:$C,14))+(EI115-SUMIFS('Consumable Usage'!$F:$F,'Consumable Usage'!$A:$A,$A115,'Consumable Usage'!$D:$D,14)))</f>
        <v/>
      </c>
      <c r="EL115" s="12" t="str">
        <f t="shared" si="40"/>
        <v/>
      </c>
      <c r="EM115" s="20"/>
      <c r="EN115" s="12" t="str">
        <f t="shared" si="41"/>
        <v/>
      </c>
      <c r="EO115" s="45" t="str">
        <f t="shared" si="42"/>
        <v/>
      </c>
      <c r="EP115" s="15"/>
      <c r="EQ115" s="15"/>
      <c r="ER115" s="20"/>
      <c r="ES115" s="12" t="str">
        <f>IF($A115="","",SUMIFS('Consumable Usage'!$E:$E,'Consumable Usage'!$A:$A,$A115,'Consumable Usage'!$D:$D,15))</f>
        <v/>
      </c>
      <c r="ET115" s="12" t="str">
        <f>IF($A115="","",SUMIFS('Nursing Charges'!$I:$I,'Nursing Charges'!$A:$A,$A115,'Nursing Charges'!$C:$C,15))</f>
        <v/>
      </c>
      <c r="EU115" s="12" t="str">
        <f>IF($A115="","",ER115+(ET115-SUMIFS('Nursing Charges'!$J:$J,'Nursing Charges'!$A:$A,$A115,'Nursing Charges'!$C:$C,15))+(ES115-SUMIFS('Consumable Usage'!$F:$F,'Consumable Usage'!$A:$A,$A115,'Consumable Usage'!$D:$D,15)))</f>
        <v/>
      </c>
      <c r="EV115" s="12" t="str">
        <f t="shared" si="43"/>
        <v/>
      </c>
      <c r="EW115" s="20"/>
      <c r="EX115" s="12" t="str">
        <f t="shared" si="44"/>
        <v/>
      </c>
      <c r="EY115" s="45" t="str">
        <f t="shared" si="45"/>
        <v/>
      </c>
      <c r="EZ115" s="15"/>
      <c r="FA115" s="15"/>
      <c r="FB115" s="20"/>
      <c r="FC115" s="12" t="str">
        <f>IF($A115="","",SUMIFS('Consumable Usage'!$E:$E,'Consumable Usage'!$A:$A,$A115,'Consumable Usage'!$D:$D,16))</f>
        <v/>
      </c>
      <c r="FD115" s="12" t="str">
        <f>IF($A115="","",SUMIFS('Nursing Charges'!$I:$I,'Nursing Charges'!$A:$A,$A115,'Nursing Charges'!$C:$C,16))</f>
        <v/>
      </c>
      <c r="FE115" s="12" t="str">
        <f>IF($A115="","",FB115+(FD115-SUMIFS('Nursing Charges'!$J:$J,'Nursing Charges'!$A:$A,$A115,'Nursing Charges'!$C:$C,16))+(FC115-SUMIFS('Consumable Usage'!$F:$F,'Consumable Usage'!$A:$A,$A115,'Consumable Usage'!$D:$D,16)))</f>
        <v/>
      </c>
      <c r="FF115" s="12" t="str">
        <f t="shared" si="46"/>
        <v/>
      </c>
      <c r="FG115" s="20"/>
      <c r="FH115" s="12" t="str">
        <f t="shared" si="47"/>
        <v/>
      </c>
      <c r="FI115" s="45" t="str">
        <f t="shared" si="48"/>
        <v/>
      </c>
      <c r="FJ115" s="53"/>
      <c r="FK115" s="53"/>
      <c r="FL115" s="63"/>
      <c r="FM115" s="63" t="str">
        <f>IF($A115="","",SUMIFS('Consumable Usage'!$E:$E,'Consumable Usage'!$A:$A,$A115,'Consumable Usage'!$D:$D,16))</f>
        <v/>
      </c>
      <c r="FN115" s="63" t="str">
        <f>IF($A115="","",SUMIFS('Nursing Charges'!$I:$I,'Nursing Charges'!$A:$A,$A115,'Nursing Charges'!$C:$C,16))</f>
        <v/>
      </c>
      <c r="FO115" s="63" t="str">
        <f>IF($A115="","",FL115+(FN115-SUMIFS('Nursing Charges'!$J:$J,'Nursing Charges'!$A:$A,$A115,'Nursing Charges'!$C:$C,16))+(FM115-SUMIFS('Consumable Usage'!$F:$F,'Consumable Usage'!$A:$A,$A115,'Consumable Usage'!$D:$D,16)))</f>
        <v/>
      </c>
      <c r="FP115" s="63" t="str">
        <f t="shared" si="49"/>
        <v/>
      </c>
      <c r="FQ115" s="63"/>
      <c r="FR115" s="63" t="str">
        <f t="shared" si="50"/>
        <v/>
      </c>
      <c r="FS115" s="53" t="str">
        <f t="shared" si="51"/>
        <v/>
      </c>
    </row>
    <row r="116" ht="15.0" customHeight="1">
      <c r="A116" s="15"/>
      <c r="B116" s="15"/>
      <c r="C116" s="15"/>
      <c r="D116" s="15"/>
      <c r="E116" s="15"/>
      <c r="F116" s="15"/>
      <c r="G116" s="15"/>
      <c r="H116" s="20"/>
      <c r="I116" s="12" t="str">
        <f>IF($A116="","",SUMIFS('Consumable Usage'!$E:$E,'Consumable Usage'!$A:$A,$A116,'Consumable Usage'!$D:$D,1))</f>
        <v/>
      </c>
      <c r="J116" s="12" t="str">
        <f>IF($A116="","",SUMIFS('Nursing Charges'!$I:$I,'Nursing Charges'!$A:$A,$A116,'Nursing Charges'!$C:$C,1))</f>
        <v/>
      </c>
      <c r="K116" s="12" t="str">
        <f>IF($A116="","",H116+(J116-SUMIFS('Nursing Charges'!$J:$J,'Nursing Charges'!$A:$A,$A116,'Nursing Charges'!$C:$C,1))+(I116-SUMIFS('Consumable Usage'!$F:$F,'Consumable Usage'!$A:$A,$A116,'Consumable Usage'!$D:$D,1)))</f>
        <v/>
      </c>
      <c r="L116" s="12" t="str">
        <f t="shared" si="1"/>
        <v/>
      </c>
      <c r="M116" s="20"/>
      <c r="N116" s="12" t="str">
        <f t="shared" si="2"/>
        <v/>
      </c>
      <c r="O116" s="45" t="str">
        <f t="shared" si="3"/>
        <v/>
      </c>
      <c r="P116" s="15"/>
      <c r="Q116" s="15"/>
      <c r="R116" s="20"/>
      <c r="S116" s="12" t="str">
        <f>IF($A116="","",SUMIFS('Consumable Usage'!$E:$E,'Consumable Usage'!$A:$A,$A116,'Consumable Usage'!$D:$D,2))</f>
        <v/>
      </c>
      <c r="T116" s="12" t="str">
        <f>IF($A116="","",SUMIFS('Nursing Charges'!$I:$I,'Nursing Charges'!$A:$A,$A116,'Nursing Charges'!$C:$C,2))</f>
        <v/>
      </c>
      <c r="U116" s="12" t="str">
        <f>IF($A116="","",R116+(T116-SUMIFS('Nursing Charges'!$J:$J,'Nursing Charges'!$A:$A,$A116,'Nursing Charges'!$C:$C,2))+(S116-SUMIFS('Consumable Usage'!$F:$F,'Consumable Usage'!$A:$A,$A116,'Consumable Usage'!$D:$D,2)))</f>
        <v/>
      </c>
      <c r="V116" s="12" t="str">
        <f t="shared" si="4"/>
        <v/>
      </c>
      <c r="W116" s="20"/>
      <c r="X116" s="12" t="str">
        <f t="shared" si="5"/>
        <v/>
      </c>
      <c r="Y116" s="45" t="str">
        <f t="shared" si="6"/>
        <v/>
      </c>
      <c r="Z116" s="15"/>
      <c r="AA116" s="15"/>
      <c r="AB116" s="20"/>
      <c r="AC116" s="12" t="str">
        <f>IF($A116="","",SUMIFS('Consumable Usage'!$E:$E,'Consumable Usage'!$A:$A,$A116,'Consumable Usage'!$D:$D,3))</f>
        <v/>
      </c>
      <c r="AD116" s="12" t="str">
        <f>IF($A116="","",SUMIFS('Nursing Charges'!$I:$I,'Nursing Charges'!$A:$A,$A116,'Nursing Charges'!$C:$C,3))</f>
        <v/>
      </c>
      <c r="AE116" s="12" t="str">
        <f>IF($A116="","",AB116+(AD116-SUMIFS('Nursing Charges'!$J:$J,'Nursing Charges'!$A:$A,$A116,'Nursing Charges'!$C:$C,3))+(AC116-SUMIFS('Consumable Usage'!$F:$F,'Consumable Usage'!$A:$A,$A116,'Consumable Usage'!$D:$D,3)))</f>
        <v/>
      </c>
      <c r="AF116" s="12" t="str">
        <f t="shared" si="7"/>
        <v/>
      </c>
      <c r="AG116" s="20"/>
      <c r="AH116" s="12" t="str">
        <f t="shared" si="8"/>
        <v/>
      </c>
      <c r="AI116" s="45" t="str">
        <f t="shared" si="9"/>
        <v/>
      </c>
      <c r="AJ116" s="15"/>
      <c r="AK116" s="15"/>
      <c r="AL116" s="20"/>
      <c r="AM116" s="12" t="str">
        <f>IF($A116="","",SUMIFS('Consumable Usage'!$E:$E,'Consumable Usage'!$A:$A,$A116,'Consumable Usage'!$D:$D,4))</f>
        <v/>
      </c>
      <c r="AN116" s="12" t="str">
        <f>IF($A116="","",SUMIFS('Nursing Charges'!$I:$I,'Nursing Charges'!$A:$A,$A116,'Nursing Charges'!$C:$C,4))</f>
        <v/>
      </c>
      <c r="AO116" s="12" t="str">
        <f>IF($A116="","",AL116+(AN116-SUMIFS('Nursing Charges'!$J:$J,'Nursing Charges'!$A:$A,$A116,'Nursing Charges'!$C:$C,4))+(AM116-SUMIFS('Consumable Usage'!$F:$F,'Consumable Usage'!$A:$A,$A116,'Consumable Usage'!$D:$D,4)))</f>
        <v/>
      </c>
      <c r="AP116" s="12" t="str">
        <f t="shared" si="10"/>
        <v/>
      </c>
      <c r="AQ116" s="20"/>
      <c r="AR116" s="12" t="str">
        <f t="shared" si="11"/>
        <v/>
      </c>
      <c r="AS116" s="45" t="str">
        <f t="shared" si="12"/>
        <v/>
      </c>
      <c r="AT116" s="15"/>
      <c r="AU116" s="15"/>
      <c r="AV116" s="20"/>
      <c r="AW116" s="12" t="str">
        <f>IF($A116="","",SUMIFS('Consumable Usage'!$E:$E,'Consumable Usage'!$A:$A,$A116,'Consumable Usage'!$D:$D,5))</f>
        <v/>
      </c>
      <c r="AX116" s="12" t="str">
        <f>IF($A116="","",SUMIFS('Nursing Charges'!$I:$I,'Nursing Charges'!$A:$A,$A116,'Nursing Charges'!$C:$C,5))</f>
        <v/>
      </c>
      <c r="AY116" s="12" t="str">
        <f>IF($A116="","",AV116+(AX116-SUMIFS('Nursing Charges'!$J:$J,'Nursing Charges'!$A:$A,$A116,'Nursing Charges'!$C:$C,5))+(AW116-SUMIFS('Consumable Usage'!$F:$F,'Consumable Usage'!$A:$A,$A116,'Consumable Usage'!$D:$D,5)))</f>
        <v/>
      </c>
      <c r="AZ116" s="12" t="str">
        <f t="shared" si="13"/>
        <v/>
      </c>
      <c r="BA116" s="20"/>
      <c r="BB116" s="12" t="str">
        <f t="shared" si="14"/>
        <v/>
      </c>
      <c r="BC116" s="45" t="str">
        <f t="shared" si="15"/>
        <v/>
      </c>
      <c r="BD116" s="15"/>
      <c r="BE116" s="15"/>
      <c r="BF116" s="20"/>
      <c r="BG116" s="12" t="str">
        <f>IF($A116="","",SUMIFS('Consumable Usage'!$E:$E,'Consumable Usage'!$A:$A,$A116,'Consumable Usage'!$D:$D,6))</f>
        <v/>
      </c>
      <c r="BH116" s="12" t="str">
        <f>IF($A116="","",SUMIFS('Nursing Charges'!$I:$I,'Nursing Charges'!$A:$A,$A116,'Nursing Charges'!$C:$C,6))</f>
        <v/>
      </c>
      <c r="BI116" s="12" t="str">
        <f>IF($A116="","",BF116+(BH116-SUMIFS('Nursing Charges'!$J:$J,'Nursing Charges'!$A:$A,$A116,'Nursing Charges'!$C:$C,6))+(BG116-SUMIFS('Consumable Usage'!$F:$F,'Consumable Usage'!$A:$A,$A116,'Consumable Usage'!$D:$D,6)))</f>
        <v/>
      </c>
      <c r="BJ116" s="12" t="str">
        <f t="shared" si="16"/>
        <v/>
      </c>
      <c r="BK116" s="20"/>
      <c r="BL116" s="12" t="str">
        <f t="shared" si="17"/>
        <v/>
      </c>
      <c r="BM116" s="45" t="str">
        <f t="shared" si="18"/>
        <v/>
      </c>
      <c r="BN116" s="15"/>
      <c r="BO116" s="15"/>
      <c r="BP116" s="20"/>
      <c r="BQ116" s="12" t="str">
        <f>IF($A116="","",SUMIFS('Consumable Usage'!$E:$E,'Consumable Usage'!$A:$A,$A116,'Consumable Usage'!$D:$D,7))</f>
        <v/>
      </c>
      <c r="BR116" s="12" t="str">
        <f>IF($A116="","",SUMIFS('Nursing Charges'!$I:$I,'Nursing Charges'!$A:$A,$A116,'Nursing Charges'!$C:$C,7))</f>
        <v/>
      </c>
      <c r="BS116" s="12" t="str">
        <f>IF($A116="","",BP116+(BR116-SUMIFS('Nursing Charges'!$J:$J,'Nursing Charges'!$A:$A,$A116,'Nursing Charges'!$C:$C,7))+(BQ116-SUMIFS('Consumable Usage'!$F:$F,'Consumable Usage'!$A:$A,$A116,'Consumable Usage'!$D:$D,7)))</f>
        <v/>
      </c>
      <c r="BT116" s="12" t="str">
        <f t="shared" si="19"/>
        <v/>
      </c>
      <c r="BU116" s="20"/>
      <c r="BV116" s="12" t="str">
        <f t="shared" si="20"/>
        <v/>
      </c>
      <c r="BW116" s="45" t="str">
        <f t="shared" si="21"/>
        <v/>
      </c>
      <c r="BX116" s="15"/>
      <c r="BY116" s="15"/>
      <c r="BZ116" s="20"/>
      <c r="CA116" s="12" t="str">
        <f>IF($A116="","",SUMIFS('Consumable Usage'!$E:$E,'Consumable Usage'!$A:$A,$A116,'Consumable Usage'!$D:$D,8))</f>
        <v/>
      </c>
      <c r="CB116" s="12" t="str">
        <f>IF($A116="","",SUMIFS('Nursing Charges'!$I:$I,'Nursing Charges'!$A:$A,$A116,'Nursing Charges'!$C:$C,8))</f>
        <v/>
      </c>
      <c r="CC116" s="12" t="str">
        <f>IF($A116="","",BZ116+(CB116-SUMIFS('Nursing Charges'!$J:$J,'Nursing Charges'!$A:$A,$A116,'Nursing Charges'!$C:$C,8))+(CA116-SUMIFS('Consumable Usage'!$F:$F,'Consumable Usage'!$A:$A,$A116,'Consumable Usage'!$D:$D,8)))</f>
        <v/>
      </c>
      <c r="CD116" s="12" t="str">
        <f t="shared" si="22"/>
        <v/>
      </c>
      <c r="CE116" s="20"/>
      <c r="CF116" s="12" t="str">
        <f t="shared" si="23"/>
        <v/>
      </c>
      <c r="CG116" s="45" t="str">
        <f t="shared" si="24"/>
        <v/>
      </c>
      <c r="CH116" s="15"/>
      <c r="CI116" s="15"/>
      <c r="CJ116" s="20"/>
      <c r="CK116" s="12" t="str">
        <f>IF($A116="","",SUMIFS('Consumable Usage'!$E:$E,'Consumable Usage'!$A:$A,$A116,'Consumable Usage'!$D:$D,9))</f>
        <v/>
      </c>
      <c r="CL116" s="12" t="str">
        <f>IF($A116="","",SUMIFS('Nursing Charges'!$I:$I,'Nursing Charges'!$A:$A,$A116,'Nursing Charges'!$C:$C,9))</f>
        <v/>
      </c>
      <c r="CM116" s="12" t="str">
        <f>IF($A116="","",CJ116+(CL116-SUMIFS('Nursing Charges'!$J:$J,'Nursing Charges'!$A:$A,$A116,'Nursing Charges'!$C:$C,9))+(CK116-SUMIFS('Consumable Usage'!$F:$F,'Consumable Usage'!$A:$A,$A116,'Consumable Usage'!$D:$D,9)))</f>
        <v/>
      </c>
      <c r="CN116" s="12" t="str">
        <f t="shared" si="25"/>
        <v/>
      </c>
      <c r="CO116" s="20"/>
      <c r="CP116" s="12" t="str">
        <f t="shared" si="26"/>
        <v/>
      </c>
      <c r="CQ116" s="45" t="str">
        <f t="shared" si="27"/>
        <v/>
      </c>
      <c r="CR116" s="15"/>
      <c r="CS116" s="15"/>
      <c r="CT116" s="20"/>
      <c r="CU116" s="12" t="str">
        <f>IF($A116="","",SUMIFS('Consumable Usage'!$E:$E,'Consumable Usage'!$A:$A,$A116,'Consumable Usage'!$D:$D,10))</f>
        <v/>
      </c>
      <c r="CV116" s="12" t="str">
        <f>IF($A116="","",SUMIFS('Nursing Charges'!$I:$I,'Nursing Charges'!$A:$A,$A116,'Nursing Charges'!$C:$C,10))</f>
        <v/>
      </c>
      <c r="CW116" s="12" t="str">
        <f>IF($A116="","",CT116+(CV116-SUMIFS('Nursing Charges'!$J:$J,'Nursing Charges'!$A:$A,$A116,'Nursing Charges'!$C:$C,10))+(CU116-SUMIFS('Consumable Usage'!$F:$F,'Consumable Usage'!$A:$A,$A116,'Consumable Usage'!$D:$D,10)))</f>
        <v/>
      </c>
      <c r="CX116" s="12" t="str">
        <f t="shared" si="28"/>
        <v/>
      </c>
      <c r="CY116" s="20"/>
      <c r="CZ116" s="12" t="str">
        <f t="shared" si="29"/>
        <v/>
      </c>
      <c r="DA116" s="45" t="str">
        <f t="shared" si="30"/>
        <v/>
      </c>
      <c r="DB116" s="15"/>
      <c r="DC116" s="15"/>
      <c r="DD116" s="20"/>
      <c r="DE116" s="12" t="str">
        <f>IF($A116="","",SUMIFS('Consumable Usage'!$E:$E,'Consumable Usage'!$A:$A,$A116,'Consumable Usage'!$D:$D,11))</f>
        <v/>
      </c>
      <c r="DF116" s="12" t="str">
        <f>IF($A116="","",SUMIFS('Nursing Charges'!$I:$I,'Nursing Charges'!$A:$A,$A116,'Nursing Charges'!$C:$C,11))</f>
        <v/>
      </c>
      <c r="DG116" s="12" t="str">
        <f>IF($A116="","",DD116+(DF116-SUMIFS('Nursing Charges'!$J:$J,'Nursing Charges'!$A:$A,$A116,'Nursing Charges'!$C:$C,11))+(DE116-SUMIFS('Consumable Usage'!$F:$F,'Consumable Usage'!$A:$A,$A116,'Consumable Usage'!$D:$D,11)))</f>
        <v/>
      </c>
      <c r="DH116" s="12" t="str">
        <f t="shared" si="31"/>
        <v/>
      </c>
      <c r="DI116" s="20"/>
      <c r="DJ116" s="12" t="str">
        <f t="shared" si="32"/>
        <v/>
      </c>
      <c r="DK116" s="45" t="str">
        <f t="shared" si="33"/>
        <v/>
      </c>
      <c r="DL116" s="15"/>
      <c r="DM116" s="15"/>
      <c r="DN116" s="20"/>
      <c r="DO116" s="12" t="str">
        <f>IF($A116="","",SUMIFS('Consumable Usage'!$E:$E,'Consumable Usage'!$A:$A,$A116,'Consumable Usage'!$D:$D,12))</f>
        <v/>
      </c>
      <c r="DP116" s="12" t="str">
        <f>IF($A116="","",SUMIFS('Nursing Charges'!$I:$I,'Nursing Charges'!$A:$A,$A116,'Nursing Charges'!$C:$C,12))</f>
        <v/>
      </c>
      <c r="DQ116" s="12" t="str">
        <f>IF($A116="","",DN116+(DP116-SUMIFS('Nursing Charges'!$J:$J,'Nursing Charges'!$A:$A,$A116,'Nursing Charges'!$C:$C,12))+(DO116-SUMIFS('Consumable Usage'!$F:$F,'Consumable Usage'!$A:$A,$A116,'Consumable Usage'!$D:$D,12)))</f>
        <v/>
      </c>
      <c r="DR116" s="12" t="str">
        <f t="shared" si="34"/>
        <v/>
      </c>
      <c r="DS116" s="20"/>
      <c r="DT116" s="12" t="str">
        <f t="shared" si="35"/>
        <v/>
      </c>
      <c r="DU116" s="45" t="str">
        <f t="shared" si="36"/>
        <v/>
      </c>
      <c r="DV116" s="15"/>
      <c r="DW116" s="15"/>
      <c r="DX116" s="20"/>
      <c r="DY116" s="12" t="str">
        <f>IF($A116="","",SUMIFS('Consumable Usage'!$E:$E,'Consumable Usage'!$A:$A,$A116,'Consumable Usage'!$D:$D,13))</f>
        <v/>
      </c>
      <c r="DZ116" s="12" t="str">
        <f>IF($A116="","",SUMIFS('Nursing Charges'!$I:$I,'Nursing Charges'!$A:$A,$A116,'Nursing Charges'!$C:$C,13))</f>
        <v/>
      </c>
      <c r="EA116" s="12" t="str">
        <f>IF($A116="","",DX116+(DZ116-SUMIFS('Nursing Charges'!$J:$J,'Nursing Charges'!$A:$A,$A116,'Nursing Charges'!$C:$C,13))+(DY116-SUMIFS('Consumable Usage'!$F:$F,'Consumable Usage'!$A:$A,$A116,'Consumable Usage'!$D:$D,13)))</f>
        <v/>
      </c>
      <c r="EB116" s="12" t="str">
        <f t="shared" si="37"/>
        <v/>
      </c>
      <c r="EC116" s="20"/>
      <c r="ED116" s="12" t="str">
        <f t="shared" si="38"/>
        <v/>
      </c>
      <c r="EE116" s="45" t="str">
        <f t="shared" si="39"/>
        <v/>
      </c>
      <c r="EF116" s="15"/>
      <c r="EG116" s="15"/>
      <c r="EH116" s="20"/>
      <c r="EI116" s="12" t="str">
        <f>IF($A116="","",SUMIFS('Consumable Usage'!$E:$E,'Consumable Usage'!$A:$A,$A116,'Consumable Usage'!$D:$D,14))</f>
        <v/>
      </c>
      <c r="EJ116" s="12" t="str">
        <f>IF($A116="","",SUMIFS('Nursing Charges'!$I:$I,'Nursing Charges'!$A:$A,$A116,'Nursing Charges'!$C:$C,14))</f>
        <v/>
      </c>
      <c r="EK116" s="12" t="str">
        <f>IF($A116="","",EH116+(EJ116-SUMIFS('Nursing Charges'!$J:$J,'Nursing Charges'!$A:$A,$A116,'Nursing Charges'!$C:$C,14))+(EI116-SUMIFS('Consumable Usage'!$F:$F,'Consumable Usage'!$A:$A,$A116,'Consumable Usage'!$D:$D,14)))</f>
        <v/>
      </c>
      <c r="EL116" s="12" t="str">
        <f t="shared" si="40"/>
        <v/>
      </c>
      <c r="EM116" s="20"/>
      <c r="EN116" s="12" t="str">
        <f t="shared" si="41"/>
        <v/>
      </c>
      <c r="EO116" s="45" t="str">
        <f t="shared" si="42"/>
        <v/>
      </c>
      <c r="EP116" s="15"/>
      <c r="EQ116" s="15"/>
      <c r="ER116" s="20"/>
      <c r="ES116" s="12" t="str">
        <f>IF($A116="","",SUMIFS('Consumable Usage'!$E:$E,'Consumable Usage'!$A:$A,$A116,'Consumable Usage'!$D:$D,15))</f>
        <v/>
      </c>
      <c r="ET116" s="12" t="str">
        <f>IF($A116="","",SUMIFS('Nursing Charges'!$I:$I,'Nursing Charges'!$A:$A,$A116,'Nursing Charges'!$C:$C,15))</f>
        <v/>
      </c>
      <c r="EU116" s="12" t="str">
        <f>IF($A116="","",ER116+(ET116-SUMIFS('Nursing Charges'!$J:$J,'Nursing Charges'!$A:$A,$A116,'Nursing Charges'!$C:$C,15))+(ES116-SUMIFS('Consumable Usage'!$F:$F,'Consumable Usage'!$A:$A,$A116,'Consumable Usage'!$D:$D,15)))</f>
        <v/>
      </c>
      <c r="EV116" s="12" t="str">
        <f t="shared" si="43"/>
        <v/>
      </c>
      <c r="EW116" s="20"/>
      <c r="EX116" s="12" t="str">
        <f t="shared" si="44"/>
        <v/>
      </c>
      <c r="EY116" s="45" t="str">
        <f t="shared" si="45"/>
        <v/>
      </c>
      <c r="EZ116" s="15"/>
      <c r="FA116" s="15"/>
      <c r="FB116" s="20"/>
      <c r="FC116" s="12" t="str">
        <f>IF($A116="","",SUMIFS('Consumable Usage'!$E:$E,'Consumable Usage'!$A:$A,$A116,'Consumable Usage'!$D:$D,16))</f>
        <v/>
      </c>
      <c r="FD116" s="12" t="str">
        <f>IF($A116="","",SUMIFS('Nursing Charges'!$I:$I,'Nursing Charges'!$A:$A,$A116,'Nursing Charges'!$C:$C,16))</f>
        <v/>
      </c>
      <c r="FE116" s="12" t="str">
        <f>IF($A116="","",FB116+(FD116-SUMIFS('Nursing Charges'!$J:$J,'Nursing Charges'!$A:$A,$A116,'Nursing Charges'!$C:$C,16))+(FC116-SUMIFS('Consumable Usage'!$F:$F,'Consumable Usage'!$A:$A,$A116,'Consumable Usage'!$D:$D,16)))</f>
        <v/>
      </c>
      <c r="FF116" s="12" t="str">
        <f t="shared" si="46"/>
        <v/>
      </c>
      <c r="FG116" s="20"/>
      <c r="FH116" s="12" t="str">
        <f t="shared" si="47"/>
        <v/>
      </c>
      <c r="FI116" s="45" t="str">
        <f t="shared" si="48"/>
        <v/>
      </c>
      <c r="FJ116" s="53"/>
      <c r="FK116" s="53"/>
      <c r="FL116" s="63"/>
      <c r="FM116" s="63" t="str">
        <f>IF($A116="","",SUMIFS('Consumable Usage'!$E:$E,'Consumable Usage'!$A:$A,$A116,'Consumable Usage'!$D:$D,16))</f>
        <v/>
      </c>
      <c r="FN116" s="63" t="str">
        <f>IF($A116="","",SUMIFS('Nursing Charges'!$I:$I,'Nursing Charges'!$A:$A,$A116,'Nursing Charges'!$C:$C,16))</f>
        <v/>
      </c>
      <c r="FO116" s="63" t="str">
        <f>IF($A116="","",FL116+(FN116-SUMIFS('Nursing Charges'!$J:$J,'Nursing Charges'!$A:$A,$A116,'Nursing Charges'!$C:$C,16))+(FM116-SUMIFS('Consumable Usage'!$F:$F,'Consumable Usage'!$A:$A,$A116,'Consumable Usage'!$D:$D,16)))</f>
        <v/>
      </c>
      <c r="FP116" s="63" t="str">
        <f t="shared" si="49"/>
        <v/>
      </c>
      <c r="FQ116" s="63"/>
      <c r="FR116" s="63" t="str">
        <f t="shared" si="50"/>
        <v/>
      </c>
      <c r="FS116" s="53" t="str">
        <f t="shared" si="51"/>
        <v/>
      </c>
    </row>
    <row r="117" ht="15.0" customHeight="1">
      <c r="A117" s="15"/>
      <c r="B117" s="15"/>
      <c r="C117" s="15"/>
      <c r="D117" s="15"/>
      <c r="E117" s="15"/>
      <c r="F117" s="15"/>
      <c r="G117" s="15"/>
      <c r="H117" s="20"/>
      <c r="I117" s="12" t="str">
        <f>IF($A117="","",SUMIFS('Consumable Usage'!$E:$E,'Consumable Usage'!$A:$A,$A117,'Consumable Usage'!$D:$D,1))</f>
        <v/>
      </c>
      <c r="J117" s="12" t="str">
        <f>IF($A117="","",SUMIFS('Nursing Charges'!$I:$I,'Nursing Charges'!$A:$A,$A117,'Nursing Charges'!$C:$C,1))</f>
        <v/>
      </c>
      <c r="K117" s="12" t="str">
        <f>IF($A117="","",H117+(J117-SUMIFS('Nursing Charges'!$J:$J,'Nursing Charges'!$A:$A,$A117,'Nursing Charges'!$C:$C,1))+(I117-SUMIFS('Consumable Usage'!$F:$F,'Consumable Usage'!$A:$A,$A117,'Consumable Usage'!$D:$D,1)))</f>
        <v/>
      </c>
      <c r="L117" s="12" t="str">
        <f t="shared" si="1"/>
        <v/>
      </c>
      <c r="M117" s="20"/>
      <c r="N117" s="12" t="str">
        <f t="shared" si="2"/>
        <v/>
      </c>
      <c r="O117" s="45" t="str">
        <f t="shared" si="3"/>
        <v/>
      </c>
      <c r="P117" s="15"/>
      <c r="Q117" s="15"/>
      <c r="R117" s="20"/>
      <c r="S117" s="12" t="str">
        <f>IF($A117="","",SUMIFS('Consumable Usage'!$E:$E,'Consumable Usage'!$A:$A,$A117,'Consumable Usage'!$D:$D,2))</f>
        <v/>
      </c>
      <c r="T117" s="12" t="str">
        <f>IF($A117="","",SUMIFS('Nursing Charges'!$I:$I,'Nursing Charges'!$A:$A,$A117,'Nursing Charges'!$C:$C,2))</f>
        <v/>
      </c>
      <c r="U117" s="12" t="str">
        <f>IF($A117="","",R117+(T117-SUMIFS('Nursing Charges'!$J:$J,'Nursing Charges'!$A:$A,$A117,'Nursing Charges'!$C:$C,2))+(S117-SUMIFS('Consumable Usage'!$F:$F,'Consumable Usage'!$A:$A,$A117,'Consumable Usage'!$D:$D,2)))</f>
        <v/>
      </c>
      <c r="V117" s="12" t="str">
        <f t="shared" si="4"/>
        <v/>
      </c>
      <c r="W117" s="20"/>
      <c r="X117" s="12" t="str">
        <f t="shared" si="5"/>
        <v/>
      </c>
      <c r="Y117" s="45" t="str">
        <f t="shared" si="6"/>
        <v/>
      </c>
      <c r="Z117" s="15"/>
      <c r="AA117" s="15"/>
      <c r="AB117" s="20"/>
      <c r="AC117" s="12" t="str">
        <f>IF($A117="","",SUMIFS('Consumable Usage'!$E:$E,'Consumable Usage'!$A:$A,$A117,'Consumable Usage'!$D:$D,3))</f>
        <v/>
      </c>
      <c r="AD117" s="12" t="str">
        <f>IF($A117="","",SUMIFS('Nursing Charges'!$I:$I,'Nursing Charges'!$A:$A,$A117,'Nursing Charges'!$C:$C,3))</f>
        <v/>
      </c>
      <c r="AE117" s="12" t="str">
        <f>IF($A117="","",AB117+(AD117-SUMIFS('Nursing Charges'!$J:$J,'Nursing Charges'!$A:$A,$A117,'Nursing Charges'!$C:$C,3))+(AC117-SUMIFS('Consumable Usage'!$F:$F,'Consumable Usage'!$A:$A,$A117,'Consumable Usage'!$D:$D,3)))</f>
        <v/>
      </c>
      <c r="AF117" s="12" t="str">
        <f t="shared" si="7"/>
        <v/>
      </c>
      <c r="AG117" s="20"/>
      <c r="AH117" s="12" t="str">
        <f t="shared" si="8"/>
        <v/>
      </c>
      <c r="AI117" s="45" t="str">
        <f t="shared" si="9"/>
        <v/>
      </c>
      <c r="AJ117" s="15"/>
      <c r="AK117" s="15"/>
      <c r="AL117" s="20"/>
      <c r="AM117" s="12" t="str">
        <f>IF($A117="","",SUMIFS('Consumable Usage'!$E:$E,'Consumable Usage'!$A:$A,$A117,'Consumable Usage'!$D:$D,4))</f>
        <v/>
      </c>
      <c r="AN117" s="12" t="str">
        <f>IF($A117="","",SUMIFS('Nursing Charges'!$I:$I,'Nursing Charges'!$A:$A,$A117,'Nursing Charges'!$C:$C,4))</f>
        <v/>
      </c>
      <c r="AO117" s="12" t="str">
        <f>IF($A117="","",AL117+(AN117-SUMIFS('Nursing Charges'!$J:$J,'Nursing Charges'!$A:$A,$A117,'Nursing Charges'!$C:$C,4))+(AM117-SUMIFS('Consumable Usage'!$F:$F,'Consumable Usage'!$A:$A,$A117,'Consumable Usage'!$D:$D,4)))</f>
        <v/>
      </c>
      <c r="AP117" s="12" t="str">
        <f t="shared" si="10"/>
        <v/>
      </c>
      <c r="AQ117" s="20"/>
      <c r="AR117" s="12" t="str">
        <f t="shared" si="11"/>
        <v/>
      </c>
      <c r="AS117" s="45" t="str">
        <f t="shared" si="12"/>
        <v/>
      </c>
      <c r="AT117" s="15"/>
      <c r="AU117" s="15"/>
      <c r="AV117" s="20"/>
      <c r="AW117" s="12" t="str">
        <f>IF($A117="","",SUMIFS('Consumable Usage'!$E:$E,'Consumable Usage'!$A:$A,$A117,'Consumable Usage'!$D:$D,5))</f>
        <v/>
      </c>
      <c r="AX117" s="12" t="str">
        <f>IF($A117="","",SUMIFS('Nursing Charges'!$I:$I,'Nursing Charges'!$A:$A,$A117,'Nursing Charges'!$C:$C,5))</f>
        <v/>
      </c>
      <c r="AY117" s="12" t="str">
        <f>IF($A117="","",AV117+(AX117-SUMIFS('Nursing Charges'!$J:$J,'Nursing Charges'!$A:$A,$A117,'Nursing Charges'!$C:$C,5))+(AW117-SUMIFS('Consumable Usage'!$F:$F,'Consumable Usage'!$A:$A,$A117,'Consumable Usage'!$D:$D,5)))</f>
        <v/>
      </c>
      <c r="AZ117" s="12" t="str">
        <f t="shared" si="13"/>
        <v/>
      </c>
      <c r="BA117" s="20"/>
      <c r="BB117" s="12" t="str">
        <f t="shared" si="14"/>
        <v/>
      </c>
      <c r="BC117" s="45" t="str">
        <f t="shared" si="15"/>
        <v/>
      </c>
      <c r="BD117" s="15"/>
      <c r="BE117" s="15"/>
      <c r="BF117" s="20"/>
      <c r="BG117" s="12" t="str">
        <f>IF($A117="","",SUMIFS('Consumable Usage'!$E:$E,'Consumable Usage'!$A:$A,$A117,'Consumable Usage'!$D:$D,6))</f>
        <v/>
      </c>
      <c r="BH117" s="12" t="str">
        <f>IF($A117="","",SUMIFS('Nursing Charges'!$I:$I,'Nursing Charges'!$A:$A,$A117,'Nursing Charges'!$C:$C,6))</f>
        <v/>
      </c>
      <c r="BI117" s="12" t="str">
        <f>IF($A117="","",BF117+(BH117-SUMIFS('Nursing Charges'!$J:$J,'Nursing Charges'!$A:$A,$A117,'Nursing Charges'!$C:$C,6))+(BG117-SUMIFS('Consumable Usage'!$F:$F,'Consumable Usage'!$A:$A,$A117,'Consumable Usage'!$D:$D,6)))</f>
        <v/>
      </c>
      <c r="BJ117" s="12" t="str">
        <f t="shared" si="16"/>
        <v/>
      </c>
      <c r="BK117" s="20"/>
      <c r="BL117" s="12" t="str">
        <f t="shared" si="17"/>
        <v/>
      </c>
      <c r="BM117" s="45" t="str">
        <f t="shared" si="18"/>
        <v/>
      </c>
      <c r="BN117" s="15"/>
      <c r="BO117" s="15"/>
      <c r="BP117" s="20"/>
      <c r="BQ117" s="12" t="str">
        <f>IF($A117="","",SUMIFS('Consumable Usage'!$E:$E,'Consumable Usage'!$A:$A,$A117,'Consumable Usage'!$D:$D,7))</f>
        <v/>
      </c>
      <c r="BR117" s="12" t="str">
        <f>IF($A117="","",SUMIFS('Nursing Charges'!$I:$I,'Nursing Charges'!$A:$A,$A117,'Nursing Charges'!$C:$C,7))</f>
        <v/>
      </c>
      <c r="BS117" s="12" t="str">
        <f>IF($A117="","",BP117+(BR117-SUMIFS('Nursing Charges'!$J:$J,'Nursing Charges'!$A:$A,$A117,'Nursing Charges'!$C:$C,7))+(BQ117-SUMIFS('Consumable Usage'!$F:$F,'Consumable Usage'!$A:$A,$A117,'Consumable Usage'!$D:$D,7)))</f>
        <v/>
      </c>
      <c r="BT117" s="12" t="str">
        <f t="shared" si="19"/>
        <v/>
      </c>
      <c r="BU117" s="20"/>
      <c r="BV117" s="12" t="str">
        <f t="shared" si="20"/>
        <v/>
      </c>
      <c r="BW117" s="45" t="str">
        <f t="shared" si="21"/>
        <v/>
      </c>
      <c r="BX117" s="15"/>
      <c r="BY117" s="15"/>
      <c r="BZ117" s="20"/>
      <c r="CA117" s="12" t="str">
        <f>IF($A117="","",SUMIFS('Consumable Usage'!$E:$E,'Consumable Usage'!$A:$A,$A117,'Consumable Usage'!$D:$D,8))</f>
        <v/>
      </c>
      <c r="CB117" s="12" t="str">
        <f>IF($A117="","",SUMIFS('Nursing Charges'!$I:$I,'Nursing Charges'!$A:$A,$A117,'Nursing Charges'!$C:$C,8))</f>
        <v/>
      </c>
      <c r="CC117" s="12" t="str">
        <f>IF($A117="","",BZ117+(CB117-SUMIFS('Nursing Charges'!$J:$J,'Nursing Charges'!$A:$A,$A117,'Nursing Charges'!$C:$C,8))+(CA117-SUMIFS('Consumable Usage'!$F:$F,'Consumable Usage'!$A:$A,$A117,'Consumable Usage'!$D:$D,8)))</f>
        <v/>
      </c>
      <c r="CD117" s="12" t="str">
        <f t="shared" si="22"/>
        <v/>
      </c>
      <c r="CE117" s="20"/>
      <c r="CF117" s="12" t="str">
        <f t="shared" si="23"/>
        <v/>
      </c>
      <c r="CG117" s="45" t="str">
        <f t="shared" si="24"/>
        <v/>
      </c>
      <c r="CH117" s="15"/>
      <c r="CI117" s="15"/>
      <c r="CJ117" s="20"/>
      <c r="CK117" s="12" t="str">
        <f>IF($A117="","",SUMIFS('Consumable Usage'!$E:$E,'Consumable Usage'!$A:$A,$A117,'Consumable Usage'!$D:$D,9))</f>
        <v/>
      </c>
      <c r="CL117" s="12" t="str">
        <f>IF($A117="","",SUMIFS('Nursing Charges'!$I:$I,'Nursing Charges'!$A:$A,$A117,'Nursing Charges'!$C:$C,9))</f>
        <v/>
      </c>
      <c r="CM117" s="12" t="str">
        <f>IF($A117="","",CJ117+(CL117-SUMIFS('Nursing Charges'!$J:$J,'Nursing Charges'!$A:$A,$A117,'Nursing Charges'!$C:$C,9))+(CK117-SUMIFS('Consumable Usage'!$F:$F,'Consumable Usage'!$A:$A,$A117,'Consumable Usage'!$D:$D,9)))</f>
        <v/>
      </c>
      <c r="CN117" s="12" t="str">
        <f t="shared" si="25"/>
        <v/>
      </c>
      <c r="CO117" s="20"/>
      <c r="CP117" s="12" t="str">
        <f t="shared" si="26"/>
        <v/>
      </c>
      <c r="CQ117" s="45" t="str">
        <f t="shared" si="27"/>
        <v/>
      </c>
      <c r="CR117" s="15"/>
      <c r="CS117" s="15"/>
      <c r="CT117" s="20"/>
      <c r="CU117" s="12" t="str">
        <f>IF($A117="","",SUMIFS('Consumable Usage'!$E:$E,'Consumable Usage'!$A:$A,$A117,'Consumable Usage'!$D:$D,10))</f>
        <v/>
      </c>
      <c r="CV117" s="12" t="str">
        <f>IF($A117="","",SUMIFS('Nursing Charges'!$I:$I,'Nursing Charges'!$A:$A,$A117,'Nursing Charges'!$C:$C,10))</f>
        <v/>
      </c>
      <c r="CW117" s="12" t="str">
        <f>IF($A117="","",CT117+(CV117-SUMIFS('Nursing Charges'!$J:$J,'Nursing Charges'!$A:$A,$A117,'Nursing Charges'!$C:$C,10))+(CU117-SUMIFS('Consumable Usage'!$F:$F,'Consumable Usage'!$A:$A,$A117,'Consumable Usage'!$D:$D,10)))</f>
        <v/>
      </c>
      <c r="CX117" s="12" t="str">
        <f t="shared" si="28"/>
        <v/>
      </c>
      <c r="CY117" s="20"/>
      <c r="CZ117" s="12" t="str">
        <f t="shared" si="29"/>
        <v/>
      </c>
      <c r="DA117" s="45" t="str">
        <f t="shared" si="30"/>
        <v/>
      </c>
      <c r="DB117" s="15"/>
      <c r="DC117" s="15"/>
      <c r="DD117" s="20"/>
      <c r="DE117" s="12" t="str">
        <f>IF($A117="","",SUMIFS('Consumable Usage'!$E:$E,'Consumable Usage'!$A:$A,$A117,'Consumable Usage'!$D:$D,11))</f>
        <v/>
      </c>
      <c r="DF117" s="12" t="str">
        <f>IF($A117="","",SUMIFS('Nursing Charges'!$I:$I,'Nursing Charges'!$A:$A,$A117,'Nursing Charges'!$C:$C,11))</f>
        <v/>
      </c>
      <c r="DG117" s="12" t="str">
        <f>IF($A117="","",DD117+(DF117-SUMIFS('Nursing Charges'!$J:$J,'Nursing Charges'!$A:$A,$A117,'Nursing Charges'!$C:$C,11))+(DE117-SUMIFS('Consumable Usage'!$F:$F,'Consumable Usage'!$A:$A,$A117,'Consumable Usage'!$D:$D,11)))</f>
        <v/>
      </c>
      <c r="DH117" s="12" t="str">
        <f t="shared" si="31"/>
        <v/>
      </c>
      <c r="DI117" s="20"/>
      <c r="DJ117" s="12" t="str">
        <f t="shared" si="32"/>
        <v/>
      </c>
      <c r="DK117" s="45" t="str">
        <f t="shared" si="33"/>
        <v/>
      </c>
      <c r="DL117" s="15"/>
      <c r="DM117" s="15"/>
      <c r="DN117" s="20"/>
      <c r="DO117" s="12" t="str">
        <f>IF($A117="","",SUMIFS('Consumable Usage'!$E:$E,'Consumable Usage'!$A:$A,$A117,'Consumable Usage'!$D:$D,12))</f>
        <v/>
      </c>
      <c r="DP117" s="12" t="str">
        <f>IF($A117="","",SUMIFS('Nursing Charges'!$I:$I,'Nursing Charges'!$A:$A,$A117,'Nursing Charges'!$C:$C,12))</f>
        <v/>
      </c>
      <c r="DQ117" s="12" t="str">
        <f>IF($A117="","",DN117+(DP117-SUMIFS('Nursing Charges'!$J:$J,'Nursing Charges'!$A:$A,$A117,'Nursing Charges'!$C:$C,12))+(DO117-SUMIFS('Consumable Usage'!$F:$F,'Consumable Usage'!$A:$A,$A117,'Consumable Usage'!$D:$D,12)))</f>
        <v/>
      </c>
      <c r="DR117" s="12" t="str">
        <f t="shared" si="34"/>
        <v/>
      </c>
      <c r="DS117" s="20"/>
      <c r="DT117" s="12" t="str">
        <f t="shared" si="35"/>
        <v/>
      </c>
      <c r="DU117" s="45" t="str">
        <f t="shared" si="36"/>
        <v/>
      </c>
      <c r="DV117" s="15"/>
      <c r="DW117" s="15"/>
      <c r="DX117" s="20"/>
      <c r="DY117" s="12" t="str">
        <f>IF($A117="","",SUMIFS('Consumable Usage'!$E:$E,'Consumable Usage'!$A:$A,$A117,'Consumable Usage'!$D:$D,13))</f>
        <v/>
      </c>
      <c r="DZ117" s="12" t="str">
        <f>IF($A117="","",SUMIFS('Nursing Charges'!$I:$I,'Nursing Charges'!$A:$A,$A117,'Nursing Charges'!$C:$C,13))</f>
        <v/>
      </c>
      <c r="EA117" s="12" t="str">
        <f>IF($A117="","",DX117+(DZ117-SUMIFS('Nursing Charges'!$J:$J,'Nursing Charges'!$A:$A,$A117,'Nursing Charges'!$C:$C,13))+(DY117-SUMIFS('Consumable Usage'!$F:$F,'Consumable Usage'!$A:$A,$A117,'Consumable Usage'!$D:$D,13)))</f>
        <v/>
      </c>
      <c r="EB117" s="12" t="str">
        <f t="shared" si="37"/>
        <v/>
      </c>
      <c r="EC117" s="20"/>
      <c r="ED117" s="12" t="str">
        <f t="shared" si="38"/>
        <v/>
      </c>
      <c r="EE117" s="45" t="str">
        <f t="shared" si="39"/>
        <v/>
      </c>
      <c r="EF117" s="15"/>
      <c r="EG117" s="15"/>
      <c r="EH117" s="20"/>
      <c r="EI117" s="12" t="str">
        <f>IF($A117="","",SUMIFS('Consumable Usage'!$E:$E,'Consumable Usage'!$A:$A,$A117,'Consumable Usage'!$D:$D,14))</f>
        <v/>
      </c>
      <c r="EJ117" s="12" t="str">
        <f>IF($A117="","",SUMIFS('Nursing Charges'!$I:$I,'Nursing Charges'!$A:$A,$A117,'Nursing Charges'!$C:$C,14))</f>
        <v/>
      </c>
      <c r="EK117" s="12" t="str">
        <f>IF($A117="","",EH117+(EJ117-SUMIFS('Nursing Charges'!$J:$J,'Nursing Charges'!$A:$A,$A117,'Nursing Charges'!$C:$C,14))+(EI117-SUMIFS('Consumable Usage'!$F:$F,'Consumable Usage'!$A:$A,$A117,'Consumable Usage'!$D:$D,14)))</f>
        <v/>
      </c>
      <c r="EL117" s="12" t="str">
        <f t="shared" si="40"/>
        <v/>
      </c>
      <c r="EM117" s="20"/>
      <c r="EN117" s="12" t="str">
        <f t="shared" si="41"/>
        <v/>
      </c>
      <c r="EO117" s="45" t="str">
        <f t="shared" si="42"/>
        <v/>
      </c>
      <c r="EP117" s="15"/>
      <c r="EQ117" s="15"/>
      <c r="ER117" s="20"/>
      <c r="ES117" s="12" t="str">
        <f>IF($A117="","",SUMIFS('Consumable Usage'!$E:$E,'Consumable Usage'!$A:$A,$A117,'Consumable Usage'!$D:$D,15))</f>
        <v/>
      </c>
      <c r="ET117" s="12" t="str">
        <f>IF($A117="","",SUMIFS('Nursing Charges'!$I:$I,'Nursing Charges'!$A:$A,$A117,'Nursing Charges'!$C:$C,15))</f>
        <v/>
      </c>
      <c r="EU117" s="12" t="str">
        <f>IF($A117="","",ER117+(ET117-SUMIFS('Nursing Charges'!$J:$J,'Nursing Charges'!$A:$A,$A117,'Nursing Charges'!$C:$C,15))+(ES117-SUMIFS('Consumable Usage'!$F:$F,'Consumable Usage'!$A:$A,$A117,'Consumable Usage'!$D:$D,15)))</f>
        <v/>
      </c>
      <c r="EV117" s="12" t="str">
        <f t="shared" si="43"/>
        <v/>
      </c>
      <c r="EW117" s="20"/>
      <c r="EX117" s="12" t="str">
        <f t="shared" si="44"/>
        <v/>
      </c>
      <c r="EY117" s="45" t="str">
        <f t="shared" si="45"/>
        <v/>
      </c>
      <c r="EZ117" s="15"/>
      <c r="FA117" s="15"/>
      <c r="FB117" s="20"/>
      <c r="FC117" s="12" t="str">
        <f>IF($A117="","",SUMIFS('Consumable Usage'!$E:$E,'Consumable Usage'!$A:$A,$A117,'Consumable Usage'!$D:$D,16))</f>
        <v/>
      </c>
      <c r="FD117" s="12" t="str">
        <f>IF($A117="","",SUMIFS('Nursing Charges'!$I:$I,'Nursing Charges'!$A:$A,$A117,'Nursing Charges'!$C:$C,16))</f>
        <v/>
      </c>
      <c r="FE117" s="12" t="str">
        <f>IF($A117="","",FB117+(FD117-SUMIFS('Nursing Charges'!$J:$J,'Nursing Charges'!$A:$A,$A117,'Nursing Charges'!$C:$C,16))+(FC117-SUMIFS('Consumable Usage'!$F:$F,'Consumable Usage'!$A:$A,$A117,'Consumable Usage'!$D:$D,16)))</f>
        <v/>
      </c>
      <c r="FF117" s="12" t="str">
        <f t="shared" si="46"/>
        <v/>
      </c>
      <c r="FG117" s="20"/>
      <c r="FH117" s="12" t="str">
        <f t="shared" si="47"/>
        <v/>
      </c>
      <c r="FI117" s="45" t="str">
        <f t="shared" si="48"/>
        <v/>
      </c>
      <c r="FJ117" s="53"/>
      <c r="FK117" s="53"/>
      <c r="FL117" s="63"/>
      <c r="FM117" s="63" t="str">
        <f>IF($A117="","",SUMIFS('Consumable Usage'!$E:$E,'Consumable Usage'!$A:$A,$A117,'Consumable Usage'!$D:$D,16))</f>
        <v/>
      </c>
      <c r="FN117" s="63" t="str">
        <f>IF($A117="","",SUMIFS('Nursing Charges'!$I:$I,'Nursing Charges'!$A:$A,$A117,'Nursing Charges'!$C:$C,16))</f>
        <v/>
      </c>
      <c r="FO117" s="63" t="str">
        <f>IF($A117="","",FL117+(FN117-SUMIFS('Nursing Charges'!$J:$J,'Nursing Charges'!$A:$A,$A117,'Nursing Charges'!$C:$C,16))+(FM117-SUMIFS('Consumable Usage'!$F:$F,'Consumable Usage'!$A:$A,$A117,'Consumable Usage'!$D:$D,16)))</f>
        <v/>
      </c>
      <c r="FP117" s="63" t="str">
        <f t="shared" si="49"/>
        <v/>
      </c>
      <c r="FQ117" s="63"/>
      <c r="FR117" s="63" t="str">
        <f t="shared" si="50"/>
        <v/>
      </c>
      <c r="FS117" s="53" t="str">
        <f t="shared" si="51"/>
        <v/>
      </c>
    </row>
    <row r="118" ht="15.0" customHeight="1">
      <c r="A118" s="15"/>
      <c r="B118" s="15"/>
      <c r="C118" s="15"/>
      <c r="D118" s="15"/>
      <c r="E118" s="15"/>
      <c r="F118" s="15"/>
      <c r="G118" s="15"/>
      <c r="H118" s="20"/>
      <c r="I118" s="12" t="str">
        <f>IF($A118="","",SUMIFS('Consumable Usage'!$E:$E,'Consumable Usage'!$A:$A,$A118,'Consumable Usage'!$D:$D,1))</f>
        <v/>
      </c>
      <c r="J118" s="12" t="str">
        <f>IF($A118="","",SUMIFS('Nursing Charges'!$I:$I,'Nursing Charges'!$A:$A,$A118,'Nursing Charges'!$C:$C,1))</f>
        <v/>
      </c>
      <c r="K118" s="12" t="str">
        <f>IF($A118="","",H118+(J118-SUMIFS('Nursing Charges'!$J:$J,'Nursing Charges'!$A:$A,$A118,'Nursing Charges'!$C:$C,1))+(I118-SUMIFS('Consumable Usage'!$F:$F,'Consumable Usage'!$A:$A,$A118,'Consumable Usage'!$D:$D,1)))</f>
        <v/>
      </c>
      <c r="L118" s="12" t="str">
        <f t="shared" si="1"/>
        <v/>
      </c>
      <c r="M118" s="20"/>
      <c r="N118" s="12" t="str">
        <f t="shared" si="2"/>
        <v/>
      </c>
      <c r="O118" s="45" t="str">
        <f t="shared" si="3"/>
        <v/>
      </c>
      <c r="P118" s="15"/>
      <c r="Q118" s="15"/>
      <c r="R118" s="20"/>
      <c r="S118" s="12" t="str">
        <f>IF($A118="","",SUMIFS('Consumable Usage'!$E:$E,'Consumable Usage'!$A:$A,$A118,'Consumable Usage'!$D:$D,2))</f>
        <v/>
      </c>
      <c r="T118" s="12" t="str">
        <f>IF($A118="","",SUMIFS('Nursing Charges'!$I:$I,'Nursing Charges'!$A:$A,$A118,'Nursing Charges'!$C:$C,2))</f>
        <v/>
      </c>
      <c r="U118" s="12" t="str">
        <f>IF($A118="","",R118+(T118-SUMIFS('Nursing Charges'!$J:$J,'Nursing Charges'!$A:$A,$A118,'Nursing Charges'!$C:$C,2))+(S118-SUMIFS('Consumable Usage'!$F:$F,'Consumable Usage'!$A:$A,$A118,'Consumable Usage'!$D:$D,2)))</f>
        <v/>
      </c>
      <c r="V118" s="12" t="str">
        <f t="shared" si="4"/>
        <v/>
      </c>
      <c r="W118" s="20"/>
      <c r="X118" s="12" t="str">
        <f t="shared" si="5"/>
        <v/>
      </c>
      <c r="Y118" s="45" t="str">
        <f t="shared" si="6"/>
        <v/>
      </c>
      <c r="Z118" s="15"/>
      <c r="AA118" s="15"/>
      <c r="AB118" s="20"/>
      <c r="AC118" s="12" t="str">
        <f>IF($A118="","",SUMIFS('Consumable Usage'!$E:$E,'Consumable Usage'!$A:$A,$A118,'Consumable Usage'!$D:$D,3))</f>
        <v/>
      </c>
      <c r="AD118" s="12" t="str">
        <f>IF($A118="","",SUMIFS('Nursing Charges'!$I:$I,'Nursing Charges'!$A:$A,$A118,'Nursing Charges'!$C:$C,3))</f>
        <v/>
      </c>
      <c r="AE118" s="12" t="str">
        <f>IF($A118="","",AB118+(AD118-SUMIFS('Nursing Charges'!$J:$J,'Nursing Charges'!$A:$A,$A118,'Nursing Charges'!$C:$C,3))+(AC118-SUMIFS('Consumable Usage'!$F:$F,'Consumable Usage'!$A:$A,$A118,'Consumable Usage'!$D:$D,3)))</f>
        <v/>
      </c>
      <c r="AF118" s="12" t="str">
        <f t="shared" si="7"/>
        <v/>
      </c>
      <c r="AG118" s="20"/>
      <c r="AH118" s="12" t="str">
        <f t="shared" si="8"/>
        <v/>
      </c>
      <c r="AI118" s="45" t="str">
        <f t="shared" si="9"/>
        <v/>
      </c>
      <c r="AJ118" s="15"/>
      <c r="AK118" s="15"/>
      <c r="AL118" s="20"/>
      <c r="AM118" s="12" t="str">
        <f>IF($A118="","",SUMIFS('Consumable Usage'!$E:$E,'Consumable Usage'!$A:$A,$A118,'Consumable Usage'!$D:$D,4))</f>
        <v/>
      </c>
      <c r="AN118" s="12" t="str">
        <f>IF($A118="","",SUMIFS('Nursing Charges'!$I:$I,'Nursing Charges'!$A:$A,$A118,'Nursing Charges'!$C:$C,4))</f>
        <v/>
      </c>
      <c r="AO118" s="12" t="str">
        <f>IF($A118="","",AL118+(AN118-SUMIFS('Nursing Charges'!$J:$J,'Nursing Charges'!$A:$A,$A118,'Nursing Charges'!$C:$C,4))+(AM118-SUMIFS('Consumable Usage'!$F:$F,'Consumable Usage'!$A:$A,$A118,'Consumable Usage'!$D:$D,4)))</f>
        <v/>
      </c>
      <c r="AP118" s="12" t="str">
        <f t="shared" si="10"/>
        <v/>
      </c>
      <c r="AQ118" s="20"/>
      <c r="AR118" s="12" t="str">
        <f t="shared" si="11"/>
        <v/>
      </c>
      <c r="AS118" s="45" t="str">
        <f t="shared" si="12"/>
        <v/>
      </c>
      <c r="AT118" s="15"/>
      <c r="AU118" s="15"/>
      <c r="AV118" s="20"/>
      <c r="AW118" s="12" t="str">
        <f>IF($A118="","",SUMIFS('Consumable Usage'!$E:$E,'Consumable Usage'!$A:$A,$A118,'Consumable Usage'!$D:$D,5))</f>
        <v/>
      </c>
      <c r="AX118" s="12" t="str">
        <f>IF($A118="","",SUMIFS('Nursing Charges'!$I:$I,'Nursing Charges'!$A:$A,$A118,'Nursing Charges'!$C:$C,5))</f>
        <v/>
      </c>
      <c r="AY118" s="12" t="str">
        <f>IF($A118="","",AV118+(AX118-SUMIFS('Nursing Charges'!$J:$J,'Nursing Charges'!$A:$A,$A118,'Nursing Charges'!$C:$C,5))+(AW118-SUMIFS('Consumable Usage'!$F:$F,'Consumable Usage'!$A:$A,$A118,'Consumable Usage'!$D:$D,5)))</f>
        <v/>
      </c>
      <c r="AZ118" s="12" t="str">
        <f t="shared" si="13"/>
        <v/>
      </c>
      <c r="BA118" s="20"/>
      <c r="BB118" s="12" t="str">
        <f t="shared" si="14"/>
        <v/>
      </c>
      <c r="BC118" s="45" t="str">
        <f t="shared" si="15"/>
        <v/>
      </c>
      <c r="BD118" s="15"/>
      <c r="BE118" s="15"/>
      <c r="BF118" s="20"/>
      <c r="BG118" s="12" t="str">
        <f>IF($A118="","",SUMIFS('Consumable Usage'!$E:$E,'Consumable Usage'!$A:$A,$A118,'Consumable Usage'!$D:$D,6))</f>
        <v/>
      </c>
      <c r="BH118" s="12" t="str">
        <f>IF($A118="","",SUMIFS('Nursing Charges'!$I:$I,'Nursing Charges'!$A:$A,$A118,'Nursing Charges'!$C:$C,6))</f>
        <v/>
      </c>
      <c r="BI118" s="12" t="str">
        <f>IF($A118="","",BF118+(BH118-SUMIFS('Nursing Charges'!$J:$J,'Nursing Charges'!$A:$A,$A118,'Nursing Charges'!$C:$C,6))+(BG118-SUMIFS('Consumable Usage'!$F:$F,'Consumable Usage'!$A:$A,$A118,'Consumable Usage'!$D:$D,6)))</f>
        <v/>
      </c>
      <c r="BJ118" s="12" t="str">
        <f t="shared" si="16"/>
        <v/>
      </c>
      <c r="BK118" s="20"/>
      <c r="BL118" s="12" t="str">
        <f t="shared" si="17"/>
        <v/>
      </c>
      <c r="BM118" s="45" t="str">
        <f t="shared" si="18"/>
        <v/>
      </c>
      <c r="BN118" s="15"/>
      <c r="BO118" s="15"/>
      <c r="BP118" s="20"/>
      <c r="BQ118" s="12" t="str">
        <f>IF($A118="","",SUMIFS('Consumable Usage'!$E:$E,'Consumable Usage'!$A:$A,$A118,'Consumable Usage'!$D:$D,7))</f>
        <v/>
      </c>
      <c r="BR118" s="12" t="str">
        <f>IF($A118="","",SUMIFS('Nursing Charges'!$I:$I,'Nursing Charges'!$A:$A,$A118,'Nursing Charges'!$C:$C,7))</f>
        <v/>
      </c>
      <c r="BS118" s="12" t="str">
        <f>IF($A118="","",BP118+(BR118-SUMIFS('Nursing Charges'!$J:$J,'Nursing Charges'!$A:$A,$A118,'Nursing Charges'!$C:$C,7))+(BQ118-SUMIFS('Consumable Usage'!$F:$F,'Consumable Usage'!$A:$A,$A118,'Consumable Usage'!$D:$D,7)))</f>
        <v/>
      </c>
      <c r="BT118" s="12" t="str">
        <f t="shared" si="19"/>
        <v/>
      </c>
      <c r="BU118" s="20"/>
      <c r="BV118" s="12" t="str">
        <f t="shared" si="20"/>
        <v/>
      </c>
      <c r="BW118" s="45" t="str">
        <f t="shared" si="21"/>
        <v/>
      </c>
      <c r="BX118" s="15"/>
      <c r="BY118" s="15"/>
      <c r="BZ118" s="20"/>
      <c r="CA118" s="12" t="str">
        <f>IF($A118="","",SUMIFS('Consumable Usage'!$E:$E,'Consumable Usage'!$A:$A,$A118,'Consumable Usage'!$D:$D,8))</f>
        <v/>
      </c>
      <c r="CB118" s="12" t="str">
        <f>IF($A118="","",SUMIFS('Nursing Charges'!$I:$I,'Nursing Charges'!$A:$A,$A118,'Nursing Charges'!$C:$C,8))</f>
        <v/>
      </c>
      <c r="CC118" s="12" t="str">
        <f>IF($A118="","",BZ118+(CB118-SUMIFS('Nursing Charges'!$J:$J,'Nursing Charges'!$A:$A,$A118,'Nursing Charges'!$C:$C,8))+(CA118-SUMIFS('Consumable Usage'!$F:$F,'Consumable Usage'!$A:$A,$A118,'Consumable Usage'!$D:$D,8)))</f>
        <v/>
      </c>
      <c r="CD118" s="12" t="str">
        <f t="shared" si="22"/>
        <v/>
      </c>
      <c r="CE118" s="20"/>
      <c r="CF118" s="12" t="str">
        <f t="shared" si="23"/>
        <v/>
      </c>
      <c r="CG118" s="45" t="str">
        <f t="shared" si="24"/>
        <v/>
      </c>
      <c r="CH118" s="15"/>
      <c r="CI118" s="15"/>
      <c r="CJ118" s="20"/>
      <c r="CK118" s="12" t="str">
        <f>IF($A118="","",SUMIFS('Consumable Usage'!$E:$E,'Consumable Usage'!$A:$A,$A118,'Consumable Usage'!$D:$D,9))</f>
        <v/>
      </c>
      <c r="CL118" s="12" t="str">
        <f>IF($A118="","",SUMIFS('Nursing Charges'!$I:$I,'Nursing Charges'!$A:$A,$A118,'Nursing Charges'!$C:$C,9))</f>
        <v/>
      </c>
      <c r="CM118" s="12" t="str">
        <f>IF($A118="","",CJ118+(CL118-SUMIFS('Nursing Charges'!$J:$J,'Nursing Charges'!$A:$A,$A118,'Nursing Charges'!$C:$C,9))+(CK118-SUMIFS('Consumable Usage'!$F:$F,'Consumable Usage'!$A:$A,$A118,'Consumable Usage'!$D:$D,9)))</f>
        <v/>
      </c>
      <c r="CN118" s="12" t="str">
        <f t="shared" si="25"/>
        <v/>
      </c>
      <c r="CO118" s="20"/>
      <c r="CP118" s="12" t="str">
        <f t="shared" si="26"/>
        <v/>
      </c>
      <c r="CQ118" s="45" t="str">
        <f t="shared" si="27"/>
        <v/>
      </c>
      <c r="CR118" s="15"/>
      <c r="CS118" s="15"/>
      <c r="CT118" s="20"/>
      <c r="CU118" s="12" t="str">
        <f>IF($A118="","",SUMIFS('Consumable Usage'!$E:$E,'Consumable Usage'!$A:$A,$A118,'Consumable Usage'!$D:$D,10))</f>
        <v/>
      </c>
      <c r="CV118" s="12" t="str">
        <f>IF($A118="","",SUMIFS('Nursing Charges'!$I:$I,'Nursing Charges'!$A:$A,$A118,'Nursing Charges'!$C:$C,10))</f>
        <v/>
      </c>
      <c r="CW118" s="12" t="str">
        <f>IF($A118="","",CT118+(CV118-SUMIFS('Nursing Charges'!$J:$J,'Nursing Charges'!$A:$A,$A118,'Nursing Charges'!$C:$C,10))+(CU118-SUMIFS('Consumable Usage'!$F:$F,'Consumable Usage'!$A:$A,$A118,'Consumable Usage'!$D:$D,10)))</f>
        <v/>
      </c>
      <c r="CX118" s="12" t="str">
        <f t="shared" si="28"/>
        <v/>
      </c>
      <c r="CY118" s="20"/>
      <c r="CZ118" s="12" t="str">
        <f t="shared" si="29"/>
        <v/>
      </c>
      <c r="DA118" s="45" t="str">
        <f t="shared" si="30"/>
        <v/>
      </c>
      <c r="DB118" s="15"/>
      <c r="DC118" s="15"/>
      <c r="DD118" s="20"/>
      <c r="DE118" s="12" t="str">
        <f>IF($A118="","",SUMIFS('Consumable Usage'!$E:$E,'Consumable Usage'!$A:$A,$A118,'Consumable Usage'!$D:$D,11))</f>
        <v/>
      </c>
      <c r="DF118" s="12" t="str">
        <f>IF($A118="","",SUMIFS('Nursing Charges'!$I:$I,'Nursing Charges'!$A:$A,$A118,'Nursing Charges'!$C:$C,11))</f>
        <v/>
      </c>
      <c r="DG118" s="12" t="str">
        <f>IF($A118="","",DD118+(DF118-SUMIFS('Nursing Charges'!$J:$J,'Nursing Charges'!$A:$A,$A118,'Nursing Charges'!$C:$C,11))+(DE118-SUMIFS('Consumable Usage'!$F:$F,'Consumable Usage'!$A:$A,$A118,'Consumable Usage'!$D:$D,11)))</f>
        <v/>
      </c>
      <c r="DH118" s="12" t="str">
        <f t="shared" si="31"/>
        <v/>
      </c>
      <c r="DI118" s="20"/>
      <c r="DJ118" s="12" t="str">
        <f t="shared" si="32"/>
        <v/>
      </c>
      <c r="DK118" s="45" t="str">
        <f t="shared" si="33"/>
        <v/>
      </c>
      <c r="DL118" s="15"/>
      <c r="DM118" s="15"/>
      <c r="DN118" s="20"/>
      <c r="DO118" s="12" t="str">
        <f>IF($A118="","",SUMIFS('Consumable Usage'!$E:$E,'Consumable Usage'!$A:$A,$A118,'Consumable Usage'!$D:$D,12))</f>
        <v/>
      </c>
      <c r="DP118" s="12" t="str">
        <f>IF($A118="","",SUMIFS('Nursing Charges'!$I:$I,'Nursing Charges'!$A:$A,$A118,'Nursing Charges'!$C:$C,12))</f>
        <v/>
      </c>
      <c r="DQ118" s="12" t="str">
        <f>IF($A118="","",DN118+(DP118-SUMIFS('Nursing Charges'!$J:$J,'Nursing Charges'!$A:$A,$A118,'Nursing Charges'!$C:$C,12))+(DO118-SUMIFS('Consumable Usage'!$F:$F,'Consumable Usage'!$A:$A,$A118,'Consumable Usage'!$D:$D,12)))</f>
        <v/>
      </c>
      <c r="DR118" s="12" t="str">
        <f t="shared" si="34"/>
        <v/>
      </c>
      <c r="DS118" s="20"/>
      <c r="DT118" s="12" t="str">
        <f t="shared" si="35"/>
        <v/>
      </c>
      <c r="DU118" s="45" t="str">
        <f t="shared" si="36"/>
        <v/>
      </c>
      <c r="DV118" s="15"/>
      <c r="DW118" s="15"/>
      <c r="DX118" s="20"/>
      <c r="DY118" s="12" t="str">
        <f>IF($A118="","",SUMIFS('Consumable Usage'!$E:$E,'Consumable Usage'!$A:$A,$A118,'Consumable Usage'!$D:$D,13))</f>
        <v/>
      </c>
      <c r="DZ118" s="12" t="str">
        <f>IF($A118="","",SUMIFS('Nursing Charges'!$I:$I,'Nursing Charges'!$A:$A,$A118,'Nursing Charges'!$C:$C,13))</f>
        <v/>
      </c>
      <c r="EA118" s="12" t="str">
        <f>IF($A118="","",DX118+(DZ118-SUMIFS('Nursing Charges'!$J:$J,'Nursing Charges'!$A:$A,$A118,'Nursing Charges'!$C:$C,13))+(DY118-SUMIFS('Consumable Usage'!$F:$F,'Consumable Usage'!$A:$A,$A118,'Consumable Usage'!$D:$D,13)))</f>
        <v/>
      </c>
      <c r="EB118" s="12" t="str">
        <f t="shared" si="37"/>
        <v/>
      </c>
      <c r="EC118" s="20"/>
      <c r="ED118" s="12" t="str">
        <f t="shared" si="38"/>
        <v/>
      </c>
      <c r="EE118" s="45" t="str">
        <f t="shared" si="39"/>
        <v/>
      </c>
      <c r="EF118" s="15"/>
      <c r="EG118" s="15"/>
      <c r="EH118" s="20"/>
      <c r="EI118" s="12" t="str">
        <f>IF($A118="","",SUMIFS('Consumable Usage'!$E:$E,'Consumable Usage'!$A:$A,$A118,'Consumable Usage'!$D:$D,14))</f>
        <v/>
      </c>
      <c r="EJ118" s="12" t="str">
        <f>IF($A118="","",SUMIFS('Nursing Charges'!$I:$I,'Nursing Charges'!$A:$A,$A118,'Nursing Charges'!$C:$C,14))</f>
        <v/>
      </c>
      <c r="EK118" s="12" t="str">
        <f>IF($A118="","",EH118+(EJ118-SUMIFS('Nursing Charges'!$J:$J,'Nursing Charges'!$A:$A,$A118,'Nursing Charges'!$C:$C,14))+(EI118-SUMIFS('Consumable Usage'!$F:$F,'Consumable Usage'!$A:$A,$A118,'Consumable Usage'!$D:$D,14)))</f>
        <v/>
      </c>
      <c r="EL118" s="12" t="str">
        <f t="shared" si="40"/>
        <v/>
      </c>
      <c r="EM118" s="20"/>
      <c r="EN118" s="12" t="str">
        <f t="shared" si="41"/>
        <v/>
      </c>
      <c r="EO118" s="45" t="str">
        <f t="shared" si="42"/>
        <v/>
      </c>
      <c r="EP118" s="15"/>
      <c r="EQ118" s="15"/>
      <c r="ER118" s="20"/>
      <c r="ES118" s="12" t="str">
        <f>IF($A118="","",SUMIFS('Consumable Usage'!$E:$E,'Consumable Usage'!$A:$A,$A118,'Consumable Usage'!$D:$D,15))</f>
        <v/>
      </c>
      <c r="ET118" s="12" t="str">
        <f>IF($A118="","",SUMIFS('Nursing Charges'!$I:$I,'Nursing Charges'!$A:$A,$A118,'Nursing Charges'!$C:$C,15))</f>
        <v/>
      </c>
      <c r="EU118" s="12" t="str">
        <f>IF($A118="","",ER118+(ET118-SUMIFS('Nursing Charges'!$J:$J,'Nursing Charges'!$A:$A,$A118,'Nursing Charges'!$C:$C,15))+(ES118-SUMIFS('Consumable Usage'!$F:$F,'Consumable Usage'!$A:$A,$A118,'Consumable Usage'!$D:$D,15)))</f>
        <v/>
      </c>
      <c r="EV118" s="12" t="str">
        <f t="shared" si="43"/>
        <v/>
      </c>
      <c r="EW118" s="20"/>
      <c r="EX118" s="12" t="str">
        <f t="shared" si="44"/>
        <v/>
      </c>
      <c r="EY118" s="45" t="str">
        <f t="shared" si="45"/>
        <v/>
      </c>
      <c r="EZ118" s="15"/>
      <c r="FA118" s="15"/>
      <c r="FB118" s="20"/>
      <c r="FC118" s="12" t="str">
        <f>IF($A118="","",SUMIFS('Consumable Usage'!$E:$E,'Consumable Usage'!$A:$A,$A118,'Consumable Usage'!$D:$D,16))</f>
        <v/>
      </c>
      <c r="FD118" s="12" t="str">
        <f>IF($A118="","",SUMIFS('Nursing Charges'!$I:$I,'Nursing Charges'!$A:$A,$A118,'Nursing Charges'!$C:$C,16))</f>
        <v/>
      </c>
      <c r="FE118" s="12" t="str">
        <f>IF($A118="","",FB118+(FD118-SUMIFS('Nursing Charges'!$J:$J,'Nursing Charges'!$A:$A,$A118,'Nursing Charges'!$C:$C,16))+(FC118-SUMIFS('Consumable Usage'!$F:$F,'Consumable Usage'!$A:$A,$A118,'Consumable Usage'!$D:$D,16)))</f>
        <v/>
      </c>
      <c r="FF118" s="12" t="str">
        <f t="shared" si="46"/>
        <v/>
      </c>
      <c r="FG118" s="20"/>
      <c r="FH118" s="12" t="str">
        <f t="shared" si="47"/>
        <v/>
      </c>
      <c r="FI118" s="45" t="str">
        <f t="shared" si="48"/>
        <v/>
      </c>
      <c r="FJ118" s="53"/>
      <c r="FK118" s="53"/>
      <c r="FL118" s="63"/>
      <c r="FM118" s="63" t="str">
        <f>IF($A118="","",SUMIFS('Consumable Usage'!$E:$E,'Consumable Usage'!$A:$A,$A118,'Consumable Usage'!$D:$D,16))</f>
        <v/>
      </c>
      <c r="FN118" s="63" t="str">
        <f>IF($A118="","",SUMIFS('Nursing Charges'!$I:$I,'Nursing Charges'!$A:$A,$A118,'Nursing Charges'!$C:$C,16))</f>
        <v/>
      </c>
      <c r="FO118" s="63" t="str">
        <f>IF($A118="","",FL118+(FN118-SUMIFS('Nursing Charges'!$J:$J,'Nursing Charges'!$A:$A,$A118,'Nursing Charges'!$C:$C,16))+(FM118-SUMIFS('Consumable Usage'!$F:$F,'Consumable Usage'!$A:$A,$A118,'Consumable Usage'!$D:$D,16)))</f>
        <v/>
      </c>
      <c r="FP118" s="63" t="str">
        <f t="shared" si="49"/>
        <v/>
      </c>
      <c r="FQ118" s="63"/>
      <c r="FR118" s="63" t="str">
        <f t="shared" si="50"/>
        <v/>
      </c>
      <c r="FS118" s="53" t="str">
        <f t="shared" si="51"/>
        <v/>
      </c>
    </row>
    <row r="119" ht="15.0" customHeight="1">
      <c r="A119" s="15"/>
      <c r="B119" s="15"/>
      <c r="C119" s="15"/>
      <c r="D119" s="15"/>
      <c r="E119" s="15"/>
      <c r="F119" s="15"/>
      <c r="G119" s="15"/>
      <c r="H119" s="20"/>
      <c r="I119" s="12" t="str">
        <f>IF($A119="","",SUMIFS('Consumable Usage'!$E:$E,'Consumable Usage'!$A:$A,$A119,'Consumable Usage'!$D:$D,1))</f>
        <v/>
      </c>
      <c r="J119" s="12" t="str">
        <f>IF($A119="","",SUMIFS('Nursing Charges'!$I:$I,'Nursing Charges'!$A:$A,$A119,'Nursing Charges'!$C:$C,1))</f>
        <v/>
      </c>
      <c r="K119" s="12" t="str">
        <f>IF($A119="","",H119+(J119-SUMIFS('Nursing Charges'!$J:$J,'Nursing Charges'!$A:$A,$A119,'Nursing Charges'!$C:$C,1))+(I119-SUMIFS('Consumable Usage'!$F:$F,'Consumable Usage'!$A:$A,$A119,'Consumable Usage'!$D:$D,1)))</f>
        <v/>
      </c>
      <c r="L119" s="12" t="str">
        <f t="shared" si="1"/>
        <v/>
      </c>
      <c r="M119" s="20"/>
      <c r="N119" s="12" t="str">
        <f t="shared" si="2"/>
        <v/>
      </c>
      <c r="O119" s="45" t="str">
        <f t="shared" si="3"/>
        <v/>
      </c>
      <c r="P119" s="15"/>
      <c r="Q119" s="15"/>
      <c r="R119" s="20"/>
      <c r="S119" s="12" t="str">
        <f>IF($A119="","",SUMIFS('Consumable Usage'!$E:$E,'Consumable Usage'!$A:$A,$A119,'Consumable Usage'!$D:$D,2))</f>
        <v/>
      </c>
      <c r="T119" s="12" t="str">
        <f>IF($A119="","",SUMIFS('Nursing Charges'!$I:$I,'Nursing Charges'!$A:$A,$A119,'Nursing Charges'!$C:$C,2))</f>
        <v/>
      </c>
      <c r="U119" s="12" t="str">
        <f>IF($A119="","",R119+(T119-SUMIFS('Nursing Charges'!$J:$J,'Nursing Charges'!$A:$A,$A119,'Nursing Charges'!$C:$C,2))+(S119-SUMIFS('Consumable Usage'!$F:$F,'Consumable Usage'!$A:$A,$A119,'Consumable Usage'!$D:$D,2)))</f>
        <v/>
      </c>
      <c r="V119" s="12" t="str">
        <f t="shared" si="4"/>
        <v/>
      </c>
      <c r="W119" s="20"/>
      <c r="X119" s="12" t="str">
        <f t="shared" si="5"/>
        <v/>
      </c>
      <c r="Y119" s="45" t="str">
        <f t="shared" si="6"/>
        <v/>
      </c>
      <c r="Z119" s="15"/>
      <c r="AA119" s="15"/>
      <c r="AB119" s="20"/>
      <c r="AC119" s="12" t="str">
        <f>IF($A119="","",SUMIFS('Consumable Usage'!$E:$E,'Consumable Usage'!$A:$A,$A119,'Consumable Usage'!$D:$D,3))</f>
        <v/>
      </c>
      <c r="AD119" s="12" t="str">
        <f>IF($A119="","",SUMIFS('Nursing Charges'!$I:$I,'Nursing Charges'!$A:$A,$A119,'Nursing Charges'!$C:$C,3))</f>
        <v/>
      </c>
      <c r="AE119" s="12" t="str">
        <f>IF($A119="","",AB119+(AD119-SUMIFS('Nursing Charges'!$J:$J,'Nursing Charges'!$A:$A,$A119,'Nursing Charges'!$C:$C,3))+(AC119-SUMIFS('Consumable Usage'!$F:$F,'Consumable Usage'!$A:$A,$A119,'Consumable Usage'!$D:$D,3)))</f>
        <v/>
      </c>
      <c r="AF119" s="12" t="str">
        <f t="shared" si="7"/>
        <v/>
      </c>
      <c r="AG119" s="20"/>
      <c r="AH119" s="12" t="str">
        <f t="shared" si="8"/>
        <v/>
      </c>
      <c r="AI119" s="45" t="str">
        <f t="shared" si="9"/>
        <v/>
      </c>
      <c r="AJ119" s="15"/>
      <c r="AK119" s="15"/>
      <c r="AL119" s="20"/>
      <c r="AM119" s="12" t="str">
        <f>IF($A119="","",SUMIFS('Consumable Usage'!$E:$E,'Consumable Usage'!$A:$A,$A119,'Consumable Usage'!$D:$D,4))</f>
        <v/>
      </c>
      <c r="AN119" s="12" t="str">
        <f>IF($A119="","",SUMIFS('Nursing Charges'!$I:$I,'Nursing Charges'!$A:$A,$A119,'Nursing Charges'!$C:$C,4))</f>
        <v/>
      </c>
      <c r="AO119" s="12" t="str">
        <f>IF($A119="","",AL119+(AN119-SUMIFS('Nursing Charges'!$J:$J,'Nursing Charges'!$A:$A,$A119,'Nursing Charges'!$C:$C,4))+(AM119-SUMIFS('Consumable Usage'!$F:$F,'Consumable Usage'!$A:$A,$A119,'Consumable Usage'!$D:$D,4)))</f>
        <v/>
      </c>
      <c r="AP119" s="12" t="str">
        <f t="shared" si="10"/>
        <v/>
      </c>
      <c r="AQ119" s="20"/>
      <c r="AR119" s="12" t="str">
        <f t="shared" si="11"/>
        <v/>
      </c>
      <c r="AS119" s="45" t="str">
        <f t="shared" si="12"/>
        <v/>
      </c>
      <c r="AT119" s="15"/>
      <c r="AU119" s="15"/>
      <c r="AV119" s="20"/>
      <c r="AW119" s="12" t="str">
        <f>IF($A119="","",SUMIFS('Consumable Usage'!$E:$E,'Consumable Usage'!$A:$A,$A119,'Consumable Usage'!$D:$D,5))</f>
        <v/>
      </c>
      <c r="AX119" s="12" t="str">
        <f>IF($A119="","",SUMIFS('Nursing Charges'!$I:$I,'Nursing Charges'!$A:$A,$A119,'Nursing Charges'!$C:$C,5))</f>
        <v/>
      </c>
      <c r="AY119" s="12" t="str">
        <f>IF($A119="","",AV119+(AX119-SUMIFS('Nursing Charges'!$J:$J,'Nursing Charges'!$A:$A,$A119,'Nursing Charges'!$C:$C,5))+(AW119-SUMIFS('Consumable Usage'!$F:$F,'Consumable Usage'!$A:$A,$A119,'Consumable Usage'!$D:$D,5)))</f>
        <v/>
      </c>
      <c r="AZ119" s="12" t="str">
        <f t="shared" si="13"/>
        <v/>
      </c>
      <c r="BA119" s="20"/>
      <c r="BB119" s="12" t="str">
        <f t="shared" si="14"/>
        <v/>
      </c>
      <c r="BC119" s="45" t="str">
        <f t="shared" si="15"/>
        <v/>
      </c>
      <c r="BD119" s="15"/>
      <c r="BE119" s="15"/>
      <c r="BF119" s="20"/>
      <c r="BG119" s="12" t="str">
        <f>IF($A119="","",SUMIFS('Consumable Usage'!$E:$E,'Consumable Usage'!$A:$A,$A119,'Consumable Usage'!$D:$D,6))</f>
        <v/>
      </c>
      <c r="BH119" s="12" t="str">
        <f>IF($A119="","",SUMIFS('Nursing Charges'!$I:$I,'Nursing Charges'!$A:$A,$A119,'Nursing Charges'!$C:$C,6))</f>
        <v/>
      </c>
      <c r="BI119" s="12" t="str">
        <f>IF($A119="","",BF119+(BH119-SUMIFS('Nursing Charges'!$J:$J,'Nursing Charges'!$A:$A,$A119,'Nursing Charges'!$C:$C,6))+(BG119-SUMIFS('Consumable Usage'!$F:$F,'Consumable Usage'!$A:$A,$A119,'Consumable Usage'!$D:$D,6)))</f>
        <v/>
      </c>
      <c r="BJ119" s="12" t="str">
        <f t="shared" si="16"/>
        <v/>
      </c>
      <c r="BK119" s="20"/>
      <c r="BL119" s="12" t="str">
        <f t="shared" si="17"/>
        <v/>
      </c>
      <c r="BM119" s="45" t="str">
        <f t="shared" si="18"/>
        <v/>
      </c>
      <c r="BN119" s="15"/>
      <c r="BO119" s="15"/>
      <c r="BP119" s="20"/>
      <c r="BQ119" s="12" t="str">
        <f>IF($A119="","",SUMIFS('Consumable Usage'!$E:$E,'Consumable Usage'!$A:$A,$A119,'Consumable Usage'!$D:$D,7))</f>
        <v/>
      </c>
      <c r="BR119" s="12" t="str">
        <f>IF($A119="","",SUMIFS('Nursing Charges'!$I:$I,'Nursing Charges'!$A:$A,$A119,'Nursing Charges'!$C:$C,7))</f>
        <v/>
      </c>
      <c r="BS119" s="12" t="str">
        <f>IF($A119="","",BP119+(BR119-SUMIFS('Nursing Charges'!$J:$J,'Nursing Charges'!$A:$A,$A119,'Nursing Charges'!$C:$C,7))+(BQ119-SUMIFS('Consumable Usage'!$F:$F,'Consumable Usage'!$A:$A,$A119,'Consumable Usage'!$D:$D,7)))</f>
        <v/>
      </c>
      <c r="BT119" s="12" t="str">
        <f t="shared" si="19"/>
        <v/>
      </c>
      <c r="BU119" s="20"/>
      <c r="BV119" s="12" t="str">
        <f t="shared" si="20"/>
        <v/>
      </c>
      <c r="BW119" s="45" t="str">
        <f t="shared" si="21"/>
        <v/>
      </c>
      <c r="BX119" s="15"/>
      <c r="BY119" s="15"/>
      <c r="BZ119" s="20"/>
      <c r="CA119" s="12" t="str">
        <f>IF($A119="","",SUMIFS('Consumable Usage'!$E:$E,'Consumable Usage'!$A:$A,$A119,'Consumable Usage'!$D:$D,8))</f>
        <v/>
      </c>
      <c r="CB119" s="12" t="str">
        <f>IF($A119="","",SUMIFS('Nursing Charges'!$I:$I,'Nursing Charges'!$A:$A,$A119,'Nursing Charges'!$C:$C,8))</f>
        <v/>
      </c>
      <c r="CC119" s="12" t="str">
        <f>IF($A119="","",BZ119+(CB119-SUMIFS('Nursing Charges'!$J:$J,'Nursing Charges'!$A:$A,$A119,'Nursing Charges'!$C:$C,8))+(CA119-SUMIFS('Consumable Usage'!$F:$F,'Consumable Usage'!$A:$A,$A119,'Consumable Usage'!$D:$D,8)))</f>
        <v/>
      </c>
      <c r="CD119" s="12" t="str">
        <f t="shared" si="22"/>
        <v/>
      </c>
      <c r="CE119" s="20"/>
      <c r="CF119" s="12" t="str">
        <f t="shared" si="23"/>
        <v/>
      </c>
      <c r="CG119" s="45" t="str">
        <f t="shared" si="24"/>
        <v/>
      </c>
      <c r="CH119" s="15"/>
      <c r="CI119" s="15"/>
      <c r="CJ119" s="20"/>
      <c r="CK119" s="12" t="str">
        <f>IF($A119="","",SUMIFS('Consumable Usage'!$E:$E,'Consumable Usage'!$A:$A,$A119,'Consumable Usage'!$D:$D,9))</f>
        <v/>
      </c>
      <c r="CL119" s="12" t="str">
        <f>IF($A119="","",SUMIFS('Nursing Charges'!$I:$I,'Nursing Charges'!$A:$A,$A119,'Nursing Charges'!$C:$C,9))</f>
        <v/>
      </c>
      <c r="CM119" s="12" t="str">
        <f>IF($A119="","",CJ119+(CL119-SUMIFS('Nursing Charges'!$J:$J,'Nursing Charges'!$A:$A,$A119,'Nursing Charges'!$C:$C,9))+(CK119-SUMIFS('Consumable Usage'!$F:$F,'Consumable Usage'!$A:$A,$A119,'Consumable Usage'!$D:$D,9)))</f>
        <v/>
      </c>
      <c r="CN119" s="12" t="str">
        <f t="shared" si="25"/>
        <v/>
      </c>
      <c r="CO119" s="20"/>
      <c r="CP119" s="12" t="str">
        <f t="shared" si="26"/>
        <v/>
      </c>
      <c r="CQ119" s="45" t="str">
        <f t="shared" si="27"/>
        <v/>
      </c>
      <c r="CR119" s="15"/>
      <c r="CS119" s="15"/>
      <c r="CT119" s="20"/>
      <c r="CU119" s="12" t="str">
        <f>IF($A119="","",SUMIFS('Consumable Usage'!$E:$E,'Consumable Usage'!$A:$A,$A119,'Consumable Usage'!$D:$D,10))</f>
        <v/>
      </c>
      <c r="CV119" s="12" t="str">
        <f>IF($A119="","",SUMIFS('Nursing Charges'!$I:$I,'Nursing Charges'!$A:$A,$A119,'Nursing Charges'!$C:$C,10))</f>
        <v/>
      </c>
      <c r="CW119" s="12" t="str">
        <f>IF($A119="","",CT119+(CV119-SUMIFS('Nursing Charges'!$J:$J,'Nursing Charges'!$A:$A,$A119,'Nursing Charges'!$C:$C,10))+(CU119-SUMIFS('Consumable Usage'!$F:$F,'Consumable Usage'!$A:$A,$A119,'Consumable Usage'!$D:$D,10)))</f>
        <v/>
      </c>
      <c r="CX119" s="12" t="str">
        <f t="shared" si="28"/>
        <v/>
      </c>
      <c r="CY119" s="20"/>
      <c r="CZ119" s="12" t="str">
        <f t="shared" si="29"/>
        <v/>
      </c>
      <c r="DA119" s="45" t="str">
        <f t="shared" si="30"/>
        <v/>
      </c>
      <c r="DB119" s="15"/>
      <c r="DC119" s="15"/>
      <c r="DD119" s="20"/>
      <c r="DE119" s="12" t="str">
        <f>IF($A119="","",SUMIFS('Consumable Usage'!$E:$E,'Consumable Usage'!$A:$A,$A119,'Consumable Usage'!$D:$D,11))</f>
        <v/>
      </c>
      <c r="DF119" s="12" t="str">
        <f>IF($A119="","",SUMIFS('Nursing Charges'!$I:$I,'Nursing Charges'!$A:$A,$A119,'Nursing Charges'!$C:$C,11))</f>
        <v/>
      </c>
      <c r="DG119" s="12" t="str">
        <f>IF($A119="","",DD119+(DF119-SUMIFS('Nursing Charges'!$J:$J,'Nursing Charges'!$A:$A,$A119,'Nursing Charges'!$C:$C,11))+(DE119-SUMIFS('Consumable Usage'!$F:$F,'Consumable Usage'!$A:$A,$A119,'Consumable Usage'!$D:$D,11)))</f>
        <v/>
      </c>
      <c r="DH119" s="12" t="str">
        <f t="shared" si="31"/>
        <v/>
      </c>
      <c r="DI119" s="20"/>
      <c r="DJ119" s="12" t="str">
        <f t="shared" si="32"/>
        <v/>
      </c>
      <c r="DK119" s="45" t="str">
        <f t="shared" si="33"/>
        <v/>
      </c>
      <c r="DL119" s="15"/>
      <c r="DM119" s="15"/>
      <c r="DN119" s="20"/>
      <c r="DO119" s="12" t="str">
        <f>IF($A119="","",SUMIFS('Consumable Usage'!$E:$E,'Consumable Usage'!$A:$A,$A119,'Consumable Usage'!$D:$D,12))</f>
        <v/>
      </c>
      <c r="DP119" s="12" t="str">
        <f>IF($A119="","",SUMIFS('Nursing Charges'!$I:$I,'Nursing Charges'!$A:$A,$A119,'Nursing Charges'!$C:$C,12))</f>
        <v/>
      </c>
      <c r="DQ119" s="12" t="str">
        <f>IF($A119="","",DN119+(DP119-SUMIFS('Nursing Charges'!$J:$J,'Nursing Charges'!$A:$A,$A119,'Nursing Charges'!$C:$C,12))+(DO119-SUMIFS('Consumable Usage'!$F:$F,'Consumable Usage'!$A:$A,$A119,'Consumable Usage'!$D:$D,12)))</f>
        <v/>
      </c>
      <c r="DR119" s="12" t="str">
        <f t="shared" si="34"/>
        <v/>
      </c>
      <c r="DS119" s="20"/>
      <c r="DT119" s="12" t="str">
        <f t="shared" si="35"/>
        <v/>
      </c>
      <c r="DU119" s="45" t="str">
        <f t="shared" si="36"/>
        <v/>
      </c>
      <c r="DV119" s="15"/>
      <c r="DW119" s="15"/>
      <c r="DX119" s="20"/>
      <c r="DY119" s="12" t="str">
        <f>IF($A119="","",SUMIFS('Consumable Usage'!$E:$E,'Consumable Usage'!$A:$A,$A119,'Consumable Usage'!$D:$D,13))</f>
        <v/>
      </c>
      <c r="DZ119" s="12" t="str">
        <f>IF($A119="","",SUMIFS('Nursing Charges'!$I:$I,'Nursing Charges'!$A:$A,$A119,'Nursing Charges'!$C:$C,13))</f>
        <v/>
      </c>
      <c r="EA119" s="12" t="str">
        <f>IF($A119="","",DX119+(DZ119-SUMIFS('Nursing Charges'!$J:$J,'Nursing Charges'!$A:$A,$A119,'Nursing Charges'!$C:$C,13))+(DY119-SUMIFS('Consumable Usage'!$F:$F,'Consumable Usage'!$A:$A,$A119,'Consumable Usage'!$D:$D,13)))</f>
        <v/>
      </c>
      <c r="EB119" s="12" t="str">
        <f t="shared" si="37"/>
        <v/>
      </c>
      <c r="EC119" s="20"/>
      <c r="ED119" s="12" t="str">
        <f t="shared" si="38"/>
        <v/>
      </c>
      <c r="EE119" s="45" t="str">
        <f t="shared" si="39"/>
        <v/>
      </c>
      <c r="EF119" s="15"/>
      <c r="EG119" s="15"/>
      <c r="EH119" s="20"/>
      <c r="EI119" s="12" t="str">
        <f>IF($A119="","",SUMIFS('Consumable Usage'!$E:$E,'Consumable Usage'!$A:$A,$A119,'Consumable Usage'!$D:$D,14))</f>
        <v/>
      </c>
      <c r="EJ119" s="12" t="str">
        <f>IF($A119="","",SUMIFS('Nursing Charges'!$I:$I,'Nursing Charges'!$A:$A,$A119,'Nursing Charges'!$C:$C,14))</f>
        <v/>
      </c>
      <c r="EK119" s="12" t="str">
        <f>IF($A119="","",EH119+(EJ119-SUMIFS('Nursing Charges'!$J:$J,'Nursing Charges'!$A:$A,$A119,'Nursing Charges'!$C:$C,14))+(EI119-SUMIFS('Consumable Usage'!$F:$F,'Consumable Usage'!$A:$A,$A119,'Consumable Usage'!$D:$D,14)))</f>
        <v/>
      </c>
      <c r="EL119" s="12" t="str">
        <f t="shared" si="40"/>
        <v/>
      </c>
      <c r="EM119" s="20"/>
      <c r="EN119" s="12" t="str">
        <f t="shared" si="41"/>
        <v/>
      </c>
      <c r="EO119" s="45" t="str">
        <f t="shared" si="42"/>
        <v/>
      </c>
      <c r="EP119" s="15"/>
      <c r="EQ119" s="15"/>
      <c r="ER119" s="20"/>
      <c r="ES119" s="12" t="str">
        <f>IF($A119="","",SUMIFS('Consumable Usage'!$E:$E,'Consumable Usage'!$A:$A,$A119,'Consumable Usage'!$D:$D,15))</f>
        <v/>
      </c>
      <c r="ET119" s="12" t="str">
        <f>IF($A119="","",SUMIFS('Nursing Charges'!$I:$I,'Nursing Charges'!$A:$A,$A119,'Nursing Charges'!$C:$C,15))</f>
        <v/>
      </c>
      <c r="EU119" s="12" t="str">
        <f>IF($A119="","",ER119+(ET119-SUMIFS('Nursing Charges'!$J:$J,'Nursing Charges'!$A:$A,$A119,'Nursing Charges'!$C:$C,15))+(ES119-SUMIFS('Consumable Usage'!$F:$F,'Consumable Usage'!$A:$A,$A119,'Consumable Usage'!$D:$D,15)))</f>
        <v/>
      </c>
      <c r="EV119" s="12" t="str">
        <f t="shared" si="43"/>
        <v/>
      </c>
      <c r="EW119" s="20"/>
      <c r="EX119" s="12" t="str">
        <f t="shared" si="44"/>
        <v/>
      </c>
      <c r="EY119" s="45" t="str">
        <f t="shared" si="45"/>
        <v/>
      </c>
      <c r="EZ119" s="15"/>
      <c r="FA119" s="15"/>
      <c r="FB119" s="20"/>
      <c r="FC119" s="12" t="str">
        <f>IF($A119="","",SUMIFS('Consumable Usage'!$E:$E,'Consumable Usage'!$A:$A,$A119,'Consumable Usage'!$D:$D,16))</f>
        <v/>
      </c>
      <c r="FD119" s="12" t="str">
        <f>IF($A119="","",SUMIFS('Nursing Charges'!$I:$I,'Nursing Charges'!$A:$A,$A119,'Nursing Charges'!$C:$C,16))</f>
        <v/>
      </c>
      <c r="FE119" s="12" t="str">
        <f>IF($A119="","",FB119+(FD119-SUMIFS('Nursing Charges'!$J:$J,'Nursing Charges'!$A:$A,$A119,'Nursing Charges'!$C:$C,16))+(FC119-SUMIFS('Consumable Usage'!$F:$F,'Consumable Usage'!$A:$A,$A119,'Consumable Usage'!$D:$D,16)))</f>
        <v/>
      </c>
      <c r="FF119" s="12" t="str">
        <f t="shared" si="46"/>
        <v/>
      </c>
      <c r="FG119" s="20"/>
      <c r="FH119" s="12" t="str">
        <f t="shared" si="47"/>
        <v/>
      </c>
      <c r="FI119" s="45" t="str">
        <f t="shared" si="48"/>
        <v/>
      </c>
      <c r="FJ119" s="53"/>
      <c r="FK119" s="53"/>
      <c r="FL119" s="63"/>
      <c r="FM119" s="63" t="str">
        <f>IF($A119="","",SUMIFS('Consumable Usage'!$E:$E,'Consumable Usage'!$A:$A,$A119,'Consumable Usage'!$D:$D,16))</f>
        <v/>
      </c>
      <c r="FN119" s="63" t="str">
        <f>IF($A119="","",SUMIFS('Nursing Charges'!$I:$I,'Nursing Charges'!$A:$A,$A119,'Nursing Charges'!$C:$C,16))</f>
        <v/>
      </c>
      <c r="FO119" s="63" t="str">
        <f>IF($A119="","",FL119+(FN119-SUMIFS('Nursing Charges'!$J:$J,'Nursing Charges'!$A:$A,$A119,'Nursing Charges'!$C:$C,16))+(FM119-SUMIFS('Consumable Usage'!$F:$F,'Consumable Usage'!$A:$A,$A119,'Consumable Usage'!$D:$D,16)))</f>
        <v/>
      </c>
      <c r="FP119" s="63" t="str">
        <f t="shared" si="49"/>
        <v/>
      </c>
      <c r="FQ119" s="63"/>
      <c r="FR119" s="63" t="str">
        <f t="shared" si="50"/>
        <v/>
      </c>
      <c r="FS119" s="53" t="str">
        <f t="shared" si="51"/>
        <v/>
      </c>
    </row>
    <row r="120" ht="15.0" customHeight="1">
      <c r="A120" s="15"/>
      <c r="B120" s="15"/>
      <c r="C120" s="15"/>
      <c r="D120" s="15"/>
      <c r="E120" s="15"/>
      <c r="F120" s="15"/>
      <c r="G120" s="15"/>
      <c r="H120" s="20"/>
      <c r="I120" s="12" t="str">
        <f>IF($A120="","",SUMIFS('Consumable Usage'!$E:$E,'Consumable Usage'!$A:$A,$A120,'Consumable Usage'!$D:$D,1))</f>
        <v/>
      </c>
      <c r="J120" s="12" t="str">
        <f>IF($A120="","",SUMIFS('Nursing Charges'!$I:$I,'Nursing Charges'!$A:$A,$A120,'Nursing Charges'!$C:$C,1))</f>
        <v/>
      </c>
      <c r="K120" s="12" t="str">
        <f>IF($A120="","",H120+(J120-SUMIFS('Nursing Charges'!$J:$J,'Nursing Charges'!$A:$A,$A120,'Nursing Charges'!$C:$C,1))+(I120-SUMIFS('Consumable Usage'!$F:$F,'Consumable Usage'!$A:$A,$A120,'Consumable Usage'!$D:$D,1)))</f>
        <v/>
      </c>
      <c r="L120" s="12" t="str">
        <f t="shared" si="1"/>
        <v/>
      </c>
      <c r="M120" s="20"/>
      <c r="N120" s="12" t="str">
        <f t="shared" si="2"/>
        <v/>
      </c>
      <c r="O120" s="45" t="str">
        <f t="shared" si="3"/>
        <v/>
      </c>
      <c r="P120" s="15"/>
      <c r="Q120" s="15"/>
      <c r="R120" s="20"/>
      <c r="S120" s="12" t="str">
        <f>IF($A120="","",SUMIFS('Consumable Usage'!$E:$E,'Consumable Usage'!$A:$A,$A120,'Consumable Usage'!$D:$D,2))</f>
        <v/>
      </c>
      <c r="T120" s="12" t="str">
        <f>IF($A120="","",SUMIFS('Nursing Charges'!$I:$I,'Nursing Charges'!$A:$A,$A120,'Nursing Charges'!$C:$C,2))</f>
        <v/>
      </c>
      <c r="U120" s="12" t="str">
        <f>IF($A120="","",R120+(T120-SUMIFS('Nursing Charges'!$J:$J,'Nursing Charges'!$A:$A,$A120,'Nursing Charges'!$C:$C,2))+(S120-SUMIFS('Consumable Usage'!$F:$F,'Consumable Usage'!$A:$A,$A120,'Consumable Usage'!$D:$D,2)))</f>
        <v/>
      </c>
      <c r="V120" s="12" t="str">
        <f t="shared" si="4"/>
        <v/>
      </c>
      <c r="W120" s="20"/>
      <c r="X120" s="12" t="str">
        <f t="shared" si="5"/>
        <v/>
      </c>
      <c r="Y120" s="45" t="str">
        <f t="shared" si="6"/>
        <v/>
      </c>
      <c r="Z120" s="15"/>
      <c r="AA120" s="15"/>
      <c r="AB120" s="20"/>
      <c r="AC120" s="12" t="str">
        <f>IF($A120="","",SUMIFS('Consumable Usage'!$E:$E,'Consumable Usage'!$A:$A,$A120,'Consumable Usage'!$D:$D,3))</f>
        <v/>
      </c>
      <c r="AD120" s="12" t="str">
        <f>IF($A120="","",SUMIFS('Nursing Charges'!$I:$I,'Nursing Charges'!$A:$A,$A120,'Nursing Charges'!$C:$C,3))</f>
        <v/>
      </c>
      <c r="AE120" s="12" t="str">
        <f>IF($A120="","",AB120+(AD120-SUMIFS('Nursing Charges'!$J:$J,'Nursing Charges'!$A:$A,$A120,'Nursing Charges'!$C:$C,3))+(AC120-SUMIFS('Consumable Usage'!$F:$F,'Consumable Usage'!$A:$A,$A120,'Consumable Usage'!$D:$D,3)))</f>
        <v/>
      </c>
      <c r="AF120" s="12" t="str">
        <f t="shared" si="7"/>
        <v/>
      </c>
      <c r="AG120" s="20"/>
      <c r="AH120" s="12" t="str">
        <f t="shared" si="8"/>
        <v/>
      </c>
      <c r="AI120" s="45" t="str">
        <f t="shared" si="9"/>
        <v/>
      </c>
      <c r="AJ120" s="15"/>
      <c r="AK120" s="15"/>
      <c r="AL120" s="20"/>
      <c r="AM120" s="12" t="str">
        <f>IF($A120="","",SUMIFS('Consumable Usage'!$E:$E,'Consumable Usage'!$A:$A,$A120,'Consumable Usage'!$D:$D,4))</f>
        <v/>
      </c>
      <c r="AN120" s="12" t="str">
        <f>IF($A120="","",SUMIFS('Nursing Charges'!$I:$I,'Nursing Charges'!$A:$A,$A120,'Nursing Charges'!$C:$C,4))</f>
        <v/>
      </c>
      <c r="AO120" s="12" t="str">
        <f>IF($A120="","",AL120+(AN120-SUMIFS('Nursing Charges'!$J:$J,'Nursing Charges'!$A:$A,$A120,'Nursing Charges'!$C:$C,4))+(AM120-SUMIFS('Consumable Usage'!$F:$F,'Consumable Usage'!$A:$A,$A120,'Consumable Usage'!$D:$D,4)))</f>
        <v/>
      </c>
      <c r="AP120" s="12" t="str">
        <f t="shared" si="10"/>
        <v/>
      </c>
      <c r="AQ120" s="20"/>
      <c r="AR120" s="12" t="str">
        <f t="shared" si="11"/>
        <v/>
      </c>
      <c r="AS120" s="45" t="str">
        <f t="shared" si="12"/>
        <v/>
      </c>
      <c r="AT120" s="15"/>
      <c r="AU120" s="15"/>
      <c r="AV120" s="20"/>
      <c r="AW120" s="12" t="str">
        <f>IF($A120="","",SUMIFS('Consumable Usage'!$E:$E,'Consumable Usage'!$A:$A,$A120,'Consumable Usage'!$D:$D,5))</f>
        <v/>
      </c>
      <c r="AX120" s="12" t="str">
        <f>IF($A120="","",SUMIFS('Nursing Charges'!$I:$I,'Nursing Charges'!$A:$A,$A120,'Nursing Charges'!$C:$C,5))</f>
        <v/>
      </c>
      <c r="AY120" s="12" t="str">
        <f>IF($A120="","",AV120+(AX120-SUMIFS('Nursing Charges'!$J:$J,'Nursing Charges'!$A:$A,$A120,'Nursing Charges'!$C:$C,5))+(AW120-SUMIFS('Consumable Usage'!$F:$F,'Consumable Usage'!$A:$A,$A120,'Consumable Usage'!$D:$D,5)))</f>
        <v/>
      </c>
      <c r="AZ120" s="12" t="str">
        <f t="shared" si="13"/>
        <v/>
      </c>
      <c r="BA120" s="20"/>
      <c r="BB120" s="12" t="str">
        <f t="shared" si="14"/>
        <v/>
      </c>
      <c r="BC120" s="45" t="str">
        <f t="shared" si="15"/>
        <v/>
      </c>
      <c r="BD120" s="15"/>
      <c r="BE120" s="15"/>
      <c r="BF120" s="20"/>
      <c r="BG120" s="12" t="str">
        <f>IF($A120="","",SUMIFS('Consumable Usage'!$E:$E,'Consumable Usage'!$A:$A,$A120,'Consumable Usage'!$D:$D,6))</f>
        <v/>
      </c>
      <c r="BH120" s="12" t="str">
        <f>IF($A120="","",SUMIFS('Nursing Charges'!$I:$I,'Nursing Charges'!$A:$A,$A120,'Nursing Charges'!$C:$C,6))</f>
        <v/>
      </c>
      <c r="BI120" s="12" t="str">
        <f>IF($A120="","",BF120+(BH120-SUMIFS('Nursing Charges'!$J:$J,'Nursing Charges'!$A:$A,$A120,'Nursing Charges'!$C:$C,6))+(BG120-SUMIFS('Consumable Usage'!$F:$F,'Consumable Usage'!$A:$A,$A120,'Consumable Usage'!$D:$D,6)))</f>
        <v/>
      </c>
      <c r="BJ120" s="12" t="str">
        <f t="shared" si="16"/>
        <v/>
      </c>
      <c r="BK120" s="20"/>
      <c r="BL120" s="12" t="str">
        <f t="shared" si="17"/>
        <v/>
      </c>
      <c r="BM120" s="45" t="str">
        <f t="shared" si="18"/>
        <v/>
      </c>
      <c r="BN120" s="15"/>
      <c r="BO120" s="15"/>
      <c r="BP120" s="20"/>
      <c r="BQ120" s="12" t="str">
        <f>IF($A120="","",SUMIFS('Consumable Usage'!$E:$E,'Consumable Usage'!$A:$A,$A120,'Consumable Usage'!$D:$D,7))</f>
        <v/>
      </c>
      <c r="BR120" s="12" t="str">
        <f>IF($A120="","",SUMIFS('Nursing Charges'!$I:$I,'Nursing Charges'!$A:$A,$A120,'Nursing Charges'!$C:$C,7))</f>
        <v/>
      </c>
      <c r="BS120" s="12" t="str">
        <f>IF($A120="","",BP120+(BR120-SUMIFS('Nursing Charges'!$J:$J,'Nursing Charges'!$A:$A,$A120,'Nursing Charges'!$C:$C,7))+(BQ120-SUMIFS('Consumable Usage'!$F:$F,'Consumable Usage'!$A:$A,$A120,'Consumable Usage'!$D:$D,7)))</f>
        <v/>
      </c>
      <c r="BT120" s="12" t="str">
        <f t="shared" si="19"/>
        <v/>
      </c>
      <c r="BU120" s="20"/>
      <c r="BV120" s="12" t="str">
        <f t="shared" si="20"/>
        <v/>
      </c>
      <c r="BW120" s="45" t="str">
        <f t="shared" si="21"/>
        <v/>
      </c>
      <c r="BX120" s="15"/>
      <c r="BY120" s="15"/>
      <c r="BZ120" s="20"/>
      <c r="CA120" s="12" t="str">
        <f>IF($A120="","",SUMIFS('Consumable Usage'!$E:$E,'Consumable Usage'!$A:$A,$A120,'Consumable Usage'!$D:$D,8))</f>
        <v/>
      </c>
      <c r="CB120" s="12" t="str">
        <f>IF($A120="","",SUMIFS('Nursing Charges'!$I:$I,'Nursing Charges'!$A:$A,$A120,'Nursing Charges'!$C:$C,8))</f>
        <v/>
      </c>
      <c r="CC120" s="12" t="str">
        <f>IF($A120="","",BZ120+(CB120-SUMIFS('Nursing Charges'!$J:$J,'Nursing Charges'!$A:$A,$A120,'Nursing Charges'!$C:$C,8))+(CA120-SUMIFS('Consumable Usage'!$F:$F,'Consumable Usage'!$A:$A,$A120,'Consumable Usage'!$D:$D,8)))</f>
        <v/>
      </c>
      <c r="CD120" s="12" t="str">
        <f t="shared" si="22"/>
        <v/>
      </c>
      <c r="CE120" s="20"/>
      <c r="CF120" s="12" t="str">
        <f t="shared" si="23"/>
        <v/>
      </c>
      <c r="CG120" s="45" t="str">
        <f t="shared" si="24"/>
        <v/>
      </c>
      <c r="CH120" s="15"/>
      <c r="CI120" s="15"/>
      <c r="CJ120" s="20"/>
      <c r="CK120" s="12" t="str">
        <f>IF($A120="","",SUMIFS('Consumable Usage'!$E:$E,'Consumable Usage'!$A:$A,$A120,'Consumable Usage'!$D:$D,9))</f>
        <v/>
      </c>
      <c r="CL120" s="12" t="str">
        <f>IF($A120="","",SUMIFS('Nursing Charges'!$I:$I,'Nursing Charges'!$A:$A,$A120,'Nursing Charges'!$C:$C,9))</f>
        <v/>
      </c>
      <c r="CM120" s="12" t="str">
        <f>IF($A120="","",CJ120+(CL120-SUMIFS('Nursing Charges'!$J:$J,'Nursing Charges'!$A:$A,$A120,'Nursing Charges'!$C:$C,9))+(CK120-SUMIFS('Consumable Usage'!$F:$F,'Consumable Usage'!$A:$A,$A120,'Consumable Usage'!$D:$D,9)))</f>
        <v/>
      </c>
      <c r="CN120" s="12" t="str">
        <f t="shared" si="25"/>
        <v/>
      </c>
      <c r="CO120" s="20"/>
      <c r="CP120" s="12" t="str">
        <f t="shared" si="26"/>
        <v/>
      </c>
      <c r="CQ120" s="45" t="str">
        <f t="shared" si="27"/>
        <v/>
      </c>
      <c r="CR120" s="15"/>
      <c r="CS120" s="15"/>
      <c r="CT120" s="20"/>
      <c r="CU120" s="12" t="str">
        <f>IF($A120="","",SUMIFS('Consumable Usage'!$E:$E,'Consumable Usage'!$A:$A,$A120,'Consumable Usage'!$D:$D,10))</f>
        <v/>
      </c>
      <c r="CV120" s="12" t="str">
        <f>IF($A120="","",SUMIFS('Nursing Charges'!$I:$I,'Nursing Charges'!$A:$A,$A120,'Nursing Charges'!$C:$C,10))</f>
        <v/>
      </c>
      <c r="CW120" s="12" t="str">
        <f>IF($A120="","",CT120+(CV120-SUMIFS('Nursing Charges'!$J:$J,'Nursing Charges'!$A:$A,$A120,'Nursing Charges'!$C:$C,10))+(CU120-SUMIFS('Consumable Usage'!$F:$F,'Consumable Usage'!$A:$A,$A120,'Consumable Usage'!$D:$D,10)))</f>
        <v/>
      </c>
      <c r="CX120" s="12" t="str">
        <f t="shared" si="28"/>
        <v/>
      </c>
      <c r="CY120" s="20"/>
      <c r="CZ120" s="12" t="str">
        <f t="shared" si="29"/>
        <v/>
      </c>
      <c r="DA120" s="45" t="str">
        <f t="shared" si="30"/>
        <v/>
      </c>
      <c r="DB120" s="15"/>
      <c r="DC120" s="15"/>
      <c r="DD120" s="20"/>
      <c r="DE120" s="12" t="str">
        <f>IF($A120="","",SUMIFS('Consumable Usage'!$E:$E,'Consumable Usage'!$A:$A,$A120,'Consumable Usage'!$D:$D,11))</f>
        <v/>
      </c>
      <c r="DF120" s="12" t="str">
        <f>IF($A120="","",SUMIFS('Nursing Charges'!$I:$I,'Nursing Charges'!$A:$A,$A120,'Nursing Charges'!$C:$C,11))</f>
        <v/>
      </c>
      <c r="DG120" s="12" t="str">
        <f>IF($A120="","",DD120+(DF120-SUMIFS('Nursing Charges'!$J:$J,'Nursing Charges'!$A:$A,$A120,'Nursing Charges'!$C:$C,11))+(DE120-SUMIFS('Consumable Usage'!$F:$F,'Consumable Usage'!$A:$A,$A120,'Consumable Usage'!$D:$D,11)))</f>
        <v/>
      </c>
      <c r="DH120" s="12" t="str">
        <f t="shared" si="31"/>
        <v/>
      </c>
      <c r="DI120" s="20"/>
      <c r="DJ120" s="12" t="str">
        <f t="shared" si="32"/>
        <v/>
      </c>
      <c r="DK120" s="45" t="str">
        <f t="shared" si="33"/>
        <v/>
      </c>
      <c r="DL120" s="15"/>
      <c r="DM120" s="15"/>
      <c r="DN120" s="20"/>
      <c r="DO120" s="12" t="str">
        <f>IF($A120="","",SUMIFS('Consumable Usage'!$E:$E,'Consumable Usage'!$A:$A,$A120,'Consumable Usage'!$D:$D,12))</f>
        <v/>
      </c>
      <c r="DP120" s="12" t="str">
        <f>IF($A120="","",SUMIFS('Nursing Charges'!$I:$I,'Nursing Charges'!$A:$A,$A120,'Nursing Charges'!$C:$C,12))</f>
        <v/>
      </c>
      <c r="DQ120" s="12" t="str">
        <f>IF($A120="","",DN120+(DP120-SUMIFS('Nursing Charges'!$J:$J,'Nursing Charges'!$A:$A,$A120,'Nursing Charges'!$C:$C,12))+(DO120-SUMIFS('Consumable Usage'!$F:$F,'Consumable Usage'!$A:$A,$A120,'Consumable Usage'!$D:$D,12)))</f>
        <v/>
      </c>
      <c r="DR120" s="12" t="str">
        <f t="shared" si="34"/>
        <v/>
      </c>
      <c r="DS120" s="20"/>
      <c r="DT120" s="12" t="str">
        <f t="shared" si="35"/>
        <v/>
      </c>
      <c r="DU120" s="45" t="str">
        <f t="shared" si="36"/>
        <v/>
      </c>
      <c r="DV120" s="15"/>
      <c r="DW120" s="15"/>
      <c r="DX120" s="20"/>
      <c r="DY120" s="12" t="str">
        <f>IF($A120="","",SUMIFS('Consumable Usage'!$E:$E,'Consumable Usage'!$A:$A,$A120,'Consumable Usage'!$D:$D,13))</f>
        <v/>
      </c>
      <c r="DZ120" s="12" t="str">
        <f>IF($A120="","",SUMIFS('Nursing Charges'!$I:$I,'Nursing Charges'!$A:$A,$A120,'Nursing Charges'!$C:$C,13))</f>
        <v/>
      </c>
      <c r="EA120" s="12" t="str">
        <f>IF($A120="","",DX120+(DZ120-SUMIFS('Nursing Charges'!$J:$J,'Nursing Charges'!$A:$A,$A120,'Nursing Charges'!$C:$C,13))+(DY120-SUMIFS('Consumable Usage'!$F:$F,'Consumable Usage'!$A:$A,$A120,'Consumable Usage'!$D:$D,13)))</f>
        <v/>
      </c>
      <c r="EB120" s="12" t="str">
        <f t="shared" si="37"/>
        <v/>
      </c>
      <c r="EC120" s="20"/>
      <c r="ED120" s="12" t="str">
        <f t="shared" si="38"/>
        <v/>
      </c>
      <c r="EE120" s="45" t="str">
        <f t="shared" si="39"/>
        <v/>
      </c>
      <c r="EF120" s="15"/>
      <c r="EG120" s="15"/>
      <c r="EH120" s="20"/>
      <c r="EI120" s="12" t="str">
        <f>IF($A120="","",SUMIFS('Consumable Usage'!$E:$E,'Consumable Usage'!$A:$A,$A120,'Consumable Usage'!$D:$D,14))</f>
        <v/>
      </c>
      <c r="EJ120" s="12" t="str">
        <f>IF($A120="","",SUMIFS('Nursing Charges'!$I:$I,'Nursing Charges'!$A:$A,$A120,'Nursing Charges'!$C:$C,14))</f>
        <v/>
      </c>
      <c r="EK120" s="12" t="str">
        <f>IF($A120="","",EH120+(EJ120-SUMIFS('Nursing Charges'!$J:$J,'Nursing Charges'!$A:$A,$A120,'Nursing Charges'!$C:$C,14))+(EI120-SUMIFS('Consumable Usage'!$F:$F,'Consumable Usage'!$A:$A,$A120,'Consumable Usage'!$D:$D,14)))</f>
        <v/>
      </c>
      <c r="EL120" s="12" t="str">
        <f t="shared" si="40"/>
        <v/>
      </c>
      <c r="EM120" s="20"/>
      <c r="EN120" s="12" t="str">
        <f t="shared" si="41"/>
        <v/>
      </c>
      <c r="EO120" s="45" t="str">
        <f t="shared" si="42"/>
        <v/>
      </c>
      <c r="EP120" s="15"/>
      <c r="EQ120" s="15"/>
      <c r="ER120" s="20"/>
      <c r="ES120" s="12" t="str">
        <f>IF($A120="","",SUMIFS('Consumable Usage'!$E:$E,'Consumable Usage'!$A:$A,$A120,'Consumable Usage'!$D:$D,15))</f>
        <v/>
      </c>
      <c r="ET120" s="12" t="str">
        <f>IF($A120="","",SUMIFS('Nursing Charges'!$I:$I,'Nursing Charges'!$A:$A,$A120,'Nursing Charges'!$C:$C,15))</f>
        <v/>
      </c>
      <c r="EU120" s="12" t="str">
        <f>IF($A120="","",ER120+(ET120-SUMIFS('Nursing Charges'!$J:$J,'Nursing Charges'!$A:$A,$A120,'Nursing Charges'!$C:$C,15))+(ES120-SUMIFS('Consumable Usage'!$F:$F,'Consumable Usage'!$A:$A,$A120,'Consumable Usage'!$D:$D,15)))</f>
        <v/>
      </c>
      <c r="EV120" s="12" t="str">
        <f t="shared" si="43"/>
        <v/>
      </c>
      <c r="EW120" s="20"/>
      <c r="EX120" s="12" t="str">
        <f t="shared" si="44"/>
        <v/>
      </c>
      <c r="EY120" s="45" t="str">
        <f t="shared" si="45"/>
        <v/>
      </c>
      <c r="EZ120" s="15"/>
      <c r="FA120" s="15"/>
      <c r="FB120" s="20"/>
      <c r="FC120" s="12" t="str">
        <f>IF($A120="","",SUMIFS('Consumable Usage'!$E:$E,'Consumable Usage'!$A:$A,$A120,'Consumable Usage'!$D:$D,16))</f>
        <v/>
      </c>
      <c r="FD120" s="12" t="str">
        <f>IF($A120="","",SUMIFS('Nursing Charges'!$I:$I,'Nursing Charges'!$A:$A,$A120,'Nursing Charges'!$C:$C,16))</f>
        <v/>
      </c>
      <c r="FE120" s="12" t="str">
        <f>IF($A120="","",FB120+(FD120-SUMIFS('Nursing Charges'!$J:$J,'Nursing Charges'!$A:$A,$A120,'Nursing Charges'!$C:$C,16))+(FC120-SUMIFS('Consumable Usage'!$F:$F,'Consumable Usage'!$A:$A,$A120,'Consumable Usage'!$D:$D,16)))</f>
        <v/>
      </c>
      <c r="FF120" s="12" t="str">
        <f t="shared" si="46"/>
        <v/>
      </c>
      <c r="FG120" s="20"/>
      <c r="FH120" s="12" t="str">
        <f t="shared" si="47"/>
        <v/>
      </c>
      <c r="FI120" s="45" t="str">
        <f t="shared" si="48"/>
        <v/>
      </c>
      <c r="FJ120" s="53"/>
      <c r="FK120" s="53"/>
      <c r="FL120" s="63"/>
      <c r="FM120" s="63" t="str">
        <f>IF($A120="","",SUMIFS('Consumable Usage'!$E:$E,'Consumable Usage'!$A:$A,$A120,'Consumable Usage'!$D:$D,16))</f>
        <v/>
      </c>
      <c r="FN120" s="63" t="str">
        <f>IF($A120="","",SUMIFS('Nursing Charges'!$I:$I,'Nursing Charges'!$A:$A,$A120,'Nursing Charges'!$C:$C,16))</f>
        <v/>
      </c>
      <c r="FO120" s="63" t="str">
        <f>IF($A120="","",FL120+(FN120-SUMIFS('Nursing Charges'!$J:$J,'Nursing Charges'!$A:$A,$A120,'Nursing Charges'!$C:$C,16))+(FM120-SUMIFS('Consumable Usage'!$F:$F,'Consumable Usage'!$A:$A,$A120,'Consumable Usage'!$D:$D,16)))</f>
        <v/>
      </c>
      <c r="FP120" s="63" t="str">
        <f t="shared" si="49"/>
        <v/>
      </c>
      <c r="FQ120" s="63"/>
      <c r="FR120" s="63" t="str">
        <f t="shared" si="50"/>
        <v/>
      </c>
      <c r="FS120" s="53" t="str">
        <f t="shared" si="51"/>
        <v/>
      </c>
    </row>
    <row r="121" ht="15.0" customHeight="1">
      <c r="A121" s="15"/>
      <c r="B121" s="15"/>
      <c r="C121" s="15"/>
      <c r="D121" s="15"/>
      <c r="E121" s="15"/>
      <c r="F121" s="15"/>
      <c r="G121" s="15"/>
      <c r="H121" s="20"/>
      <c r="I121" s="12" t="str">
        <f>IF($A121="","",SUMIFS('Consumable Usage'!$E:$E,'Consumable Usage'!$A:$A,$A121,'Consumable Usage'!$D:$D,1))</f>
        <v/>
      </c>
      <c r="J121" s="12" t="str">
        <f>IF($A121="","",SUMIFS('Nursing Charges'!$I:$I,'Nursing Charges'!$A:$A,$A121,'Nursing Charges'!$C:$C,1))</f>
        <v/>
      </c>
      <c r="K121" s="12" t="str">
        <f>IF($A121="","",H121+(J121-SUMIFS('Nursing Charges'!$J:$J,'Nursing Charges'!$A:$A,$A121,'Nursing Charges'!$C:$C,1))+(I121-SUMIFS('Consumable Usage'!$F:$F,'Consumable Usage'!$A:$A,$A121,'Consumable Usage'!$D:$D,1)))</f>
        <v/>
      </c>
      <c r="L121" s="12" t="str">
        <f t="shared" si="1"/>
        <v/>
      </c>
      <c r="M121" s="20"/>
      <c r="N121" s="12" t="str">
        <f t="shared" si="2"/>
        <v/>
      </c>
      <c r="O121" s="45" t="str">
        <f t="shared" si="3"/>
        <v/>
      </c>
      <c r="P121" s="15"/>
      <c r="Q121" s="15"/>
      <c r="R121" s="20"/>
      <c r="S121" s="12" t="str">
        <f>IF($A121="","",SUMIFS('Consumable Usage'!$E:$E,'Consumable Usage'!$A:$A,$A121,'Consumable Usage'!$D:$D,2))</f>
        <v/>
      </c>
      <c r="T121" s="12" t="str">
        <f>IF($A121="","",SUMIFS('Nursing Charges'!$I:$I,'Nursing Charges'!$A:$A,$A121,'Nursing Charges'!$C:$C,2))</f>
        <v/>
      </c>
      <c r="U121" s="12" t="str">
        <f>IF($A121="","",R121+(T121-SUMIFS('Nursing Charges'!$J:$J,'Nursing Charges'!$A:$A,$A121,'Nursing Charges'!$C:$C,2))+(S121-SUMIFS('Consumable Usage'!$F:$F,'Consumable Usage'!$A:$A,$A121,'Consumable Usage'!$D:$D,2)))</f>
        <v/>
      </c>
      <c r="V121" s="12" t="str">
        <f t="shared" si="4"/>
        <v/>
      </c>
      <c r="W121" s="20"/>
      <c r="X121" s="12" t="str">
        <f t="shared" si="5"/>
        <v/>
      </c>
      <c r="Y121" s="45" t="str">
        <f t="shared" si="6"/>
        <v/>
      </c>
      <c r="Z121" s="15"/>
      <c r="AA121" s="15"/>
      <c r="AB121" s="20"/>
      <c r="AC121" s="12" t="str">
        <f>IF($A121="","",SUMIFS('Consumable Usage'!$E:$E,'Consumable Usage'!$A:$A,$A121,'Consumable Usage'!$D:$D,3))</f>
        <v/>
      </c>
      <c r="AD121" s="12" t="str">
        <f>IF($A121="","",SUMIFS('Nursing Charges'!$I:$I,'Nursing Charges'!$A:$A,$A121,'Nursing Charges'!$C:$C,3))</f>
        <v/>
      </c>
      <c r="AE121" s="12" t="str">
        <f>IF($A121="","",AB121+(AD121-SUMIFS('Nursing Charges'!$J:$J,'Nursing Charges'!$A:$A,$A121,'Nursing Charges'!$C:$C,3))+(AC121-SUMIFS('Consumable Usage'!$F:$F,'Consumable Usage'!$A:$A,$A121,'Consumable Usage'!$D:$D,3)))</f>
        <v/>
      </c>
      <c r="AF121" s="12" t="str">
        <f t="shared" si="7"/>
        <v/>
      </c>
      <c r="AG121" s="20"/>
      <c r="AH121" s="12" t="str">
        <f t="shared" si="8"/>
        <v/>
      </c>
      <c r="AI121" s="45" t="str">
        <f t="shared" si="9"/>
        <v/>
      </c>
      <c r="AJ121" s="15"/>
      <c r="AK121" s="15"/>
      <c r="AL121" s="20"/>
      <c r="AM121" s="12" t="str">
        <f>IF($A121="","",SUMIFS('Consumable Usage'!$E:$E,'Consumable Usage'!$A:$A,$A121,'Consumable Usage'!$D:$D,4))</f>
        <v/>
      </c>
      <c r="AN121" s="12" t="str">
        <f>IF($A121="","",SUMIFS('Nursing Charges'!$I:$I,'Nursing Charges'!$A:$A,$A121,'Nursing Charges'!$C:$C,4))</f>
        <v/>
      </c>
      <c r="AO121" s="12" t="str">
        <f>IF($A121="","",AL121+(AN121-SUMIFS('Nursing Charges'!$J:$J,'Nursing Charges'!$A:$A,$A121,'Nursing Charges'!$C:$C,4))+(AM121-SUMIFS('Consumable Usage'!$F:$F,'Consumable Usage'!$A:$A,$A121,'Consumable Usage'!$D:$D,4)))</f>
        <v/>
      </c>
      <c r="AP121" s="12" t="str">
        <f t="shared" si="10"/>
        <v/>
      </c>
      <c r="AQ121" s="20"/>
      <c r="AR121" s="12" t="str">
        <f t="shared" si="11"/>
        <v/>
      </c>
      <c r="AS121" s="45" t="str">
        <f t="shared" si="12"/>
        <v/>
      </c>
      <c r="AT121" s="15"/>
      <c r="AU121" s="15"/>
      <c r="AV121" s="20"/>
      <c r="AW121" s="12" t="str">
        <f>IF($A121="","",SUMIFS('Consumable Usage'!$E:$E,'Consumable Usage'!$A:$A,$A121,'Consumable Usage'!$D:$D,5))</f>
        <v/>
      </c>
      <c r="AX121" s="12" t="str">
        <f>IF($A121="","",SUMIFS('Nursing Charges'!$I:$I,'Nursing Charges'!$A:$A,$A121,'Nursing Charges'!$C:$C,5))</f>
        <v/>
      </c>
      <c r="AY121" s="12" t="str">
        <f>IF($A121="","",AV121+(AX121-SUMIFS('Nursing Charges'!$J:$J,'Nursing Charges'!$A:$A,$A121,'Nursing Charges'!$C:$C,5))+(AW121-SUMIFS('Consumable Usage'!$F:$F,'Consumable Usage'!$A:$A,$A121,'Consumable Usage'!$D:$D,5)))</f>
        <v/>
      </c>
      <c r="AZ121" s="12" t="str">
        <f t="shared" si="13"/>
        <v/>
      </c>
      <c r="BA121" s="20"/>
      <c r="BB121" s="12" t="str">
        <f t="shared" si="14"/>
        <v/>
      </c>
      <c r="BC121" s="45" t="str">
        <f t="shared" si="15"/>
        <v/>
      </c>
      <c r="BD121" s="15"/>
      <c r="BE121" s="15"/>
      <c r="BF121" s="20"/>
      <c r="BG121" s="12" t="str">
        <f>IF($A121="","",SUMIFS('Consumable Usage'!$E:$E,'Consumable Usage'!$A:$A,$A121,'Consumable Usage'!$D:$D,6))</f>
        <v/>
      </c>
      <c r="BH121" s="12" t="str">
        <f>IF($A121="","",SUMIFS('Nursing Charges'!$I:$I,'Nursing Charges'!$A:$A,$A121,'Nursing Charges'!$C:$C,6))</f>
        <v/>
      </c>
      <c r="BI121" s="12" t="str">
        <f>IF($A121="","",BF121+(BH121-SUMIFS('Nursing Charges'!$J:$J,'Nursing Charges'!$A:$A,$A121,'Nursing Charges'!$C:$C,6))+(BG121-SUMIFS('Consumable Usage'!$F:$F,'Consumable Usage'!$A:$A,$A121,'Consumable Usage'!$D:$D,6)))</f>
        <v/>
      </c>
      <c r="BJ121" s="12" t="str">
        <f t="shared" si="16"/>
        <v/>
      </c>
      <c r="BK121" s="20"/>
      <c r="BL121" s="12" t="str">
        <f t="shared" si="17"/>
        <v/>
      </c>
      <c r="BM121" s="45" t="str">
        <f t="shared" si="18"/>
        <v/>
      </c>
      <c r="BN121" s="15"/>
      <c r="BO121" s="15"/>
      <c r="BP121" s="20"/>
      <c r="BQ121" s="12" t="str">
        <f>IF($A121="","",SUMIFS('Consumable Usage'!$E:$E,'Consumable Usage'!$A:$A,$A121,'Consumable Usage'!$D:$D,7))</f>
        <v/>
      </c>
      <c r="BR121" s="12" t="str">
        <f>IF($A121="","",SUMIFS('Nursing Charges'!$I:$I,'Nursing Charges'!$A:$A,$A121,'Nursing Charges'!$C:$C,7))</f>
        <v/>
      </c>
      <c r="BS121" s="12" t="str">
        <f>IF($A121="","",BP121+(BR121-SUMIFS('Nursing Charges'!$J:$J,'Nursing Charges'!$A:$A,$A121,'Nursing Charges'!$C:$C,7))+(BQ121-SUMIFS('Consumable Usage'!$F:$F,'Consumable Usage'!$A:$A,$A121,'Consumable Usage'!$D:$D,7)))</f>
        <v/>
      </c>
      <c r="BT121" s="12" t="str">
        <f t="shared" si="19"/>
        <v/>
      </c>
      <c r="BU121" s="20"/>
      <c r="BV121" s="12" t="str">
        <f t="shared" si="20"/>
        <v/>
      </c>
      <c r="BW121" s="45" t="str">
        <f t="shared" si="21"/>
        <v/>
      </c>
      <c r="BX121" s="15"/>
      <c r="BY121" s="15"/>
      <c r="BZ121" s="20"/>
      <c r="CA121" s="12" t="str">
        <f>IF($A121="","",SUMIFS('Consumable Usage'!$E:$E,'Consumable Usage'!$A:$A,$A121,'Consumable Usage'!$D:$D,8))</f>
        <v/>
      </c>
      <c r="CB121" s="12" t="str">
        <f>IF($A121="","",SUMIFS('Nursing Charges'!$I:$I,'Nursing Charges'!$A:$A,$A121,'Nursing Charges'!$C:$C,8))</f>
        <v/>
      </c>
      <c r="CC121" s="12" t="str">
        <f>IF($A121="","",BZ121+(CB121-SUMIFS('Nursing Charges'!$J:$J,'Nursing Charges'!$A:$A,$A121,'Nursing Charges'!$C:$C,8))+(CA121-SUMIFS('Consumable Usage'!$F:$F,'Consumable Usage'!$A:$A,$A121,'Consumable Usage'!$D:$D,8)))</f>
        <v/>
      </c>
      <c r="CD121" s="12" t="str">
        <f t="shared" si="22"/>
        <v/>
      </c>
      <c r="CE121" s="20"/>
      <c r="CF121" s="12" t="str">
        <f t="shared" si="23"/>
        <v/>
      </c>
      <c r="CG121" s="45" t="str">
        <f t="shared" si="24"/>
        <v/>
      </c>
      <c r="CH121" s="15"/>
      <c r="CI121" s="15"/>
      <c r="CJ121" s="20"/>
      <c r="CK121" s="12" t="str">
        <f>IF($A121="","",SUMIFS('Consumable Usage'!$E:$E,'Consumable Usage'!$A:$A,$A121,'Consumable Usage'!$D:$D,9))</f>
        <v/>
      </c>
      <c r="CL121" s="12" t="str">
        <f>IF($A121="","",SUMIFS('Nursing Charges'!$I:$I,'Nursing Charges'!$A:$A,$A121,'Nursing Charges'!$C:$C,9))</f>
        <v/>
      </c>
      <c r="CM121" s="12" t="str">
        <f>IF($A121="","",CJ121+(CL121-SUMIFS('Nursing Charges'!$J:$J,'Nursing Charges'!$A:$A,$A121,'Nursing Charges'!$C:$C,9))+(CK121-SUMIFS('Consumable Usage'!$F:$F,'Consumable Usage'!$A:$A,$A121,'Consumable Usage'!$D:$D,9)))</f>
        <v/>
      </c>
      <c r="CN121" s="12" t="str">
        <f t="shared" si="25"/>
        <v/>
      </c>
      <c r="CO121" s="20"/>
      <c r="CP121" s="12" t="str">
        <f t="shared" si="26"/>
        <v/>
      </c>
      <c r="CQ121" s="45" t="str">
        <f t="shared" si="27"/>
        <v/>
      </c>
      <c r="CR121" s="15"/>
      <c r="CS121" s="15"/>
      <c r="CT121" s="20"/>
      <c r="CU121" s="12" t="str">
        <f>IF($A121="","",SUMIFS('Consumable Usage'!$E:$E,'Consumable Usage'!$A:$A,$A121,'Consumable Usage'!$D:$D,10))</f>
        <v/>
      </c>
      <c r="CV121" s="12" t="str">
        <f>IF($A121="","",SUMIFS('Nursing Charges'!$I:$I,'Nursing Charges'!$A:$A,$A121,'Nursing Charges'!$C:$C,10))</f>
        <v/>
      </c>
      <c r="CW121" s="12" t="str">
        <f>IF($A121="","",CT121+(CV121-SUMIFS('Nursing Charges'!$J:$J,'Nursing Charges'!$A:$A,$A121,'Nursing Charges'!$C:$C,10))+(CU121-SUMIFS('Consumable Usage'!$F:$F,'Consumable Usage'!$A:$A,$A121,'Consumable Usage'!$D:$D,10)))</f>
        <v/>
      </c>
      <c r="CX121" s="12" t="str">
        <f t="shared" si="28"/>
        <v/>
      </c>
      <c r="CY121" s="20"/>
      <c r="CZ121" s="12" t="str">
        <f t="shared" si="29"/>
        <v/>
      </c>
      <c r="DA121" s="45" t="str">
        <f t="shared" si="30"/>
        <v/>
      </c>
      <c r="DB121" s="15"/>
      <c r="DC121" s="15"/>
      <c r="DD121" s="20"/>
      <c r="DE121" s="12" t="str">
        <f>IF($A121="","",SUMIFS('Consumable Usage'!$E:$E,'Consumable Usage'!$A:$A,$A121,'Consumable Usage'!$D:$D,11))</f>
        <v/>
      </c>
      <c r="DF121" s="12" t="str">
        <f>IF($A121="","",SUMIFS('Nursing Charges'!$I:$I,'Nursing Charges'!$A:$A,$A121,'Nursing Charges'!$C:$C,11))</f>
        <v/>
      </c>
      <c r="DG121" s="12" t="str">
        <f>IF($A121="","",DD121+(DF121-SUMIFS('Nursing Charges'!$J:$J,'Nursing Charges'!$A:$A,$A121,'Nursing Charges'!$C:$C,11))+(DE121-SUMIFS('Consumable Usage'!$F:$F,'Consumable Usage'!$A:$A,$A121,'Consumable Usage'!$D:$D,11)))</f>
        <v/>
      </c>
      <c r="DH121" s="12" t="str">
        <f t="shared" si="31"/>
        <v/>
      </c>
      <c r="DI121" s="20"/>
      <c r="DJ121" s="12" t="str">
        <f t="shared" si="32"/>
        <v/>
      </c>
      <c r="DK121" s="45" t="str">
        <f t="shared" si="33"/>
        <v/>
      </c>
      <c r="DL121" s="15"/>
      <c r="DM121" s="15"/>
      <c r="DN121" s="20"/>
      <c r="DO121" s="12" t="str">
        <f>IF($A121="","",SUMIFS('Consumable Usage'!$E:$E,'Consumable Usage'!$A:$A,$A121,'Consumable Usage'!$D:$D,12))</f>
        <v/>
      </c>
      <c r="DP121" s="12" t="str">
        <f>IF($A121="","",SUMIFS('Nursing Charges'!$I:$I,'Nursing Charges'!$A:$A,$A121,'Nursing Charges'!$C:$C,12))</f>
        <v/>
      </c>
      <c r="DQ121" s="12" t="str">
        <f>IF($A121="","",DN121+(DP121-SUMIFS('Nursing Charges'!$J:$J,'Nursing Charges'!$A:$A,$A121,'Nursing Charges'!$C:$C,12))+(DO121-SUMIFS('Consumable Usage'!$F:$F,'Consumable Usage'!$A:$A,$A121,'Consumable Usage'!$D:$D,12)))</f>
        <v/>
      </c>
      <c r="DR121" s="12" t="str">
        <f t="shared" si="34"/>
        <v/>
      </c>
      <c r="DS121" s="20"/>
      <c r="DT121" s="12" t="str">
        <f t="shared" si="35"/>
        <v/>
      </c>
      <c r="DU121" s="45" t="str">
        <f t="shared" si="36"/>
        <v/>
      </c>
      <c r="DV121" s="15"/>
      <c r="DW121" s="15"/>
      <c r="DX121" s="20"/>
      <c r="DY121" s="12" t="str">
        <f>IF($A121="","",SUMIFS('Consumable Usage'!$E:$E,'Consumable Usage'!$A:$A,$A121,'Consumable Usage'!$D:$D,13))</f>
        <v/>
      </c>
      <c r="DZ121" s="12" t="str">
        <f>IF($A121="","",SUMIFS('Nursing Charges'!$I:$I,'Nursing Charges'!$A:$A,$A121,'Nursing Charges'!$C:$C,13))</f>
        <v/>
      </c>
      <c r="EA121" s="12" t="str">
        <f>IF($A121="","",DX121+(DZ121-SUMIFS('Nursing Charges'!$J:$J,'Nursing Charges'!$A:$A,$A121,'Nursing Charges'!$C:$C,13))+(DY121-SUMIFS('Consumable Usage'!$F:$F,'Consumable Usage'!$A:$A,$A121,'Consumable Usage'!$D:$D,13)))</f>
        <v/>
      </c>
      <c r="EB121" s="12" t="str">
        <f t="shared" si="37"/>
        <v/>
      </c>
      <c r="EC121" s="20"/>
      <c r="ED121" s="12" t="str">
        <f t="shared" si="38"/>
        <v/>
      </c>
      <c r="EE121" s="45" t="str">
        <f t="shared" si="39"/>
        <v/>
      </c>
      <c r="EF121" s="15"/>
      <c r="EG121" s="15"/>
      <c r="EH121" s="20"/>
      <c r="EI121" s="12" t="str">
        <f>IF($A121="","",SUMIFS('Consumable Usage'!$E:$E,'Consumable Usage'!$A:$A,$A121,'Consumable Usage'!$D:$D,14))</f>
        <v/>
      </c>
      <c r="EJ121" s="12" t="str">
        <f>IF($A121="","",SUMIFS('Nursing Charges'!$I:$I,'Nursing Charges'!$A:$A,$A121,'Nursing Charges'!$C:$C,14))</f>
        <v/>
      </c>
      <c r="EK121" s="12" t="str">
        <f>IF($A121="","",EH121+(EJ121-SUMIFS('Nursing Charges'!$J:$J,'Nursing Charges'!$A:$A,$A121,'Nursing Charges'!$C:$C,14))+(EI121-SUMIFS('Consumable Usage'!$F:$F,'Consumable Usage'!$A:$A,$A121,'Consumable Usage'!$D:$D,14)))</f>
        <v/>
      </c>
      <c r="EL121" s="12" t="str">
        <f t="shared" si="40"/>
        <v/>
      </c>
      <c r="EM121" s="20"/>
      <c r="EN121" s="12" t="str">
        <f t="shared" si="41"/>
        <v/>
      </c>
      <c r="EO121" s="45" t="str">
        <f t="shared" si="42"/>
        <v/>
      </c>
      <c r="EP121" s="15"/>
      <c r="EQ121" s="15"/>
      <c r="ER121" s="20"/>
      <c r="ES121" s="12" t="str">
        <f>IF($A121="","",SUMIFS('Consumable Usage'!$E:$E,'Consumable Usage'!$A:$A,$A121,'Consumable Usage'!$D:$D,15))</f>
        <v/>
      </c>
      <c r="ET121" s="12" t="str">
        <f>IF($A121="","",SUMIFS('Nursing Charges'!$I:$I,'Nursing Charges'!$A:$A,$A121,'Nursing Charges'!$C:$C,15))</f>
        <v/>
      </c>
      <c r="EU121" s="12" t="str">
        <f>IF($A121="","",ER121+(ET121-SUMIFS('Nursing Charges'!$J:$J,'Nursing Charges'!$A:$A,$A121,'Nursing Charges'!$C:$C,15))+(ES121-SUMIFS('Consumable Usage'!$F:$F,'Consumable Usage'!$A:$A,$A121,'Consumable Usage'!$D:$D,15)))</f>
        <v/>
      </c>
      <c r="EV121" s="12" t="str">
        <f t="shared" si="43"/>
        <v/>
      </c>
      <c r="EW121" s="20"/>
      <c r="EX121" s="12" t="str">
        <f t="shared" si="44"/>
        <v/>
      </c>
      <c r="EY121" s="45" t="str">
        <f t="shared" si="45"/>
        <v/>
      </c>
      <c r="EZ121" s="15"/>
      <c r="FA121" s="15"/>
      <c r="FB121" s="20"/>
      <c r="FC121" s="12" t="str">
        <f>IF($A121="","",SUMIFS('Consumable Usage'!$E:$E,'Consumable Usage'!$A:$A,$A121,'Consumable Usage'!$D:$D,16))</f>
        <v/>
      </c>
      <c r="FD121" s="12" t="str">
        <f>IF($A121="","",SUMIFS('Nursing Charges'!$I:$I,'Nursing Charges'!$A:$A,$A121,'Nursing Charges'!$C:$C,16))</f>
        <v/>
      </c>
      <c r="FE121" s="12" t="str">
        <f>IF($A121="","",FB121+(FD121-SUMIFS('Nursing Charges'!$J:$J,'Nursing Charges'!$A:$A,$A121,'Nursing Charges'!$C:$C,16))+(FC121-SUMIFS('Consumable Usage'!$F:$F,'Consumable Usage'!$A:$A,$A121,'Consumable Usage'!$D:$D,16)))</f>
        <v/>
      </c>
      <c r="FF121" s="12" t="str">
        <f t="shared" si="46"/>
        <v/>
      </c>
      <c r="FG121" s="20"/>
      <c r="FH121" s="12" t="str">
        <f t="shared" si="47"/>
        <v/>
      </c>
      <c r="FI121" s="45" t="str">
        <f t="shared" si="48"/>
        <v/>
      </c>
      <c r="FJ121" s="53"/>
      <c r="FK121" s="53"/>
      <c r="FL121" s="63"/>
      <c r="FM121" s="63" t="str">
        <f>IF($A121="","",SUMIFS('Consumable Usage'!$E:$E,'Consumable Usage'!$A:$A,$A121,'Consumable Usage'!$D:$D,16))</f>
        <v/>
      </c>
      <c r="FN121" s="63" t="str">
        <f>IF($A121="","",SUMIFS('Nursing Charges'!$I:$I,'Nursing Charges'!$A:$A,$A121,'Nursing Charges'!$C:$C,16))</f>
        <v/>
      </c>
      <c r="FO121" s="63" t="str">
        <f>IF($A121="","",FL121+(FN121-SUMIFS('Nursing Charges'!$J:$J,'Nursing Charges'!$A:$A,$A121,'Nursing Charges'!$C:$C,16))+(FM121-SUMIFS('Consumable Usage'!$F:$F,'Consumable Usage'!$A:$A,$A121,'Consumable Usage'!$D:$D,16)))</f>
        <v/>
      </c>
      <c r="FP121" s="63" t="str">
        <f t="shared" si="49"/>
        <v/>
      </c>
      <c r="FQ121" s="63"/>
      <c r="FR121" s="63" t="str">
        <f t="shared" si="50"/>
        <v/>
      </c>
      <c r="FS121" s="53" t="str">
        <f t="shared" si="51"/>
        <v/>
      </c>
    </row>
    <row r="122" ht="15.0" customHeight="1">
      <c r="A122" s="15"/>
      <c r="B122" s="15"/>
      <c r="C122" s="15"/>
      <c r="D122" s="15"/>
      <c r="E122" s="15"/>
      <c r="F122" s="15"/>
      <c r="G122" s="15"/>
      <c r="H122" s="20"/>
      <c r="I122" s="12" t="str">
        <f>IF($A122="","",SUMIFS('Consumable Usage'!$E:$E,'Consumable Usage'!$A:$A,$A122,'Consumable Usage'!$D:$D,1))</f>
        <v/>
      </c>
      <c r="J122" s="12" t="str">
        <f>IF($A122="","",SUMIFS('Nursing Charges'!$I:$I,'Nursing Charges'!$A:$A,$A122,'Nursing Charges'!$C:$C,1))</f>
        <v/>
      </c>
      <c r="K122" s="12" t="str">
        <f>IF($A122="","",H122+(J122-SUMIFS('Nursing Charges'!$J:$J,'Nursing Charges'!$A:$A,$A122,'Nursing Charges'!$C:$C,1))+(I122-SUMIFS('Consumable Usage'!$F:$F,'Consumable Usage'!$A:$A,$A122,'Consumable Usage'!$D:$D,1)))</f>
        <v/>
      </c>
      <c r="L122" s="12" t="str">
        <f t="shared" si="1"/>
        <v/>
      </c>
      <c r="M122" s="20"/>
      <c r="N122" s="12" t="str">
        <f t="shared" si="2"/>
        <v/>
      </c>
      <c r="O122" s="45" t="str">
        <f t="shared" si="3"/>
        <v/>
      </c>
      <c r="P122" s="15"/>
      <c r="Q122" s="15"/>
      <c r="R122" s="20"/>
      <c r="S122" s="12" t="str">
        <f>IF($A122="","",SUMIFS('Consumable Usage'!$E:$E,'Consumable Usage'!$A:$A,$A122,'Consumable Usage'!$D:$D,2))</f>
        <v/>
      </c>
      <c r="T122" s="12" t="str">
        <f>IF($A122="","",SUMIFS('Nursing Charges'!$I:$I,'Nursing Charges'!$A:$A,$A122,'Nursing Charges'!$C:$C,2))</f>
        <v/>
      </c>
      <c r="U122" s="12" t="str">
        <f>IF($A122="","",R122+(T122-SUMIFS('Nursing Charges'!$J:$J,'Nursing Charges'!$A:$A,$A122,'Nursing Charges'!$C:$C,2))+(S122-SUMIFS('Consumable Usage'!$F:$F,'Consumable Usage'!$A:$A,$A122,'Consumable Usage'!$D:$D,2)))</f>
        <v/>
      </c>
      <c r="V122" s="12" t="str">
        <f t="shared" si="4"/>
        <v/>
      </c>
      <c r="W122" s="20"/>
      <c r="X122" s="12" t="str">
        <f t="shared" si="5"/>
        <v/>
      </c>
      <c r="Y122" s="45" t="str">
        <f t="shared" si="6"/>
        <v/>
      </c>
      <c r="Z122" s="15"/>
      <c r="AA122" s="15"/>
      <c r="AB122" s="20"/>
      <c r="AC122" s="12" t="str">
        <f>IF($A122="","",SUMIFS('Consumable Usage'!$E:$E,'Consumable Usage'!$A:$A,$A122,'Consumable Usage'!$D:$D,3))</f>
        <v/>
      </c>
      <c r="AD122" s="12" t="str">
        <f>IF($A122="","",SUMIFS('Nursing Charges'!$I:$I,'Nursing Charges'!$A:$A,$A122,'Nursing Charges'!$C:$C,3))</f>
        <v/>
      </c>
      <c r="AE122" s="12" t="str">
        <f>IF($A122="","",AB122+(AD122-SUMIFS('Nursing Charges'!$J:$J,'Nursing Charges'!$A:$A,$A122,'Nursing Charges'!$C:$C,3))+(AC122-SUMIFS('Consumable Usage'!$F:$F,'Consumable Usage'!$A:$A,$A122,'Consumable Usage'!$D:$D,3)))</f>
        <v/>
      </c>
      <c r="AF122" s="12" t="str">
        <f t="shared" si="7"/>
        <v/>
      </c>
      <c r="AG122" s="20"/>
      <c r="AH122" s="12" t="str">
        <f t="shared" si="8"/>
        <v/>
      </c>
      <c r="AI122" s="45" t="str">
        <f t="shared" si="9"/>
        <v/>
      </c>
      <c r="AJ122" s="15"/>
      <c r="AK122" s="15"/>
      <c r="AL122" s="20"/>
      <c r="AM122" s="12" t="str">
        <f>IF($A122="","",SUMIFS('Consumable Usage'!$E:$E,'Consumable Usage'!$A:$A,$A122,'Consumable Usage'!$D:$D,4))</f>
        <v/>
      </c>
      <c r="AN122" s="12" t="str">
        <f>IF($A122="","",SUMIFS('Nursing Charges'!$I:$I,'Nursing Charges'!$A:$A,$A122,'Nursing Charges'!$C:$C,4))</f>
        <v/>
      </c>
      <c r="AO122" s="12" t="str">
        <f>IF($A122="","",AL122+(AN122-SUMIFS('Nursing Charges'!$J:$J,'Nursing Charges'!$A:$A,$A122,'Nursing Charges'!$C:$C,4))+(AM122-SUMIFS('Consumable Usage'!$F:$F,'Consumable Usage'!$A:$A,$A122,'Consumable Usage'!$D:$D,4)))</f>
        <v/>
      </c>
      <c r="AP122" s="12" t="str">
        <f t="shared" si="10"/>
        <v/>
      </c>
      <c r="AQ122" s="20"/>
      <c r="AR122" s="12" t="str">
        <f t="shared" si="11"/>
        <v/>
      </c>
      <c r="AS122" s="45" t="str">
        <f t="shared" si="12"/>
        <v/>
      </c>
      <c r="AT122" s="15"/>
      <c r="AU122" s="15"/>
      <c r="AV122" s="20"/>
      <c r="AW122" s="12" t="str">
        <f>IF($A122="","",SUMIFS('Consumable Usage'!$E:$E,'Consumable Usage'!$A:$A,$A122,'Consumable Usage'!$D:$D,5))</f>
        <v/>
      </c>
      <c r="AX122" s="12" t="str">
        <f>IF($A122="","",SUMIFS('Nursing Charges'!$I:$I,'Nursing Charges'!$A:$A,$A122,'Nursing Charges'!$C:$C,5))</f>
        <v/>
      </c>
      <c r="AY122" s="12" t="str">
        <f>IF($A122="","",AV122+(AX122-SUMIFS('Nursing Charges'!$J:$J,'Nursing Charges'!$A:$A,$A122,'Nursing Charges'!$C:$C,5))+(AW122-SUMIFS('Consumable Usage'!$F:$F,'Consumable Usage'!$A:$A,$A122,'Consumable Usage'!$D:$D,5)))</f>
        <v/>
      </c>
      <c r="AZ122" s="12" t="str">
        <f t="shared" si="13"/>
        <v/>
      </c>
      <c r="BA122" s="20"/>
      <c r="BB122" s="12" t="str">
        <f t="shared" si="14"/>
        <v/>
      </c>
      <c r="BC122" s="45" t="str">
        <f t="shared" si="15"/>
        <v/>
      </c>
      <c r="BD122" s="15"/>
      <c r="BE122" s="15"/>
      <c r="BF122" s="20"/>
      <c r="BG122" s="12" t="str">
        <f>IF($A122="","",SUMIFS('Consumable Usage'!$E:$E,'Consumable Usage'!$A:$A,$A122,'Consumable Usage'!$D:$D,6))</f>
        <v/>
      </c>
      <c r="BH122" s="12" t="str">
        <f>IF($A122="","",SUMIFS('Nursing Charges'!$I:$I,'Nursing Charges'!$A:$A,$A122,'Nursing Charges'!$C:$C,6))</f>
        <v/>
      </c>
      <c r="BI122" s="12" t="str">
        <f>IF($A122="","",BF122+(BH122-SUMIFS('Nursing Charges'!$J:$J,'Nursing Charges'!$A:$A,$A122,'Nursing Charges'!$C:$C,6))+(BG122-SUMIFS('Consumable Usage'!$F:$F,'Consumable Usage'!$A:$A,$A122,'Consumable Usage'!$D:$D,6)))</f>
        <v/>
      </c>
      <c r="BJ122" s="12" t="str">
        <f t="shared" si="16"/>
        <v/>
      </c>
      <c r="BK122" s="20"/>
      <c r="BL122" s="12" t="str">
        <f t="shared" si="17"/>
        <v/>
      </c>
      <c r="BM122" s="45" t="str">
        <f t="shared" si="18"/>
        <v/>
      </c>
      <c r="BN122" s="15"/>
      <c r="BO122" s="15"/>
      <c r="BP122" s="20"/>
      <c r="BQ122" s="12" t="str">
        <f>IF($A122="","",SUMIFS('Consumable Usage'!$E:$E,'Consumable Usage'!$A:$A,$A122,'Consumable Usage'!$D:$D,7))</f>
        <v/>
      </c>
      <c r="BR122" s="12" t="str">
        <f>IF($A122="","",SUMIFS('Nursing Charges'!$I:$I,'Nursing Charges'!$A:$A,$A122,'Nursing Charges'!$C:$C,7))</f>
        <v/>
      </c>
      <c r="BS122" s="12" t="str">
        <f>IF($A122="","",BP122+(BR122-SUMIFS('Nursing Charges'!$J:$J,'Nursing Charges'!$A:$A,$A122,'Nursing Charges'!$C:$C,7))+(BQ122-SUMIFS('Consumable Usage'!$F:$F,'Consumable Usage'!$A:$A,$A122,'Consumable Usage'!$D:$D,7)))</f>
        <v/>
      </c>
      <c r="BT122" s="12" t="str">
        <f t="shared" si="19"/>
        <v/>
      </c>
      <c r="BU122" s="20"/>
      <c r="BV122" s="12" t="str">
        <f t="shared" si="20"/>
        <v/>
      </c>
      <c r="BW122" s="45" t="str">
        <f t="shared" si="21"/>
        <v/>
      </c>
      <c r="BX122" s="15"/>
      <c r="BY122" s="15"/>
      <c r="BZ122" s="20"/>
      <c r="CA122" s="12" t="str">
        <f>IF($A122="","",SUMIFS('Consumable Usage'!$E:$E,'Consumable Usage'!$A:$A,$A122,'Consumable Usage'!$D:$D,8))</f>
        <v/>
      </c>
      <c r="CB122" s="12" t="str">
        <f>IF($A122="","",SUMIFS('Nursing Charges'!$I:$I,'Nursing Charges'!$A:$A,$A122,'Nursing Charges'!$C:$C,8))</f>
        <v/>
      </c>
      <c r="CC122" s="12" t="str">
        <f>IF($A122="","",BZ122+(CB122-SUMIFS('Nursing Charges'!$J:$J,'Nursing Charges'!$A:$A,$A122,'Nursing Charges'!$C:$C,8))+(CA122-SUMIFS('Consumable Usage'!$F:$F,'Consumable Usage'!$A:$A,$A122,'Consumable Usage'!$D:$D,8)))</f>
        <v/>
      </c>
      <c r="CD122" s="12" t="str">
        <f t="shared" si="22"/>
        <v/>
      </c>
      <c r="CE122" s="20"/>
      <c r="CF122" s="12" t="str">
        <f t="shared" si="23"/>
        <v/>
      </c>
      <c r="CG122" s="45" t="str">
        <f t="shared" si="24"/>
        <v/>
      </c>
      <c r="CH122" s="15"/>
      <c r="CI122" s="15"/>
      <c r="CJ122" s="20"/>
      <c r="CK122" s="12" t="str">
        <f>IF($A122="","",SUMIFS('Consumable Usage'!$E:$E,'Consumable Usage'!$A:$A,$A122,'Consumable Usage'!$D:$D,9))</f>
        <v/>
      </c>
      <c r="CL122" s="12" t="str">
        <f>IF($A122="","",SUMIFS('Nursing Charges'!$I:$I,'Nursing Charges'!$A:$A,$A122,'Nursing Charges'!$C:$C,9))</f>
        <v/>
      </c>
      <c r="CM122" s="12" t="str">
        <f>IF($A122="","",CJ122+(CL122-SUMIFS('Nursing Charges'!$J:$J,'Nursing Charges'!$A:$A,$A122,'Nursing Charges'!$C:$C,9))+(CK122-SUMIFS('Consumable Usage'!$F:$F,'Consumable Usage'!$A:$A,$A122,'Consumable Usage'!$D:$D,9)))</f>
        <v/>
      </c>
      <c r="CN122" s="12" t="str">
        <f t="shared" si="25"/>
        <v/>
      </c>
      <c r="CO122" s="20"/>
      <c r="CP122" s="12" t="str">
        <f t="shared" si="26"/>
        <v/>
      </c>
      <c r="CQ122" s="45" t="str">
        <f t="shared" si="27"/>
        <v/>
      </c>
      <c r="CR122" s="15"/>
      <c r="CS122" s="15"/>
      <c r="CT122" s="20"/>
      <c r="CU122" s="12" t="str">
        <f>IF($A122="","",SUMIFS('Consumable Usage'!$E:$E,'Consumable Usage'!$A:$A,$A122,'Consumable Usage'!$D:$D,10))</f>
        <v/>
      </c>
      <c r="CV122" s="12" t="str">
        <f>IF($A122="","",SUMIFS('Nursing Charges'!$I:$I,'Nursing Charges'!$A:$A,$A122,'Nursing Charges'!$C:$C,10))</f>
        <v/>
      </c>
      <c r="CW122" s="12" t="str">
        <f>IF($A122="","",CT122+(CV122-SUMIFS('Nursing Charges'!$J:$J,'Nursing Charges'!$A:$A,$A122,'Nursing Charges'!$C:$C,10))+(CU122-SUMIFS('Consumable Usage'!$F:$F,'Consumable Usage'!$A:$A,$A122,'Consumable Usage'!$D:$D,10)))</f>
        <v/>
      </c>
      <c r="CX122" s="12" t="str">
        <f t="shared" si="28"/>
        <v/>
      </c>
      <c r="CY122" s="20"/>
      <c r="CZ122" s="12" t="str">
        <f t="shared" si="29"/>
        <v/>
      </c>
      <c r="DA122" s="45" t="str">
        <f t="shared" si="30"/>
        <v/>
      </c>
      <c r="DB122" s="15"/>
      <c r="DC122" s="15"/>
      <c r="DD122" s="20"/>
      <c r="DE122" s="12" t="str">
        <f>IF($A122="","",SUMIFS('Consumable Usage'!$E:$E,'Consumable Usage'!$A:$A,$A122,'Consumable Usage'!$D:$D,11))</f>
        <v/>
      </c>
      <c r="DF122" s="12" t="str">
        <f>IF($A122="","",SUMIFS('Nursing Charges'!$I:$I,'Nursing Charges'!$A:$A,$A122,'Nursing Charges'!$C:$C,11))</f>
        <v/>
      </c>
      <c r="DG122" s="12" t="str">
        <f>IF($A122="","",DD122+(DF122-SUMIFS('Nursing Charges'!$J:$J,'Nursing Charges'!$A:$A,$A122,'Nursing Charges'!$C:$C,11))+(DE122-SUMIFS('Consumable Usage'!$F:$F,'Consumable Usage'!$A:$A,$A122,'Consumable Usage'!$D:$D,11)))</f>
        <v/>
      </c>
      <c r="DH122" s="12" t="str">
        <f t="shared" si="31"/>
        <v/>
      </c>
      <c r="DI122" s="20"/>
      <c r="DJ122" s="12" t="str">
        <f t="shared" si="32"/>
        <v/>
      </c>
      <c r="DK122" s="45" t="str">
        <f t="shared" si="33"/>
        <v/>
      </c>
      <c r="DL122" s="15"/>
      <c r="DM122" s="15"/>
      <c r="DN122" s="20"/>
      <c r="DO122" s="12" t="str">
        <f>IF($A122="","",SUMIFS('Consumable Usage'!$E:$E,'Consumable Usage'!$A:$A,$A122,'Consumable Usage'!$D:$D,12))</f>
        <v/>
      </c>
      <c r="DP122" s="12" t="str">
        <f>IF($A122="","",SUMIFS('Nursing Charges'!$I:$I,'Nursing Charges'!$A:$A,$A122,'Nursing Charges'!$C:$C,12))</f>
        <v/>
      </c>
      <c r="DQ122" s="12" t="str">
        <f>IF($A122="","",DN122+(DP122-SUMIFS('Nursing Charges'!$J:$J,'Nursing Charges'!$A:$A,$A122,'Nursing Charges'!$C:$C,12))+(DO122-SUMIFS('Consumable Usage'!$F:$F,'Consumable Usage'!$A:$A,$A122,'Consumable Usage'!$D:$D,12)))</f>
        <v/>
      </c>
      <c r="DR122" s="12" t="str">
        <f t="shared" si="34"/>
        <v/>
      </c>
      <c r="DS122" s="20"/>
      <c r="DT122" s="12" t="str">
        <f t="shared" si="35"/>
        <v/>
      </c>
      <c r="DU122" s="45" t="str">
        <f t="shared" si="36"/>
        <v/>
      </c>
      <c r="DV122" s="15"/>
      <c r="DW122" s="15"/>
      <c r="DX122" s="20"/>
      <c r="DY122" s="12" t="str">
        <f>IF($A122="","",SUMIFS('Consumable Usage'!$E:$E,'Consumable Usage'!$A:$A,$A122,'Consumable Usage'!$D:$D,13))</f>
        <v/>
      </c>
      <c r="DZ122" s="12" t="str">
        <f>IF($A122="","",SUMIFS('Nursing Charges'!$I:$I,'Nursing Charges'!$A:$A,$A122,'Nursing Charges'!$C:$C,13))</f>
        <v/>
      </c>
      <c r="EA122" s="12" t="str">
        <f>IF($A122="","",DX122+(DZ122-SUMIFS('Nursing Charges'!$J:$J,'Nursing Charges'!$A:$A,$A122,'Nursing Charges'!$C:$C,13))+(DY122-SUMIFS('Consumable Usage'!$F:$F,'Consumable Usage'!$A:$A,$A122,'Consumable Usage'!$D:$D,13)))</f>
        <v/>
      </c>
      <c r="EB122" s="12" t="str">
        <f t="shared" si="37"/>
        <v/>
      </c>
      <c r="EC122" s="20"/>
      <c r="ED122" s="12" t="str">
        <f t="shared" si="38"/>
        <v/>
      </c>
      <c r="EE122" s="45" t="str">
        <f t="shared" si="39"/>
        <v/>
      </c>
      <c r="EF122" s="15"/>
      <c r="EG122" s="15"/>
      <c r="EH122" s="20"/>
      <c r="EI122" s="12" t="str">
        <f>IF($A122="","",SUMIFS('Consumable Usage'!$E:$E,'Consumable Usage'!$A:$A,$A122,'Consumable Usage'!$D:$D,14))</f>
        <v/>
      </c>
      <c r="EJ122" s="12" t="str">
        <f>IF($A122="","",SUMIFS('Nursing Charges'!$I:$I,'Nursing Charges'!$A:$A,$A122,'Nursing Charges'!$C:$C,14))</f>
        <v/>
      </c>
      <c r="EK122" s="12" t="str">
        <f>IF($A122="","",EH122+(EJ122-SUMIFS('Nursing Charges'!$J:$J,'Nursing Charges'!$A:$A,$A122,'Nursing Charges'!$C:$C,14))+(EI122-SUMIFS('Consumable Usage'!$F:$F,'Consumable Usage'!$A:$A,$A122,'Consumable Usage'!$D:$D,14)))</f>
        <v/>
      </c>
      <c r="EL122" s="12" t="str">
        <f t="shared" si="40"/>
        <v/>
      </c>
      <c r="EM122" s="20"/>
      <c r="EN122" s="12" t="str">
        <f t="shared" si="41"/>
        <v/>
      </c>
      <c r="EO122" s="45" t="str">
        <f t="shared" si="42"/>
        <v/>
      </c>
      <c r="EP122" s="15"/>
      <c r="EQ122" s="15"/>
      <c r="ER122" s="20"/>
      <c r="ES122" s="12" t="str">
        <f>IF($A122="","",SUMIFS('Consumable Usage'!$E:$E,'Consumable Usage'!$A:$A,$A122,'Consumable Usage'!$D:$D,15))</f>
        <v/>
      </c>
      <c r="ET122" s="12" t="str">
        <f>IF($A122="","",SUMIFS('Nursing Charges'!$I:$I,'Nursing Charges'!$A:$A,$A122,'Nursing Charges'!$C:$C,15))</f>
        <v/>
      </c>
      <c r="EU122" s="12" t="str">
        <f>IF($A122="","",ER122+(ET122-SUMIFS('Nursing Charges'!$J:$J,'Nursing Charges'!$A:$A,$A122,'Nursing Charges'!$C:$C,15))+(ES122-SUMIFS('Consumable Usage'!$F:$F,'Consumable Usage'!$A:$A,$A122,'Consumable Usage'!$D:$D,15)))</f>
        <v/>
      </c>
      <c r="EV122" s="12" t="str">
        <f t="shared" si="43"/>
        <v/>
      </c>
      <c r="EW122" s="20"/>
      <c r="EX122" s="12" t="str">
        <f t="shared" si="44"/>
        <v/>
      </c>
      <c r="EY122" s="45" t="str">
        <f t="shared" si="45"/>
        <v/>
      </c>
      <c r="EZ122" s="15"/>
      <c r="FA122" s="15"/>
      <c r="FB122" s="20"/>
      <c r="FC122" s="12" t="str">
        <f>IF($A122="","",SUMIFS('Consumable Usage'!$E:$E,'Consumable Usage'!$A:$A,$A122,'Consumable Usage'!$D:$D,16))</f>
        <v/>
      </c>
      <c r="FD122" s="12" t="str">
        <f>IF($A122="","",SUMIFS('Nursing Charges'!$I:$I,'Nursing Charges'!$A:$A,$A122,'Nursing Charges'!$C:$C,16))</f>
        <v/>
      </c>
      <c r="FE122" s="12" t="str">
        <f>IF($A122="","",FB122+(FD122-SUMIFS('Nursing Charges'!$J:$J,'Nursing Charges'!$A:$A,$A122,'Nursing Charges'!$C:$C,16))+(FC122-SUMIFS('Consumable Usage'!$F:$F,'Consumable Usage'!$A:$A,$A122,'Consumable Usage'!$D:$D,16)))</f>
        <v/>
      </c>
      <c r="FF122" s="12" t="str">
        <f t="shared" si="46"/>
        <v/>
      </c>
      <c r="FG122" s="20"/>
      <c r="FH122" s="12" t="str">
        <f t="shared" si="47"/>
        <v/>
      </c>
      <c r="FI122" s="45" t="str">
        <f t="shared" si="48"/>
        <v/>
      </c>
      <c r="FJ122" s="53"/>
      <c r="FK122" s="53"/>
      <c r="FL122" s="63"/>
      <c r="FM122" s="63" t="str">
        <f>IF($A122="","",SUMIFS('Consumable Usage'!$E:$E,'Consumable Usage'!$A:$A,$A122,'Consumable Usage'!$D:$D,16))</f>
        <v/>
      </c>
      <c r="FN122" s="63" t="str">
        <f>IF($A122="","",SUMIFS('Nursing Charges'!$I:$I,'Nursing Charges'!$A:$A,$A122,'Nursing Charges'!$C:$C,16))</f>
        <v/>
      </c>
      <c r="FO122" s="63" t="str">
        <f>IF($A122="","",FL122+(FN122-SUMIFS('Nursing Charges'!$J:$J,'Nursing Charges'!$A:$A,$A122,'Nursing Charges'!$C:$C,16))+(FM122-SUMIFS('Consumable Usage'!$F:$F,'Consumable Usage'!$A:$A,$A122,'Consumable Usage'!$D:$D,16)))</f>
        <v/>
      </c>
      <c r="FP122" s="63" t="str">
        <f t="shared" si="49"/>
        <v/>
      </c>
      <c r="FQ122" s="63"/>
      <c r="FR122" s="63" t="str">
        <f t="shared" si="50"/>
        <v/>
      </c>
      <c r="FS122" s="53" t="str">
        <f t="shared" si="51"/>
        <v/>
      </c>
    </row>
    <row r="123" ht="15.0" customHeight="1">
      <c r="A123" s="15"/>
      <c r="B123" s="15"/>
      <c r="C123" s="15"/>
      <c r="D123" s="15"/>
      <c r="E123" s="15"/>
      <c r="F123" s="15"/>
      <c r="G123" s="15"/>
      <c r="H123" s="20"/>
      <c r="I123" s="12" t="str">
        <f>IF($A123="","",SUMIFS('Consumable Usage'!$E:$E,'Consumable Usage'!$A:$A,$A123,'Consumable Usage'!$D:$D,1))</f>
        <v/>
      </c>
      <c r="J123" s="12" t="str">
        <f>IF($A123="","",SUMIFS('Nursing Charges'!$I:$I,'Nursing Charges'!$A:$A,$A123,'Nursing Charges'!$C:$C,1))</f>
        <v/>
      </c>
      <c r="K123" s="12" t="str">
        <f>IF($A123="","",H123+(J123-SUMIFS('Nursing Charges'!$J:$J,'Nursing Charges'!$A:$A,$A123,'Nursing Charges'!$C:$C,1))+(I123-SUMIFS('Consumable Usage'!$F:$F,'Consumable Usage'!$A:$A,$A123,'Consumable Usage'!$D:$D,1)))</f>
        <v/>
      </c>
      <c r="L123" s="12" t="str">
        <f t="shared" si="1"/>
        <v/>
      </c>
      <c r="M123" s="20"/>
      <c r="N123" s="12" t="str">
        <f t="shared" si="2"/>
        <v/>
      </c>
      <c r="O123" s="45" t="str">
        <f t="shared" si="3"/>
        <v/>
      </c>
      <c r="P123" s="15"/>
      <c r="Q123" s="15"/>
      <c r="R123" s="20"/>
      <c r="S123" s="12" t="str">
        <f>IF($A123="","",SUMIFS('Consumable Usage'!$E:$E,'Consumable Usage'!$A:$A,$A123,'Consumable Usage'!$D:$D,2))</f>
        <v/>
      </c>
      <c r="T123" s="12" t="str">
        <f>IF($A123="","",SUMIFS('Nursing Charges'!$I:$I,'Nursing Charges'!$A:$A,$A123,'Nursing Charges'!$C:$C,2))</f>
        <v/>
      </c>
      <c r="U123" s="12" t="str">
        <f>IF($A123="","",R123+(T123-SUMIFS('Nursing Charges'!$J:$J,'Nursing Charges'!$A:$A,$A123,'Nursing Charges'!$C:$C,2))+(S123-SUMIFS('Consumable Usage'!$F:$F,'Consumable Usage'!$A:$A,$A123,'Consumable Usage'!$D:$D,2)))</f>
        <v/>
      </c>
      <c r="V123" s="12" t="str">
        <f t="shared" si="4"/>
        <v/>
      </c>
      <c r="W123" s="20"/>
      <c r="X123" s="12" t="str">
        <f t="shared" si="5"/>
        <v/>
      </c>
      <c r="Y123" s="45" t="str">
        <f t="shared" si="6"/>
        <v/>
      </c>
      <c r="Z123" s="15"/>
      <c r="AA123" s="15"/>
      <c r="AB123" s="20"/>
      <c r="AC123" s="12" t="str">
        <f>IF($A123="","",SUMIFS('Consumable Usage'!$E:$E,'Consumable Usage'!$A:$A,$A123,'Consumable Usage'!$D:$D,3))</f>
        <v/>
      </c>
      <c r="AD123" s="12" t="str">
        <f>IF($A123="","",SUMIFS('Nursing Charges'!$I:$I,'Nursing Charges'!$A:$A,$A123,'Nursing Charges'!$C:$C,3))</f>
        <v/>
      </c>
      <c r="AE123" s="12" t="str">
        <f>IF($A123="","",AB123+(AD123-SUMIFS('Nursing Charges'!$J:$J,'Nursing Charges'!$A:$A,$A123,'Nursing Charges'!$C:$C,3))+(AC123-SUMIFS('Consumable Usage'!$F:$F,'Consumable Usage'!$A:$A,$A123,'Consumable Usage'!$D:$D,3)))</f>
        <v/>
      </c>
      <c r="AF123" s="12" t="str">
        <f t="shared" si="7"/>
        <v/>
      </c>
      <c r="AG123" s="20"/>
      <c r="AH123" s="12" t="str">
        <f t="shared" si="8"/>
        <v/>
      </c>
      <c r="AI123" s="45" t="str">
        <f t="shared" si="9"/>
        <v/>
      </c>
      <c r="AJ123" s="15"/>
      <c r="AK123" s="15"/>
      <c r="AL123" s="20"/>
      <c r="AM123" s="12" t="str">
        <f>IF($A123="","",SUMIFS('Consumable Usage'!$E:$E,'Consumable Usage'!$A:$A,$A123,'Consumable Usage'!$D:$D,4))</f>
        <v/>
      </c>
      <c r="AN123" s="12" t="str">
        <f>IF($A123="","",SUMIFS('Nursing Charges'!$I:$I,'Nursing Charges'!$A:$A,$A123,'Nursing Charges'!$C:$C,4))</f>
        <v/>
      </c>
      <c r="AO123" s="12" t="str">
        <f>IF($A123="","",AL123+(AN123-SUMIFS('Nursing Charges'!$J:$J,'Nursing Charges'!$A:$A,$A123,'Nursing Charges'!$C:$C,4))+(AM123-SUMIFS('Consumable Usage'!$F:$F,'Consumable Usage'!$A:$A,$A123,'Consumable Usage'!$D:$D,4)))</f>
        <v/>
      </c>
      <c r="AP123" s="12" t="str">
        <f t="shared" si="10"/>
        <v/>
      </c>
      <c r="AQ123" s="20"/>
      <c r="AR123" s="12" t="str">
        <f t="shared" si="11"/>
        <v/>
      </c>
      <c r="AS123" s="45" t="str">
        <f t="shared" si="12"/>
        <v/>
      </c>
      <c r="AT123" s="15"/>
      <c r="AU123" s="15"/>
      <c r="AV123" s="20"/>
      <c r="AW123" s="12" t="str">
        <f>IF($A123="","",SUMIFS('Consumable Usage'!$E:$E,'Consumable Usage'!$A:$A,$A123,'Consumable Usage'!$D:$D,5))</f>
        <v/>
      </c>
      <c r="AX123" s="12" t="str">
        <f>IF($A123="","",SUMIFS('Nursing Charges'!$I:$I,'Nursing Charges'!$A:$A,$A123,'Nursing Charges'!$C:$C,5))</f>
        <v/>
      </c>
      <c r="AY123" s="12" t="str">
        <f>IF($A123="","",AV123+(AX123-SUMIFS('Nursing Charges'!$J:$J,'Nursing Charges'!$A:$A,$A123,'Nursing Charges'!$C:$C,5))+(AW123-SUMIFS('Consumable Usage'!$F:$F,'Consumable Usage'!$A:$A,$A123,'Consumable Usage'!$D:$D,5)))</f>
        <v/>
      </c>
      <c r="AZ123" s="12" t="str">
        <f t="shared" si="13"/>
        <v/>
      </c>
      <c r="BA123" s="20"/>
      <c r="BB123" s="12" t="str">
        <f t="shared" si="14"/>
        <v/>
      </c>
      <c r="BC123" s="45" t="str">
        <f t="shared" si="15"/>
        <v/>
      </c>
      <c r="BD123" s="15"/>
      <c r="BE123" s="15"/>
      <c r="BF123" s="20"/>
      <c r="BG123" s="12" t="str">
        <f>IF($A123="","",SUMIFS('Consumable Usage'!$E:$E,'Consumable Usage'!$A:$A,$A123,'Consumable Usage'!$D:$D,6))</f>
        <v/>
      </c>
      <c r="BH123" s="12" t="str">
        <f>IF($A123="","",SUMIFS('Nursing Charges'!$I:$I,'Nursing Charges'!$A:$A,$A123,'Nursing Charges'!$C:$C,6))</f>
        <v/>
      </c>
      <c r="BI123" s="12" t="str">
        <f>IF($A123="","",BF123+(BH123-SUMIFS('Nursing Charges'!$J:$J,'Nursing Charges'!$A:$A,$A123,'Nursing Charges'!$C:$C,6))+(BG123-SUMIFS('Consumable Usage'!$F:$F,'Consumable Usage'!$A:$A,$A123,'Consumable Usage'!$D:$D,6)))</f>
        <v/>
      </c>
      <c r="BJ123" s="12" t="str">
        <f t="shared" si="16"/>
        <v/>
      </c>
      <c r="BK123" s="20"/>
      <c r="BL123" s="12" t="str">
        <f t="shared" si="17"/>
        <v/>
      </c>
      <c r="BM123" s="45" t="str">
        <f t="shared" si="18"/>
        <v/>
      </c>
      <c r="BN123" s="15"/>
      <c r="BO123" s="15"/>
      <c r="BP123" s="20"/>
      <c r="BQ123" s="12" t="str">
        <f>IF($A123="","",SUMIFS('Consumable Usage'!$E:$E,'Consumable Usage'!$A:$A,$A123,'Consumable Usage'!$D:$D,7))</f>
        <v/>
      </c>
      <c r="BR123" s="12" t="str">
        <f>IF($A123="","",SUMIFS('Nursing Charges'!$I:$I,'Nursing Charges'!$A:$A,$A123,'Nursing Charges'!$C:$C,7))</f>
        <v/>
      </c>
      <c r="BS123" s="12" t="str">
        <f>IF($A123="","",BP123+(BR123-SUMIFS('Nursing Charges'!$J:$J,'Nursing Charges'!$A:$A,$A123,'Nursing Charges'!$C:$C,7))+(BQ123-SUMIFS('Consumable Usage'!$F:$F,'Consumable Usage'!$A:$A,$A123,'Consumable Usage'!$D:$D,7)))</f>
        <v/>
      </c>
      <c r="BT123" s="12" t="str">
        <f t="shared" si="19"/>
        <v/>
      </c>
      <c r="BU123" s="20"/>
      <c r="BV123" s="12" t="str">
        <f t="shared" si="20"/>
        <v/>
      </c>
      <c r="BW123" s="45" t="str">
        <f t="shared" si="21"/>
        <v/>
      </c>
      <c r="BX123" s="15"/>
      <c r="BY123" s="15"/>
      <c r="BZ123" s="20"/>
      <c r="CA123" s="12" t="str">
        <f>IF($A123="","",SUMIFS('Consumable Usage'!$E:$E,'Consumable Usage'!$A:$A,$A123,'Consumable Usage'!$D:$D,8))</f>
        <v/>
      </c>
      <c r="CB123" s="12" t="str">
        <f>IF($A123="","",SUMIFS('Nursing Charges'!$I:$I,'Nursing Charges'!$A:$A,$A123,'Nursing Charges'!$C:$C,8))</f>
        <v/>
      </c>
      <c r="CC123" s="12" t="str">
        <f>IF($A123="","",BZ123+(CB123-SUMIFS('Nursing Charges'!$J:$J,'Nursing Charges'!$A:$A,$A123,'Nursing Charges'!$C:$C,8))+(CA123-SUMIFS('Consumable Usage'!$F:$F,'Consumable Usage'!$A:$A,$A123,'Consumable Usage'!$D:$D,8)))</f>
        <v/>
      </c>
      <c r="CD123" s="12" t="str">
        <f t="shared" si="22"/>
        <v/>
      </c>
      <c r="CE123" s="20"/>
      <c r="CF123" s="12" t="str">
        <f t="shared" si="23"/>
        <v/>
      </c>
      <c r="CG123" s="45" t="str">
        <f t="shared" si="24"/>
        <v/>
      </c>
      <c r="CH123" s="15"/>
      <c r="CI123" s="15"/>
      <c r="CJ123" s="20"/>
      <c r="CK123" s="12" t="str">
        <f>IF($A123="","",SUMIFS('Consumable Usage'!$E:$E,'Consumable Usage'!$A:$A,$A123,'Consumable Usage'!$D:$D,9))</f>
        <v/>
      </c>
      <c r="CL123" s="12" t="str">
        <f>IF($A123="","",SUMIFS('Nursing Charges'!$I:$I,'Nursing Charges'!$A:$A,$A123,'Nursing Charges'!$C:$C,9))</f>
        <v/>
      </c>
      <c r="CM123" s="12" t="str">
        <f>IF($A123="","",CJ123+(CL123-SUMIFS('Nursing Charges'!$J:$J,'Nursing Charges'!$A:$A,$A123,'Nursing Charges'!$C:$C,9))+(CK123-SUMIFS('Consumable Usage'!$F:$F,'Consumable Usage'!$A:$A,$A123,'Consumable Usage'!$D:$D,9)))</f>
        <v/>
      </c>
      <c r="CN123" s="12" t="str">
        <f t="shared" si="25"/>
        <v/>
      </c>
      <c r="CO123" s="20"/>
      <c r="CP123" s="12" t="str">
        <f t="shared" si="26"/>
        <v/>
      </c>
      <c r="CQ123" s="45" t="str">
        <f t="shared" si="27"/>
        <v/>
      </c>
      <c r="CR123" s="15"/>
      <c r="CS123" s="15"/>
      <c r="CT123" s="20"/>
      <c r="CU123" s="12" t="str">
        <f>IF($A123="","",SUMIFS('Consumable Usage'!$E:$E,'Consumable Usage'!$A:$A,$A123,'Consumable Usage'!$D:$D,10))</f>
        <v/>
      </c>
      <c r="CV123" s="12" t="str">
        <f>IF($A123="","",SUMIFS('Nursing Charges'!$I:$I,'Nursing Charges'!$A:$A,$A123,'Nursing Charges'!$C:$C,10))</f>
        <v/>
      </c>
      <c r="CW123" s="12" t="str">
        <f>IF($A123="","",CT123+(CV123-SUMIFS('Nursing Charges'!$J:$J,'Nursing Charges'!$A:$A,$A123,'Nursing Charges'!$C:$C,10))+(CU123-SUMIFS('Consumable Usage'!$F:$F,'Consumable Usage'!$A:$A,$A123,'Consumable Usage'!$D:$D,10)))</f>
        <v/>
      </c>
      <c r="CX123" s="12" t="str">
        <f t="shared" si="28"/>
        <v/>
      </c>
      <c r="CY123" s="20"/>
      <c r="CZ123" s="12" t="str">
        <f t="shared" si="29"/>
        <v/>
      </c>
      <c r="DA123" s="45" t="str">
        <f t="shared" si="30"/>
        <v/>
      </c>
      <c r="DB123" s="15"/>
      <c r="DC123" s="15"/>
      <c r="DD123" s="20"/>
      <c r="DE123" s="12" t="str">
        <f>IF($A123="","",SUMIFS('Consumable Usage'!$E:$E,'Consumable Usage'!$A:$A,$A123,'Consumable Usage'!$D:$D,11))</f>
        <v/>
      </c>
      <c r="DF123" s="12" t="str">
        <f>IF($A123="","",SUMIFS('Nursing Charges'!$I:$I,'Nursing Charges'!$A:$A,$A123,'Nursing Charges'!$C:$C,11))</f>
        <v/>
      </c>
      <c r="DG123" s="12" t="str">
        <f>IF($A123="","",DD123+(DF123-SUMIFS('Nursing Charges'!$J:$J,'Nursing Charges'!$A:$A,$A123,'Nursing Charges'!$C:$C,11))+(DE123-SUMIFS('Consumable Usage'!$F:$F,'Consumable Usage'!$A:$A,$A123,'Consumable Usage'!$D:$D,11)))</f>
        <v/>
      </c>
      <c r="DH123" s="12" t="str">
        <f t="shared" si="31"/>
        <v/>
      </c>
      <c r="DI123" s="20"/>
      <c r="DJ123" s="12" t="str">
        <f t="shared" si="32"/>
        <v/>
      </c>
      <c r="DK123" s="45" t="str">
        <f t="shared" si="33"/>
        <v/>
      </c>
      <c r="DL123" s="15"/>
      <c r="DM123" s="15"/>
      <c r="DN123" s="20"/>
      <c r="DO123" s="12" t="str">
        <f>IF($A123="","",SUMIFS('Consumable Usage'!$E:$E,'Consumable Usage'!$A:$A,$A123,'Consumable Usage'!$D:$D,12))</f>
        <v/>
      </c>
      <c r="DP123" s="12" t="str">
        <f>IF($A123="","",SUMIFS('Nursing Charges'!$I:$I,'Nursing Charges'!$A:$A,$A123,'Nursing Charges'!$C:$C,12))</f>
        <v/>
      </c>
      <c r="DQ123" s="12" t="str">
        <f>IF($A123="","",DN123+(DP123-SUMIFS('Nursing Charges'!$J:$J,'Nursing Charges'!$A:$A,$A123,'Nursing Charges'!$C:$C,12))+(DO123-SUMIFS('Consumable Usage'!$F:$F,'Consumable Usage'!$A:$A,$A123,'Consumable Usage'!$D:$D,12)))</f>
        <v/>
      </c>
      <c r="DR123" s="12" t="str">
        <f t="shared" si="34"/>
        <v/>
      </c>
      <c r="DS123" s="20"/>
      <c r="DT123" s="12" t="str">
        <f t="shared" si="35"/>
        <v/>
      </c>
      <c r="DU123" s="45" t="str">
        <f t="shared" si="36"/>
        <v/>
      </c>
      <c r="DV123" s="15"/>
      <c r="DW123" s="15"/>
      <c r="DX123" s="20"/>
      <c r="DY123" s="12" t="str">
        <f>IF($A123="","",SUMIFS('Consumable Usage'!$E:$E,'Consumable Usage'!$A:$A,$A123,'Consumable Usage'!$D:$D,13))</f>
        <v/>
      </c>
      <c r="DZ123" s="12" t="str">
        <f>IF($A123="","",SUMIFS('Nursing Charges'!$I:$I,'Nursing Charges'!$A:$A,$A123,'Nursing Charges'!$C:$C,13))</f>
        <v/>
      </c>
      <c r="EA123" s="12" t="str">
        <f>IF($A123="","",DX123+(DZ123-SUMIFS('Nursing Charges'!$J:$J,'Nursing Charges'!$A:$A,$A123,'Nursing Charges'!$C:$C,13))+(DY123-SUMIFS('Consumable Usage'!$F:$F,'Consumable Usage'!$A:$A,$A123,'Consumable Usage'!$D:$D,13)))</f>
        <v/>
      </c>
      <c r="EB123" s="12" t="str">
        <f t="shared" si="37"/>
        <v/>
      </c>
      <c r="EC123" s="20"/>
      <c r="ED123" s="12" t="str">
        <f t="shared" si="38"/>
        <v/>
      </c>
      <c r="EE123" s="45" t="str">
        <f t="shared" si="39"/>
        <v/>
      </c>
      <c r="EF123" s="15"/>
      <c r="EG123" s="15"/>
      <c r="EH123" s="20"/>
      <c r="EI123" s="12" t="str">
        <f>IF($A123="","",SUMIFS('Consumable Usage'!$E:$E,'Consumable Usage'!$A:$A,$A123,'Consumable Usage'!$D:$D,14))</f>
        <v/>
      </c>
      <c r="EJ123" s="12" t="str">
        <f>IF($A123="","",SUMIFS('Nursing Charges'!$I:$I,'Nursing Charges'!$A:$A,$A123,'Nursing Charges'!$C:$C,14))</f>
        <v/>
      </c>
      <c r="EK123" s="12" t="str">
        <f>IF($A123="","",EH123+(EJ123-SUMIFS('Nursing Charges'!$J:$J,'Nursing Charges'!$A:$A,$A123,'Nursing Charges'!$C:$C,14))+(EI123-SUMIFS('Consumable Usage'!$F:$F,'Consumable Usage'!$A:$A,$A123,'Consumable Usage'!$D:$D,14)))</f>
        <v/>
      </c>
      <c r="EL123" s="12" t="str">
        <f t="shared" si="40"/>
        <v/>
      </c>
      <c r="EM123" s="20"/>
      <c r="EN123" s="12" t="str">
        <f t="shared" si="41"/>
        <v/>
      </c>
      <c r="EO123" s="45" t="str">
        <f t="shared" si="42"/>
        <v/>
      </c>
      <c r="EP123" s="15"/>
      <c r="EQ123" s="15"/>
      <c r="ER123" s="20"/>
      <c r="ES123" s="12" t="str">
        <f>IF($A123="","",SUMIFS('Consumable Usage'!$E:$E,'Consumable Usage'!$A:$A,$A123,'Consumable Usage'!$D:$D,15))</f>
        <v/>
      </c>
      <c r="ET123" s="12" t="str">
        <f>IF($A123="","",SUMIFS('Nursing Charges'!$I:$I,'Nursing Charges'!$A:$A,$A123,'Nursing Charges'!$C:$C,15))</f>
        <v/>
      </c>
      <c r="EU123" s="12" t="str">
        <f>IF($A123="","",ER123+(ET123-SUMIFS('Nursing Charges'!$J:$J,'Nursing Charges'!$A:$A,$A123,'Nursing Charges'!$C:$C,15))+(ES123-SUMIFS('Consumable Usage'!$F:$F,'Consumable Usage'!$A:$A,$A123,'Consumable Usage'!$D:$D,15)))</f>
        <v/>
      </c>
      <c r="EV123" s="12" t="str">
        <f t="shared" si="43"/>
        <v/>
      </c>
      <c r="EW123" s="20"/>
      <c r="EX123" s="12" t="str">
        <f t="shared" si="44"/>
        <v/>
      </c>
      <c r="EY123" s="45" t="str">
        <f t="shared" si="45"/>
        <v/>
      </c>
      <c r="EZ123" s="15"/>
      <c r="FA123" s="15"/>
      <c r="FB123" s="20"/>
      <c r="FC123" s="12" t="str">
        <f>IF($A123="","",SUMIFS('Consumable Usage'!$E:$E,'Consumable Usage'!$A:$A,$A123,'Consumable Usage'!$D:$D,16))</f>
        <v/>
      </c>
      <c r="FD123" s="12" t="str">
        <f>IF($A123="","",SUMIFS('Nursing Charges'!$I:$I,'Nursing Charges'!$A:$A,$A123,'Nursing Charges'!$C:$C,16))</f>
        <v/>
      </c>
      <c r="FE123" s="12" t="str">
        <f>IF($A123="","",FB123+(FD123-SUMIFS('Nursing Charges'!$J:$J,'Nursing Charges'!$A:$A,$A123,'Nursing Charges'!$C:$C,16))+(FC123-SUMIFS('Consumable Usage'!$F:$F,'Consumable Usage'!$A:$A,$A123,'Consumable Usage'!$D:$D,16)))</f>
        <v/>
      </c>
      <c r="FF123" s="12" t="str">
        <f t="shared" si="46"/>
        <v/>
      </c>
      <c r="FG123" s="20"/>
      <c r="FH123" s="12" t="str">
        <f t="shared" si="47"/>
        <v/>
      </c>
      <c r="FI123" s="45" t="str">
        <f t="shared" si="48"/>
        <v/>
      </c>
      <c r="FJ123" s="53"/>
      <c r="FK123" s="53"/>
      <c r="FL123" s="63"/>
      <c r="FM123" s="63" t="str">
        <f>IF($A123="","",SUMIFS('Consumable Usage'!$E:$E,'Consumable Usage'!$A:$A,$A123,'Consumable Usage'!$D:$D,16))</f>
        <v/>
      </c>
      <c r="FN123" s="63" t="str">
        <f>IF($A123="","",SUMIFS('Nursing Charges'!$I:$I,'Nursing Charges'!$A:$A,$A123,'Nursing Charges'!$C:$C,16))</f>
        <v/>
      </c>
      <c r="FO123" s="63" t="str">
        <f>IF($A123="","",FL123+(FN123-SUMIFS('Nursing Charges'!$J:$J,'Nursing Charges'!$A:$A,$A123,'Nursing Charges'!$C:$C,16))+(FM123-SUMIFS('Consumable Usage'!$F:$F,'Consumable Usage'!$A:$A,$A123,'Consumable Usage'!$D:$D,16)))</f>
        <v/>
      </c>
      <c r="FP123" s="63" t="str">
        <f t="shared" si="49"/>
        <v/>
      </c>
      <c r="FQ123" s="63"/>
      <c r="FR123" s="63" t="str">
        <f t="shared" si="50"/>
        <v/>
      </c>
      <c r="FS123" s="53" t="str">
        <f t="shared" si="51"/>
        <v/>
      </c>
    </row>
    <row r="124" ht="15.0" customHeight="1">
      <c r="A124" s="15"/>
      <c r="B124" s="15"/>
      <c r="C124" s="15"/>
      <c r="D124" s="15"/>
      <c r="E124" s="15"/>
      <c r="F124" s="15"/>
      <c r="G124" s="15"/>
      <c r="H124" s="20"/>
      <c r="I124" s="12" t="str">
        <f>IF($A124="","",SUMIFS('Consumable Usage'!$E:$E,'Consumable Usage'!$A:$A,$A124,'Consumable Usage'!$D:$D,1))</f>
        <v/>
      </c>
      <c r="J124" s="12" t="str">
        <f>IF($A124="","",SUMIFS('Nursing Charges'!$I:$I,'Nursing Charges'!$A:$A,$A124,'Nursing Charges'!$C:$C,1))</f>
        <v/>
      </c>
      <c r="K124" s="12" t="str">
        <f>IF($A124="","",H124+(J124-SUMIFS('Nursing Charges'!$J:$J,'Nursing Charges'!$A:$A,$A124,'Nursing Charges'!$C:$C,1))+(I124-SUMIFS('Consumable Usage'!$F:$F,'Consumable Usage'!$A:$A,$A124,'Consumable Usage'!$D:$D,1)))</f>
        <v/>
      </c>
      <c r="L124" s="12" t="str">
        <f t="shared" si="1"/>
        <v/>
      </c>
      <c r="M124" s="20"/>
      <c r="N124" s="12" t="str">
        <f t="shared" si="2"/>
        <v/>
      </c>
      <c r="O124" s="45" t="str">
        <f t="shared" si="3"/>
        <v/>
      </c>
      <c r="P124" s="15"/>
      <c r="Q124" s="15"/>
      <c r="R124" s="20"/>
      <c r="S124" s="12" t="str">
        <f>IF($A124="","",SUMIFS('Consumable Usage'!$E:$E,'Consumable Usage'!$A:$A,$A124,'Consumable Usage'!$D:$D,2))</f>
        <v/>
      </c>
      <c r="T124" s="12" t="str">
        <f>IF($A124="","",SUMIFS('Nursing Charges'!$I:$I,'Nursing Charges'!$A:$A,$A124,'Nursing Charges'!$C:$C,2))</f>
        <v/>
      </c>
      <c r="U124" s="12" t="str">
        <f>IF($A124="","",R124+(T124-SUMIFS('Nursing Charges'!$J:$J,'Nursing Charges'!$A:$A,$A124,'Nursing Charges'!$C:$C,2))+(S124-SUMIFS('Consumable Usage'!$F:$F,'Consumable Usage'!$A:$A,$A124,'Consumable Usage'!$D:$D,2)))</f>
        <v/>
      </c>
      <c r="V124" s="12" t="str">
        <f t="shared" si="4"/>
        <v/>
      </c>
      <c r="W124" s="20"/>
      <c r="X124" s="12" t="str">
        <f t="shared" si="5"/>
        <v/>
      </c>
      <c r="Y124" s="45" t="str">
        <f t="shared" si="6"/>
        <v/>
      </c>
      <c r="Z124" s="15"/>
      <c r="AA124" s="15"/>
      <c r="AB124" s="20"/>
      <c r="AC124" s="12" t="str">
        <f>IF($A124="","",SUMIFS('Consumable Usage'!$E:$E,'Consumable Usage'!$A:$A,$A124,'Consumable Usage'!$D:$D,3))</f>
        <v/>
      </c>
      <c r="AD124" s="12" t="str">
        <f>IF($A124="","",SUMIFS('Nursing Charges'!$I:$I,'Nursing Charges'!$A:$A,$A124,'Nursing Charges'!$C:$C,3))</f>
        <v/>
      </c>
      <c r="AE124" s="12" t="str">
        <f>IF($A124="","",AB124+(AD124-SUMIFS('Nursing Charges'!$J:$J,'Nursing Charges'!$A:$A,$A124,'Nursing Charges'!$C:$C,3))+(AC124-SUMIFS('Consumable Usage'!$F:$F,'Consumable Usage'!$A:$A,$A124,'Consumable Usage'!$D:$D,3)))</f>
        <v/>
      </c>
      <c r="AF124" s="12" t="str">
        <f t="shared" si="7"/>
        <v/>
      </c>
      <c r="AG124" s="20"/>
      <c r="AH124" s="12" t="str">
        <f t="shared" si="8"/>
        <v/>
      </c>
      <c r="AI124" s="45" t="str">
        <f t="shared" si="9"/>
        <v/>
      </c>
      <c r="AJ124" s="15"/>
      <c r="AK124" s="15"/>
      <c r="AL124" s="20"/>
      <c r="AM124" s="12" t="str">
        <f>IF($A124="","",SUMIFS('Consumable Usage'!$E:$E,'Consumable Usage'!$A:$A,$A124,'Consumable Usage'!$D:$D,4))</f>
        <v/>
      </c>
      <c r="AN124" s="12" t="str">
        <f>IF($A124="","",SUMIFS('Nursing Charges'!$I:$I,'Nursing Charges'!$A:$A,$A124,'Nursing Charges'!$C:$C,4))</f>
        <v/>
      </c>
      <c r="AO124" s="12" t="str">
        <f>IF($A124="","",AL124+(AN124-SUMIFS('Nursing Charges'!$J:$J,'Nursing Charges'!$A:$A,$A124,'Nursing Charges'!$C:$C,4))+(AM124-SUMIFS('Consumable Usage'!$F:$F,'Consumable Usage'!$A:$A,$A124,'Consumable Usage'!$D:$D,4)))</f>
        <v/>
      </c>
      <c r="AP124" s="12" t="str">
        <f t="shared" si="10"/>
        <v/>
      </c>
      <c r="AQ124" s="20"/>
      <c r="AR124" s="12" t="str">
        <f t="shared" si="11"/>
        <v/>
      </c>
      <c r="AS124" s="45" t="str">
        <f t="shared" si="12"/>
        <v/>
      </c>
      <c r="AT124" s="15"/>
      <c r="AU124" s="15"/>
      <c r="AV124" s="20"/>
      <c r="AW124" s="12" t="str">
        <f>IF($A124="","",SUMIFS('Consumable Usage'!$E:$E,'Consumable Usage'!$A:$A,$A124,'Consumable Usage'!$D:$D,5))</f>
        <v/>
      </c>
      <c r="AX124" s="12" t="str">
        <f>IF($A124="","",SUMIFS('Nursing Charges'!$I:$I,'Nursing Charges'!$A:$A,$A124,'Nursing Charges'!$C:$C,5))</f>
        <v/>
      </c>
      <c r="AY124" s="12" t="str">
        <f>IF($A124="","",AV124+(AX124-SUMIFS('Nursing Charges'!$J:$J,'Nursing Charges'!$A:$A,$A124,'Nursing Charges'!$C:$C,5))+(AW124-SUMIFS('Consumable Usage'!$F:$F,'Consumable Usage'!$A:$A,$A124,'Consumable Usage'!$D:$D,5)))</f>
        <v/>
      </c>
      <c r="AZ124" s="12" t="str">
        <f t="shared" si="13"/>
        <v/>
      </c>
      <c r="BA124" s="20"/>
      <c r="BB124" s="12" t="str">
        <f t="shared" si="14"/>
        <v/>
      </c>
      <c r="BC124" s="45" t="str">
        <f t="shared" si="15"/>
        <v/>
      </c>
      <c r="BD124" s="15"/>
      <c r="BE124" s="15"/>
      <c r="BF124" s="20"/>
      <c r="BG124" s="12" t="str">
        <f>IF($A124="","",SUMIFS('Consumable Usage'!$E:$E,'Consumable Usage'!$A:$A,$A124,'Consumable Usage'!$D:$D,6))</f>
        <v/>
      </c>
      <c r="BH124" s="12" t="str">
        <f>IF($A124="","",SUMIFS('Nursing Charges'!$I:$I,'Nursing Charges'!$A:$A,$A124,'Nursing Charges'!$C:$C,6))</f>
        <v/>
      </c>
      <c r="BI124" s="12" t="str">
        <f>IF($A124="","",BF124+(BH124-SUMIFS('Nursing Charges'!$J:$J,'Nursing Charges'!$A:$A,$A124,'Nursing Charges'!$C:$C,6))+(BG124-SUMIFS('Consumable Usage'!$F:$F,'Consumable Usage'!$A:$A,$A124,'Consumable Usage'!$D:$D,6)))</f>
        <v/>
      </c>
      <c r="BJ124" s="12" t="str">
        <f t="shared" si="16"/>
        <v/>
      </c>
      <c r="BK124" s="20"/>
      <c r="BL124" s="12" t="str">
        <f t="shared" si="17"/>
        <v/>
      </c>
      <c r="BM124" s="45" t="str">
        <f t="shared" si="18"/>
        <v/>
      </c>
      <c r="BN124" s="15"/>
      <c r="BO124" s="15"/>
      <c r="BP124" s="20"/>
      <c r="BQ124" s="12" t="str">
        <f>IF($A124="","",SUMIFS('Consumable Usage'!$E:$E,'Consumable Usage'!$A:$A,$A124,'Consumable Usage'!$D:$D,7))</f>
        <v/>
      </c>
      <c r="BR124" s="12" t="str">
        <f>IF($A124="","",SUMIFS('Nursing Charges'!$I:$I,'Nursing Charges'!$A:$A,$A124,'Nursing Charges'!$C:$C,7))</f>
        <v/>
      </c>
      <c r="BS124" s="12" t="str">
        <f>IF($A124="","",BP124+(BR124-SUMIFS('Nursing Charges'!$J:$J,'Nursing Charges'!$A:$A,$A124,'Nursing Charges'!$C:$C,7))+(BQ124-SUMIFS('Consumable Usage'!$F:$F,'Consumable Usage'!$A:$A,$A124,'Consumable Usage'!$D:$D,7)))</f>
        <v/>
      </c>
      <c r="BT124" s="12" t="str">
        <f t="shared" si="19"/>
        <v/>
      </c>
      <c r="BU124" s="20"/>
      <c r="BV124" s="12" t="str">
        <f t="shared" si="20"/>
        <v/>
      </c>
      <c r="BW124" s="45" t="str">
        <f t="shared" si="21"/>
        <v/>
      </c>
      <c r="BX124" s="15"/>
      <c r="BY124" s="15"/>
      <c r="BZ124" s="20"/>
      <c r="CA124" s="12" t="str">
        <f>IF($A124="","",SUMIFS('Consumable Usage'!$E:$E,'Consumable Usage'!$A:$A,$A124,'Consumable Usage'!$D:$D,8))</f>
        <v/>
      </c>
      <c r="CB124" s="12" t="str">
        <f>IF($A124="","",SUMIFS('Nursing Charges'!$I:$I,'Nursing Charges'!$A:$A,$A124,'Nursing Charges'!$C:$C,8))</f>
        <v/>
      </c>
      <c r="CC124" s="12" t="str">
        <f>IF($A124="","",BZ124+(CB124-SUMIFS('Nursing Charges'!$J:$J,'Nursing Charges'!$A:$A,$A124,'Nursing Charges'!$C:$C,8))+(CA124-SUMIFS('Consumable Usage'!$F:$F,'Consumable Usage'!$A:$A,$A124,'Consumable Usage'!$D:$D,8)))</f>
        <v/>
      </c>
      <c r="CD124" s="12" t="str">
        <f t="shared" si="22"/>
        <v/>
      </c>
      <c r="CE124" s="20"/>
      <c r="CF124" s="12" t="str">
        <f t="shared" si="23"/>
        <v/>
      </c>
      <c r="CG124" s="45" t="str">
        <f t="shared" si="24"/>
        <v/>
      </c>
      <c r="CH124" s="15"/>
      <c r="CI124" s="15"/>
      <c r="CJ124" s="20"/>
      <c r="CK124" s="12" t="str">
        <f>IF($A124="","",SUMIFS('Consumable Usage'!$E:$E,'Consumable Usage'!$A:$A,$A124,'Consumable Usage'!$D:$D,9))</f>
        <v/>
      </c>
      <c r="CL124" s="12" t="str">
        <f>IF($A124="","",SUMIFS('Nursing Charges'!$I:$I,'Nursing Charges'!$A:$A,$A124,'Nursing Charges'!$C:$C,9))</f>
        <v/>
      </c>
      <c r="CM124" s="12" t="str">
        <f>IF($A124="","",CJ124+(CL124-SUMIFS('Nursing Charges'!$J:$J,'Nursing Charges'!$A:$A,$A124,'Nursing Charges'!$C:$C,9))+(CK124-SUMIFS('Consumable Usage'!$F:$F,'Consumable Usage'!$A:$A,$A124,'Consumable Usage'!$D:$D,9)))</f>
        <v/>
      </c>
      <c r="CN124" s="12" t="str">
        <f t="shared" si="25"/>
        <v/>
      </c>
      <c r="CO124" s="20"/>
      <c r="CP124" s="12" t="str">
        <f t="shared" si="26"/>
        <v/>
      </c>
      <c r="CQ124" s="45" t="str">
        <f t="shared" si="27"/>
        <v/>
      </c>
      <c r="CR124" s="15"/>
      <c r="CS124" s="15"/>
      <c r="CT124" s="20"/>
      <c r="CU124" s="12" t="str">
        <f>IF($A124="","",SUMIFS('Consumable Usage'!$E:$E,'Consumable Usage'!$A:$A,$A124,'Consumable Usage'!$D:$D,10))</f>
        <v/>
      </c>
      <c r="CV124" s="12" t="str">
        <f>IF($A124="","",SUMIFS('Nursing Charges'!$I:$I,'Nursing Charges'!$A:$A,$A124,'Nursing Charges'!$C:$C,10))</f>
        <v/>
      </c>
      <c r="CW124" s="12" t="str">
        <f>IF($A124="","",CT124+(CV124-SUMIFS('Nursing Charges'!$J:$J,'Nursing Charges'!$A:$A,$A124,'Nursing Charges'!$C:$C,10))+(CU124-SUMIFS('Consumable Usage'!$F:$F,'Consumable Usage'!$A:$A,$A124,'Consumable Usage'!$D:$D,10)))</f>
        <v/>
      </c>
      <c r="CX124" s="12" t="str">
        <f t="shared" si="28"/>
        <v/>
      </c>
      <c r="CY124" s="20"/>
      <c r="CZ124" s="12" t="str">
        <f t="shared" si="29"/>
        <v/>
      </c>
      <c r="DA124" s="45" t="str">
        <f t="shared" si="30"/>
        <v/>
      </c>
      <c r="DB124" s="15"/>
      <c r="DC124" s="15"/>
      <c r="DD124" s="20"/>
      <c r="DE124" s="12" t="str">
        <f>IF($A124="","",SUMIFS('Consumable Usage'!$E:$E,'Consumable Usage'!$A:$A,$A124,'Consumable Usage'!$D:$D,11))</f>
        <v/>
      </c>
      <c r="DF124" s="12" t="str">
        <f>IF($A124="","",SUMIFS('Nursing Charges'!$I:$I,'Nursing Charges'!$A:$A,$A124,'Nursing Charges'!$C:$C,11))</f>
        <v/>
      </c>
      <c r="DG124" s="12" t="str">
        <f>IF($A124="","",DD124+(DF124-SUMIFS('Nursing Charges'!$J:$J,'Nursing Charges'!$A:$A,$A124,'Nursing Charges'!$C:$C,11))+(DE124-SUMIFS('Consumable Usage'!$F:$F,'Consumable Usage'!$A:$A,$A124,'Consumable Usage'!$D:$D,11)))</f>
        <v/>
      </c>
      <c r="DH124" s="12" t="str">
        <f t="shared" si="31"/>
        <v/>
      </c>
      <c r="DI124" s="20"/>
      <c r="DJ124" s="12" t="str">
        <f t="shared" si="32"/>
        <v/>
      </c>
      <c r="DK124" s="45" t="str">
        <f t="shared" si="33"/>
        <v/>
      </c>
      <c r="DL124" s="15"/>
      <c r="DM124" s="15"/>
      <c r="DN124" s="20"/>
      <c r="DO124" s="12" t="str">
        <f>IF($A124="","",SUMIFS('Consumable Usage'!$E:$E,'Consumable Usage'!$A:$A,$A124,'Consumable Usage'!$D:$D,12))</f>
        <v/>
      </c>
      <c r="DP124" s="12" t="str">
        <f>IF($A124="","",SUMIFS('Nursing Charges'!$I:$I,'Nursing Charges'!$A:$A,$A124,'Nursing Charges'!$C:$C,12))</f>
        <v/>
      </c>
      <c r="DQ124" s="12" t="str">
        <f>IF($A124="","",DN124+(DP124-SUMIFS('Nursing Charges'!$J:$J,'Nursing Charges'!$A:$A,$A124,'Nursing Charges'!$C:$C,12))+(DO124-SUMIFS('Consumable Usage'!$F:$F,'Consumable Usage'!$A:$A,$A124,'Consumable Usage'!$D:$D,12)))</f>
        <v/>
      </c>
      <c r="DR124" s="12" t="str">
        <f t="shared" si="34"/>
        <v/>
      </c>
      <c r="DS124" s="20"/>
      <c r="DT124" s="12" t="str">
        <f t="shared" si="35"/>
        <v/>
      </c>
      <c r="DU124" s="45" t="str">
        <f t="shared" si="36"/>
        <v/>
      </c>
      <c r="DV124" s="15"/>
      <c r="DW124" s="15"/>
      <c r="DX124" s="20"/>
      <c r="DY124" s="12" t="str">
        <f>IF($A124="","",SUMIFS('Consumable Usage'!$E:$E,'Consumable Usage'!$A:$A,$A124,'Consumable Usage'!$D:$D,13))</f>
        <v/>
      </c>
      <c r="DZ124" s="12" t="str">
        <f>IF($A124="","",SUMIFS('Nursing Charges'!$I:$I,'Nursing Charges'!$A:$A,$A124,'Nursing Charges'!$C:$C,13))</f>
        <v/>
      </c>
      <c r="EA124" s="12" t="str">
        <f>IF($A124="","",DX124+(DZ124-SUMIFS('Nursing Charges'!$J:$J,'Nursing Charges'!$A:$A,$A124,'Nursing Charges'!$C:$C,13))+(DY124-SUMIFS('Consumable Usage'!$F:$F,'Consumable Usage'!$A:$A,$A124,'Consumable Usage'!$D:$D,13)))</f>
        <v/>
      </c>
      <c r="EB124" s="12" t="str">
        <f t="shared" si="37"/>
        <v/>
      </c>
      <c r="EC124" s="20"/>
      <c r="ED124" s="12" t="str">
        <f t="shared" si="38"/>
        <v/>
      </c>
      <c r="EE124" s="45" t="str">
        <f t="shared" si="39"/>
        <v/>
      </c>
      <c r="EF124" s="15"/>
      <c r="EG124" s="15"/>
      <c r="EH124" s="20"/>
      <c r="EI124" s="12" t="str">
        <f>IF($A124="","",SUMIFS('Consumable Usage'!$E:$E,'Consumable Usage'!$A:$A,$A124,'Consumable Usage'!$D:$D,14))</f>
        <v/>
      </c>
      <c r="EJ124" s="12" t="str">
        <f>IF($A124="","",SUMIFS('Nursing Charges'!$I:$I,'Nursing Charges'!$A:$A,$A124,'Nursing Charges'!$C:$C,14))</f>
        <v/>
      </c>
      <c r="EK124" s="12" t="str">
        <f>IF($A124="","",EH124+(EJ124-SUMIFS('Nursing Charges'!$J:$J,'Nursing Charges'!$A:$A,$A124,'Nursing Charges'!$C:$C,14))+(EI124-SUMIFS('Consumable Usage'!$F:$F,'Consumable Usage'!$A:$A,$A124,'Consumable Usage'!$D:$D,14)))</f>
        <v/>
      </c>
      <c r="EL124" s="12" t="str">
        <f t="shared" si="40"/>
        <v/>
      </c>
      <c r="EM124" s="20"/>
      <c r="EN124" s="12" t="str">
        <f t="shared" si="41"/>
        <v/>
      </c>
      <c r="EO124" s="45" t="str">
        <f t="shared" si="42"/>
        <v/>
      </c>
      <c r="EP124" s="15"/>
      <c r="EQ124" s="15"/>
      <c r="ER124" s="20"/>
      <c r="ES124" s="12" t="str">
        <f>IF($A124="","",SUMIFS('Consumable Usage'!$E:$E,'Consumable Usage'!$A:$A,$A124,'Consumable Usage'!$D:$D,15))</f>
        <v/>
      </c>
      <c r="ET124" s="12" t="str">
        <f>IF($A124="","",SUMIFS('Nursing Charges'!$I:$I,'Nursing Charges'!$A:$A,$A124,'Nursing Charges'!$C:$C,15))</f>
        <v/>
      </c>
      <c r="EU124" s="12" t="str">
        <f>IF($A124="","",ER124+(ET124-SUMIFS('Nursing Charges'!$J:$J,'Nursing Charges'!$A:$A,$A124,'Nursing Charges'!$C:$C,15))+(ES124-SUMIFS('Consumable Usage'!$F:$F,'Consumable Usage'!$A:$A,$A124,'Consumable Usage'!$D:$D,15)))</f>
        <v/>
      </c>
      <c r="EV124" s="12" t="str">
        <f t="shared" si="43"/>
        <v/>
      </c>
      <c r="EW124" s="20"/>
      <c r="EX124" s="12" t="str">
        <f t="shared" si="44"/>
        <v/>
      </c>
      <c r="EY124" s="45" t="str">
        <f t="shared" si="45"/>
        <v/>
      </c>
      <c r="EZ124" s="15"/>
      <c r="FA124" s="15"/>
      <c r="FB124" s="20"/>
      <c r="FC124" s="12" t="str">
        <f>IF($A124="","",SUMIFS('Consumable Usage'!$E:$E,'Consumable Usage'!$A:$A,$A124,'Consumable Usage'!$D:$D,16))</f>
        <v/>
      </c>
      <c r="FD124" s="12" t="str">
        <f>IF($A124="","",SUMIFS('Nursing Charges'!$I:$I,'Nursing Charges'!$A:$A,$A124,'Nursing Charges'!$C:$C,16))</f>
        <v/>
      </c>
      <c r="FE124" s="12" t="str">
        <f>IF($A124="","",FB124+(FD124-SUMIFS('Nursing Charges'!$J:$J,'Nursing Charges'!$A:$A,$A124,'Nursing Charges'!$C:$C,16))+(FC124-SUMIFS('Consumable Usage'!$F:$F,'Consumable Usage'!$A:$A,$A124,'Consumable Usage'!$D:$D,16)))</f>
        <v/>
      </c>
      <c r="FF124" s="12" t="str">
        <f t="shared" si="46"/>
        <v/>
      </c>
      <c r="FG124" s="20"/>
      <c r="FH124" s="12" t="str">
        <f t="shared" si="47"/>
        <v/>
      </c>
      <c r="FI124" s="45" t="str">
        <f t="shared" si="48"/>
        <v/>
      </c>
      <c r="FJ124" s="53"/>
      <c r="FK124" s="53"/>
      <c r="FL124" s="63"/>
      <c r="FM124" s="63" t="str">
        <f>IF($A124="","",SUMIFS('Consumable Usage'!$E:$E,'Consumable Usage'!$A:$A,$A124,'Consumable Usage'!$D:$D,16))</f>
        <v/>
      </c>
      <c r="FN124" s="63" t="str">
        <f>IF($A124="","",SUMIFS('Nursing Charges'!$I:$I,'Nursing Charges'!$A:$A,$A124,'Nursing Charges'!$C:$C,16))</f>
        <v/>
      </c>
      <c r="FO124" s="63" t="str">
        <f>IF($A124="","",FL124+(FN124-SUMIFS('Nursing Charges'!$J:$J,'Nursing Charges'!$A:$A,$A124,'Nursing Charges'!$C:$C,16))+(FM124-SUMIFS('Consumable Usage'!$F:$F,'Consumable Usage'!$A:$A,$A124,'Consumable Usage'!$D:$D,16)))</f>
        <v/>
      </c>
      <c r="FP124" s="63" t="str">
        <f t="shared" si="49"/>
        <v/>
      </c>
      <c r="FQ124" s="63"/>
      <c r="FR124" s="63" t="str">
        <f t="shared" si="50"/>
        <v/>
      </c>
      <c r="FS124" s="53" t="str">
        <f t="shared" si="51"/>
        <v/>
      </c>
    </row>
    <row r="125" ht="15.0" customHeight="1">
      <c r="A125" s="15"/>
      <c r="B125" s="15"/>
      <c r="C125" s="15"/>
      <c r="D125" s="15"/>
      <c r="E125" s="15"/>
      <c r="F125" s="15"/>
      <c r="G125" s="15"/>
      <c r="H125" s="20"/>
      <c r="I125" s="12" t="str">
        <f>IF($A125="","",SUMIFS('Consumable Usage'!$E:$E,'Consumable Usage'!$A:$A,$A125,'Consumable Usage'!$D:$D,1))</f>
        <v/>
      </c>
      <c r="J125" s="12" t="str">
        <f>IF($A125="","",SUMIFS('Nursing Charges'!$I:$I,'Nursing Charges'!$A:$A,$A125,'Nursing Charges'!$C:$C,1))</f>
        <v/>
      </c>
      <c r="K125" s="12" t="str">
        <f>IF($A125="","",H125+(J125-SUMIFS('Nursing Charges'!$J:$J,'Nursing Charges'!$A:$A,$A125,'Nursing Charges'!$C:$C,1))+(I125-SUMIFS('Consumable Usage'!$F:$F,'Consumable Usage'!$A:$A,$A125,'Consumable Usage'!$D:$D,1)))</f>
        <v/>
      </c>
      <c r="L125" s="12" t="str">
        <f t="shared" si="1"/>
        <v/>
      </c>
      <c r="M125" s="20"/>
      <c r="N125" s="12" t="str">
        <f t="shared" si="2"/>
        <v/>
      </c>
      <c r="O125" s="45" t="str">
        <f t="shared" si="3"/>
        <v/>
      </c>
      <c r="P125" s="15"/>
      <c r="Q125" s="15"/>
      <c r="R125" s="20"/>
      <c r="S125" s="12" t="str">
        <f>IF($A125="","",SUMIFS('Consumable Usage'!$E:$E,'Consumable Usage'!$A:$A,$A125,'Consumable Usage'!$D:$D,2))</f>
        <v/>
      </c>
      <c r="T125" s="12" t="str">
        <f>IF($A125="","",SUMIFS('Nursing Charges'!$I:$I,'Nursing Charges'!$A:$A,$A125,'Nursing Charges'!$C:$C,2))</f>
        <v/>
      </c>
      <c r="U125" s="12" t="str">
        <f>IF($A125="","",R125+(T125-SUMIFS('Nursing Charges'!$J:$J,'Nursing Charges'!$A:$A,$A125,'Nursing Charges'!$C:$C,2))+(S125-SUMIFS('Consumable Usage'!$F:$F,'Consumable Usage'!$A:$A,$A125,'Consumable Usage'!$D:$D,2)))</f>
        <v/>
      </c>
      <c r="V125" s="12" t="str">
        <f t="shared" si="4"/>
        <v/>
      </c>
      <c r="W125" s="20"/>
      <c r="X125" s="12" t="str">
        <f t="shared" si="5"/>
        <v/>
      </c>
      <c r="Y125" s="45" t="str">
        <f t="shared" si="6"/>
        <v/>
      </c>
      <c r="Z125" s="15"/>
      <c r="AA125" s="15"/>
      <c r="AB125" s="20"/>
      <c r="AC125" s="12" t="str">
        <f>IF($A125="","",SUMIFS('Consumable Usage'!$E:$E,'Consumable Usage'!$A:$A,$A125,'Consumable Usage'!$D:$D,3))</f>
        <v/>
      </c>
      <c r="AD125" s="12" t="str">
        <f>IF($A125="","",SUMIFS('Nursing Charges'!$I:$I,'Nursing Charges'!$A:$A,$A125,'Nursing Charges'!$C:$C,3))</f>
        <v/>
      </c>
      <c r="AE125" s="12" t="str">
        <f>IF($A125="","",AB125+(AD125-SUMIFS('Nursing Charges'!$J:$J,'Nursing Charges'!$A:$A,$A125,'Nursing Charges'!$C:$C,3))+(AC125-SUMIFS('Consumable Usage'!$F:$F,'Consumable Usage'!$A:$A,$A125,'Consumable Usage'!$D:$D,3)))</f>
        <v/>
      </c>
      <c r="AF125" s="12" t="str">
        <f t="shared" si="7"/>
        <v/>
      </c>
      <c r="AG125" s="20"/>
      <c r="AH125" s="12" t="str">
        <f t="shared" si="8"/>
        <v/>
      </c>
      <c r="AI125" s="45" t="str">
        <f t="shared" si="9"/>
        <v/>
      </c>
      <c r="AJ125" s="15"/>
      <c r="AK125" s="15"/>
      <c r="AL125" s="20"/>
      <c r="AM125" s="12" t="str">
        <f>IF($A125="","",SUMIFS('Consumable Usage'!$E:$E,'Consumable Usage'!$A:$A,$A125,'Consumable Usage'!$D:$D,4))</f>
        <v/>
      </c>
      <c r="AN125" s="12" t="str">
        <f>IF($A125="","",SUMIFS('Nursing Charges'!$I:$I,'Nursing Charges'!$A:$A,$A125,'Nursing Charges'!$C:$C,4))</f>
        <v/>
      </c>
      <c r="AO125" s="12" t="str">
        <f>IF($A125="","",AL125+(AN125-SUMIFS('Nursing Charges'!$J:$J,'Nursing Charges'!$A:$A,$A125,'Nursing Charges'!$C:$C,4))+(AM125-SUMIFS('Consumable Usage'!$F:$F,'Consumable Usage'!$A:$A,$A125,'Consumable Usage'!$D:$D,4)))</f>
        <v/>
      </c>
      <c r="AP125" s="12" t="str">
        <f t="shared" si="10"/>
        <v/>
      </c>
      <c r="AQ125" s="20"/>
      <c r="AR125" s="12" t="str">
        <f t="shared" si="11"/>
        <v/>
      </c>
      <c r="AS125" s="45" t="str">
        <f t="shared" si="12"/>
        <v/>
      </c>
      <c r="AT125" s="15"/>
      <c r="AU125" s="15"/>
      <c r="AV125" s="20"/>
      <c r="AW125" s="12" t="str">
        <f>IF($A125="","",SUMIFS('Consumable Usage'!$E:$E,'Consumable Usage'!$A:$A,$A125,'Consumable Usage'!$D:$D,5))</f>
        <v/>
      </c>
      <c r="AX125" s="12" t="str">
        <f>IF($A125="","",SUMIFS('Nursing Charges'!$I:$I,'Nursing Charges'!$A:$A,$A125,'Nursing Charges'!$C:$C,5))</f>
        <v/>
      </c>
      <c r="AY125" s="12" t="str">
        <f>IF($A125="","",AV125+(AX125-SUMIFS('Nursing Charges'!$J:$J,'Nursing Charges'!$A:$A,$A125,'Nursing Charges'!$C:$C,5))+(AW125-SUMIFS('Consumable Usage'!$F:$F,'Consumable Usage'!$A:$A,$A125,'Consumable Usage'!$D:$D,5)))</f>
        <v/>
      </c>
      <c r="AZ125" s="12" t="str">
        <f t="shared" si="13"/>
        <v/>
      </c>
      <c r="BA125" s="20"/>
      <c r="BB125" s="12" t="str">
        <f t="shared" si="14"/>
        <v/>
      </c>
      <c r="BC125" s="45" t="str">
        <f t="shared" si="15"/>
        <v/>
      </c>
      <c r="BD125" s="15"/>
      <c r="BE125" s="15"/>
      <c r="BF125" s="20"/>
      <c r="BG125" s="12" t="str">
        <f>IF($A125="","",SUMIFS('Consumable Usage'!$E:$E,'Consumable Usage'!$A:$A,$A125,'Consumable Usage'!$D:$D,6))</f>
        <v/>
      </c>
      <c r="BH125" s="12" t="str">
        <f>IF($A125="","",SUMIFS('Nursing Charges'!$I:$I,'Nursing Charges'!$A:$A,$A125,'Nursing Charges'!$C:$C,6))</f>
        <v/>
      </c>
      <c r="BI125" s="12" t="str">
        <f>IF($A125="","",BF125+(BH125-SUMIFS('Nursing Charges'!$J:$J,'Nursing Charges'!$A:$A,$A125,'Nursing Charges'!$C:$C,6))+(BG125-SUMIFS('Consumable Usage'!$F:$F,'Consumable Usage'!$A:$A,$A125,'Consumable Usage'!$D:$D,6)))</f>
        <v/>
      </c>
      <c r="BJ125" s="12" t="str">
        <f t="shared" si="16"/>
        <v/>
      </c>
      <c r="BK125" s="20"/>
      <c r="BL125" s="12" t="str">
        <f t="shared" si="17"/>
        <v/>
      </c>
      <c r="BM125" s="45" t="str">
        <f t="shared" si="18"/>
        <v/>
      </c>
      <c r="BN125" s="15"/>
      <c r="BO125" s="15"/>
      <c r="BP125" s="20"/>
      <c r="BQ125" s="12" t="str">
        <f>IF($A125="","",SUMIFS('Consumable Usage'!$E:$E,'Consumable Usage'!$A:$A,$A125,'Consumable Usage'!$D:$D,7))</f>
        <v/>
      </c>
      <c r="BR125" s="12" t="str">
        <f>IF($A125="","",SUMIFS('Nursing Charges'!$I:$I,'Nursing Charges'!$A:$A,$A125,'Nursing Charges'!$C:$C,7))</f>
        <v/>
      </c>
      <c r="BS125" s="12" t="str">
        <f>IF($A125="","",BP125+(BR125-SUMIFS('Nursing Charges'!$J:$J,'Nursing Charges'!$A:$A,$A125,'Nursing Charges'!$C:$C,7))+(BQ125-SUMIFS('Consumable Usage'!$F:$F,'Consumable Usage'!$A:$A,$A125,'Consumable Usage'!$D:$D,7)))</f>
        <v/>
      </c>
      <c r="BT125" s="12" t="str">
        <f t="shared" si="19"/>
        <v/>
      </c>
      <c r="BU125" s="20"/>
      <c r="BV125" s="12" t="str">
        <f t="shared" si="20"/>
        <v/>
      </c>
      <c r="BW125" s="45" t="str">
        <f t="shared" si="21"/>
        <v/>
      </c>
      <c r="BX125" s="15"/>
      <c r="BY125" s="15"/>
      <c r="BZ125" s="20"/>
      <c r="CA125" s="12" t="str">
        <f>IF($A125="","",SUMIFS('Consumable Usage'!$E:$E,'Consumable Usage'!$A:$A,$A125,'Consumable Usage'!$D:$D,8))</f>
        <v/>
      </c>
      <c r="CB125" s="12" t="str">
        <f>IF($A125="","",SUMIFS('Nursing Charges'!$I:$I,'Nursing Charges'!$A:$A,$A125,'Nursing Charges'!$C:$C,8))</f>
        <v/>
      </c>
      <c r="CC125" s="12" t="str">
        <f>IF($A125="","",BZ125+(CB125-SUMIFS('Nursing Charges'!$J:$J,'Nursing Charges'!$A:$A,$A125,'Nursing Charges'!$C:$C,8))+(CA125-SUMIFS('Consumable Usage'!$F:$F,'Consumable Usage'!$A:$A,$A125,'Consumable Usage'!$D:$D,8)))</f>
        <v/>
      </c>
      <c r="CD125" s="12" t="str">
        <f t="shared" si="22"/>
        <v/>
      </c>
      <c r="CE125" s="20"/>
      <c r="CF125" s="12" t="str">
        <f t="shared" si="23"/>
        <v/>
      </c>
      <c r="CG125" s="45" t="str">
        <f t="shared" si="24"/>
        <v/>
      </c>
      <c r="CH125" s="15"/>
      <c r="CI125" s="15"/>
      <c r="CJ125" s="20"/>
      <c r="CK125" s="12" t="str">
        <f>IF($A125="","",SUMIFS('Consumable Usage'!$E:$E,'Consumable Usage'!$A:$A,$A125,'Consumable Usage'!$D:$D,9))</f>
        <v/>
      </c>
      <c r="CL125" s="12" t="str">
        <f>IF($A125="","",SUMIFS('Nursing Charges'!$I:$I,'Nursing Charges'!$A:$A,$A125,'Nursing Charges'!$C:$C,9))</f>
        <v/>
      </c>
      <c r="CM125" s="12" t="str">
        <f>IF($A125="","",CJ125+(CL125-SUMIFS('Nursing Charges'!$J:$J,'Nursing Charges'!$A:$A,$A125,'Nursing Charges'!$C:$C,9))+(CK125-SUMIFS('Consumable Usage'!$F:$F,'Consumable Usage'!$A:$A,$A125,'Consumable Usage'!$D:$D,9)))</f>
        <v/>
      </c>
      <c r="CN125" s="12" t="str">
        <f t="shared" si="25"/>
        <v/>
      </c>
      <c r="CO125" s="20"/>
      <c r="CP125" s="12" t="str">
        <f t="shared" si="26"/>
        <v/>
      </c>
      <c r="CQ125" s="45" t="str">
        <f t="shared" si="27"/>
        <v/>
      </c>
      <c r="CR125" s="15"/>
      <c r="CS125" s="15"/>
      <c r="CT125" s="20"/>
      <c r="CU125" s="12" t="str">
        <f>IF($A125="","",SUMIFS('Consumable Usage'!$E:$E,'Consumable Usage'!$A:$A,$A125,'Consumable Usage'!$D:$D,10))</f>
        <v/>
      </c>
      <c r="CV125" s="12" t="str">
        <f>IF($A125="","",SUMIFS('Nursing Charges'!$I:$I,'Nursing Charges'!$A:$A,$A125,'Nursing Charges'!$C:$C,10))</f>
        <v/>
      </c>
      <c r="CW125" s="12" t="str">
        <f>IF($A125="","",CT125+(CV125-SUMIFS('Nursing Charges'!$J:$J,'Nursing Charges'!$A:$A,$A125,'Nursing Charges'!$C:$C,10))+(CU125-SUMIFS('Consumable Usage'!$F:$F,'Consumable Usage'!$A:$A,$A125,'Consumable Usage'!$D:$D,10)))</f>
        <v/>
      </c>
      <c r="CX125" s="12" t="str">
        <f t="shared" si="28"/>
        <v/>
      </c>
      <c r="CY125" s="20"/>
      <c r="CZ125" s="12" t="str">
        <f t="shared" si="29"/>
        <v/>
      </c>
      <c r="DA125" s="45" t="str">
        <f t="shared" si="30"/>
        <v/>
      </c>
      <c r="DB125" s="15"/>
      <c r="DC125" s="15"/>
      <c r="DD125" s="20"/>
      <c r="DE125" s="12" t="str">
        <f>IF($A125="","",SUMIFS('Consumable Usage'!$E:$E,'Consumable Usage'!$A:$A,$A125,'Consumable Usage'!$D:$D,11))</f>
        <v/>
      </c>
      <c r="DF125" s="12" t="str">
        <f>IF($A125="","",SUMIFS('Nursing Charges'!$I:$I,'Nursing Charges'!$A:$A,$A125,'Nursing Charges'!$C:$C,11))</f>
        <v/>
      </c>
      <c r="DG125" s="12" t="str">
        <f>IF($A125="","",DD125+(DF125-SUMIFS('Nursing Charges'!$J:$J,'Nursing Charges'!$A:$A,$A125,'Nursing Charges'!$C:$C,11))+(DE125-SUMIFS('Consumable Usage'!$F:$F,'Consumable Usage'!$A:$A,$A125,'Consumable Usage'!$D:$D,11)))</f>
        <v/>
      </c>
      <c r="DH125" s="12" t="str">
        <f t="shared" si="31"/>
        <v/>
      </c>
      <c r="DI125" s="20"/>
      <c r="DJ125" s="12" t="str">
        <f t="shared" si="32"/>
        <v/>
      </c>
      <c r="DK125" s="45" t="str">
        <f t="shared" si="33"/>
        <v/>
      </c>
      <c r="DL125" s="15"/>
      <c r="DM125" s="15"/>
      <c r="DN125" s="20"/>
      <c r="DO125" s="12" t="str">
        <f>IF($A125="","",SUMIFS('Consumable Usage'!$E:$E,'Consumable Usage'!$A:$A,$A125,'Consumable Usage'!$D:$D,12))</f>
        <v/>
      </c>
      <c r="DP125" s="12" t="str">
        <f>IF($A125="","",SUMIFS('Nursing Charges'!$I:$I,'Nursing Charges'!$A:$A,$A125,'Nursing Charges'!$C:$C,12))</f>
        <v/>
      </c>
      <c r="DQ125" s="12" t="str">
        <f>IF($A125="","",DN125+(DP125-SUMIFS('Nursing Charges'!$J:$J,'Nursing Charges'!$A:$A,$A125,'Nursing Charges'!$C:$C,12))+(DO125-SUMIFS('Consumable Usage'!$F:$F,'Consumable Usage'!$A:$A,$A125,'Consumable Usage'!$D:$D,12)))</f>
        <v/>
      </c>
      <c r="DR125" s="12" t="str">
        <f t="shared" si="34"/>
        <v/>
      </c>
      <c r="DS125" s="20"/>
      <c r="DT125" s="12" t="str">
        <f t="shared" si="35"/>
        <v/>
      </c>
      <c r="DU125" s="45" t="str">
        <f t="shared" si="36"/>
        <v/>
      </c>
      <c r="DV125" s="15"/>
      <c r="DW125" s="15"/>
      <c r="DX125" s="20"/>
      <c r="DY125" s="12" t="str">
        <f>IF($A125="","",SUMIFS('Consumable Usage'!$E:$E,'Consumable Usage'!$A:$A,$A125,'Consumable Usage'!$D:$D,13))</f>
        <v/>
      </c>
      <c r="DZ125" s="12" t="str">
        <f>IF($A125="","",SUMIFS('Nursing Charges'!$I:$I,'Nursing Charges'!$A:$A,$A125,'Nursing Charges'!$C:$C,13))</f>
        <v/>
      </c>
      <c r="EA125" s="12" t="str">
        <f>IF($A125="","",DX125+(DZ125-SUMIFS('Nursing Charges'!$J:$J,'Nursing Charges'!$A:$A,$A125,'Nursing Charges'!$C:$C,13))+(DY125-SUMIFS('Consumable Usage'!$F:$F,'Consumable Usage'!$A:$A,$A125,'Consumable Usage'!$D:$D,13)))</f>
        <v/>
      </c>
      <c r="EB125" s="12" t="str">
        <f t="shared" si="37"/>
        <v/>
      </c>
      <c r="EC125" s="20"/>
      <c r="ED125" s="12" t="str">
        <f t="shared" si="38"/>
        <v/>
      </c>
      <c r="EE125" s="45" t="str">
        <f t="shared" si="39"/>
        <v/>
      </c>
      <c r="EF125" s="15"/>
      <c r="EG125" s="15"/>
      <c r="EH125" s="20"/>
      <c r="EI125" s="12" t="str">
        <f>IF($A125="","",SUMIFS('Consumable Usage'!$E:$E,'Consumable Usage'!$A:$A,$A125,'Consumable Usage'!$D:$D,14))</f>
        <v/>
      </c>
      <c r="EJ125" s="12" t="str">
        <f>IF($A125="","",SUMIFS('Nursing Charges'!$I:$I,'Nursing Charges'!$A:$A,$A125,'Nursing Charges'!$C:$C,14))</f>
        <v/>
      </c>
      <c r="EK125" s="12" t="str">
        <f>IF($A125="","",EH125+(EJ125-SUMIFS('Nursing Charges'!$J:$J,'Nursing Charges'!$A:$A,$A125,'Nursing Charges'!$C:$C,14))+(EI125-SUMIFS('Consumable Usage'!$F:$F,'Consumable Usage'!$A:$A,$A125,'Consumable Usage'!$D:$D,14)))</f>
        <v/>
      </c>
      <c r="EL125" s="12" t="str">
        <f t="shared" si="40"/>
        <v/>
      </c>
      <c r="EM125" s="20"/>
      <c r="EN125" s="12" t="str">
        <f t="shared" si="41"/>
        <v/>
      </c>
      <c r="EO125" s="45" t="str">
        <f t="shared" si="42"/>
        <v/>
      </c>
      <c r="EP125" s="15"/>
      <c r="EQ125" s="15"/>
      <c r="ER125" s="20"/>
      <c r="ES125" s="12" t="str">
        <f>IF($A125="","",SUMIFS('Consumable Usage'!$E:$E,'Consumable Usage'!$A:$A,$A125,'Consumable Usage'!$D:$D,15))</f>
        <v/>
      </c>
      <c r="ET125" s="12" t="str">
        <f>IF($A125="","",SUMIFS('Nursing Charges'!$I:$I,'Nursing Charges'!$A:$A,$A125,'Nursing Charges'!$C:$C,15))</f>
        <v/>
      </c>
      <c r="EU125" s="12" t="str">
        <f>IF($A125="","",ER125+(ET125-SUMIFS('Nursing Charges'!$J:$J,'Nursing Charges'!$A:$A,$A125,'Nursing Charges'!$C:$C,15))+(ES125-SUMIFS('Consumable Usage'!$F:$F,'Consumable Usage'!$A:$A,$A125,'Consumable Usage'!$D:$D,15)))</f>
        <v/>
      </c>
      <c r="EV125" s="12" t="str">
        <f t="shared" si="43"/>
        <v/>
      </c>
      <c r="EW125" s="20"/>
      <c r="EX125" s="12" t="str">
        <f t="shared" si="44"/>
        <v/>
      </c>
      <c r="EY125" s="45" t="str">
        <f t="shared" si="45"/>
        <v/>
      </c>
      <c r="EZ125" s="15"/>
      <c r="FA125" s="15"/>
      <c r="FB125" s="20"/>
      <c r="FC125" s="12" t="str">
        <f>IF($A125="","",SUMIFS('Consumable Usage'!$E:$E,'Consumable Usage'!$A:$A,$A125,'Consumable Usage'!$D:$D,16))</f>
        <v/>
      </c>
      <c r="FD125" s="12" t="str">
        <f>IF($A125="","",SUMIFS('Nursing Charges'!$I:$I,'Nursing Charges'!$A:$A,$A125,'Nursing Charges'!$C:$C,16))</f>
        <v/>
      </c>
      <c r="FE125" s="12" t="str">
        <f>IF($A125="","",FB125+(FD125-SUMIFS('Nursing Charges'!$J:$J,'Nursing Charges'!$A:$A,$A125,'Nursing Charges'!$C:$C,16))+(FC125-SUMIFS('Consumable Usage'!$F:$F,'Consumable Usage'!$A:$A,$A125,'Consumable Usage'!$D:$D,16)))</f>
        <v/>
      </c>
      <c r="FF125" s="12" t="str">
        <f t="shared" si="46"/>
        <v/>
      </c>
      <c r="FG125" s="20"/>
      <c r="FH125" s="12" t="str">
        <f t="shared" si="47"/>
        <v/>
      </c>
      <c r="FI125" s="45" t="str">
        <f t="shared" si="48"/>
        <v/>
      </c>
      <c r="FJ125" s="53"/>
      <c r="FK125" s="53"/>
      <c r="FL125" s="63"/>
      <c r="FM125" s="63" t="str">
        <f>IF($A125="","",SUMIFS('Consumable Usage'!$E:$E,'Consumable Usage'!$A:$A,$A125,'Consumable Usage'!$D:$D,16))</f>
        <v/>
      </c>
      <c r="FN125" s="63" t="str">
        <f>IF($A125="","",SUMIFS('Nursing Charges'!$I:$I,'Nursing Charges'!$A:$A,$A125,'Nursing Charges'!$C:$C,16))</f>
        <v/>
      </c>
      <c r="FO125" s="63" t="str">
        <f>IF($A125="","",FL125+(FN125-SUMIFS('Nursing Charges'!$J:$J,'Nursing Charges'!$A:$A,$A125,'Nursing Charges'!$C:$C,16))+(FM125-SUMIFS('Consumable Usage'!$F:$F,'Consumable Usage'!$A:$A,$A125,'Consumable Usage'!$D:$D,16)))</f>
        <v/>
      </c>
      <c r="FP125" s="63" t="str">
        <f t="shared" si="49"/>
        <v/>
      </c>
      <c r="FQ125" s="63"/>
      <c r="FR125" s="63" t="str">
        <f t="shared" si="50"/>
        <v/>
      </c>
      <c r="FS125" s="53" t="str">
        <f t="shared" si="51"/>
        <v/>
      </c>
    </row>
    <row r="126" ht="15.0" customHeight="1">
      <c r="A126" s="15"/>
      <c r="B126" s="15"/>
      <c r="C126" s="15"/>
      <c r="D126" s="15"/>
      <c r="E126" s="15"/>
      <c r="F126" s="15"/>
      <c r="G126" s="15"/>
      <c r="H126" s="20"/>
      <c r="I126" s="12" t="str">
        <f>IF($A126="","",SUMIFS('Consumable Usage'!$E:$E,'Consumable Usage'!$A:$A,$A126,'Consumable Usage'!$D:$D,1))</f>
        <v/>
      </c>
      <c r="J126" s="12" t="str">
        <f>IF($A126="","",SUMIFS('Nursing Charges'!$I:$I,'Nursing Charges'!$A:$A,$A126,'Nursing Charges'!$C:$C,1))</f>
        <v/>
      </c>
      <c r="K126" s="12" t="str">
        <f>IF($A126="","",H126+(J126-SUMIFS('Nursing Charges'!$J:$J,'Nursing Charges'!$A:$A,$A126,'Nursing Charges'!$C:$C,1))+(I126-SUMIFS('Consumable Usage'!$F:$F,'Consumable Usage'!$A:$A,$A126,'Consumable Usage'!$D:$D,1)))</f>
        <v/>
      </c>
      <c r="L126" s="12" t="str">
        <f t="shared" si="1"/>
        <v/>
      </c>
      <c r="M126" s="20"/>
      <c r="N126" s="12" t="str">
        <f t="shared" si="2"/>
        <v/>
      </c>
      <c r="O126" s="45" t="str">
        <f t="shared" si="3"/>
        <v/>
      </c>
      <c r="P126" s="15"/>
      <c r="Q126" s="15"/>
      <c r="R126" s="20"/>
      <c r="S126" s="12" t="str">
        <f>IF($A126="","",SUMIFS('Consumable Usage'!$E:$E,'Consumable Usage'!$A:$A,$A126,'Consumable Usage'!$D:$D,2))</f>
        <v/>
      </c>
      <c r="T126" s="12" t="str">
        <f>IF($A126="","",SUMIFS('Nursing Charges'!$I:$I,'Nursing Charges'!$A:$A,$A126,'Nursing Charges'!$C:$C,2))</f>
        <v/>
      </c>
      <c r="U126" s="12" t="str">
        <f>IF($A126="","",R126+(T126-SUMIFS('Nursing Charges'!$J:$J,'Nursing Charges'!$A:$A,$A126,'Nursing Charges'!$C:$C,2))+(S126-SUMIFS('Consumable Usage'!$F:$F,'Consumable Usage'!$A:$A,$A126,'Consumable Usage'!$D:$D,2)))</f>
        <v/>
      </c>
      <c r="V126" s="12" t="str">
        <f t="shared" si="4"/>
        <v/>
      </c>
      <c r="W126" s="20"/>
      <c r="X126" s="12" t="str">
        <f t="shared" si="5"/>
        <v/>
      </c>
      <c r="Y126" s="45" t="str">
        <f t="shared" si="6"/>
        <v/>
      </c>
      <c r="Z126" s="15"/>
      <c r="AA126" s="15"/>
      <c r="AB126" s="20"/>
      <c r="AC126" s="12" t="str">
        <f>IF($A126="","",SUMIFS('Consumable Usage'!$E:$E,'Consumable Usage'!$A:$A,$A126,'Consumable Usage'!$D:$D,3))</f>
        <v/>
      </c>
      <c r="AD126" s="12" t="str">
        <f>IF($A126="","",SUMIFS('Nursing Charges'!$I:$I,'Nursing Charges'!$A:$A,$A126,'Nursing Charges'!$C:$C,3))</f>
        <v/>
      </c>
      <c r="AE126" s="12" t="str">
        <f>IF($A126="","",AB126+(AD126-SUMIFS('Nursing Charges'!$J:$J,'Nursing Charges'!$A:$A,$A126,'Nursing Charges'!$C:$C,3))+(AC126-SUMIFS('Consumable Usage'!$F:$F,'Consumable Usage'!$A:$A,$A126,'Consumable Usage'!$D:$D,3)))</f>
        <v/>
      </c>
      <c r="AF126" s="12" t="str">
        <f t="shared" si="7"/>
        <v/>
      </c>
      <c r="AG126" s="20"/>
      <c r="AH126" s="12" t="str">
        <f t="shared" si="8"/>
        <v/>
      </c>
      <c r="AI126" s="45" t="str">
        <f t="shared" si="9"/>
        <v/>
      </c>
      <c r="AJ126" s="15"/>
      <c r="AK126" s="15"/>
      <c r="AL126" s="20"/>
      <c r="AM126" s="12" t="str">
        <f>IF($A126="","",SUMIFS('Consumable Usage'!$E:$E,'Consumable Usage'!$A:$A,$A126,'Consumable Usage'!$D:$D,4))</f>
        <v/>
      </c>
      <c r="AN126" s="12" t="str">
        <f>IF($A126="","",SUMIFS('Nursing Charges'!$I:$I,'Nursing Charges'!$A:$A,$A126,'Nursing Charges'!$C:$C,4))</f>
        <v/>
      </c>
      <c r="AO126" s="12" t="str">
        <f>IF($A126="","",AL126+(AN126-SUMIFS('Nursing Charges'!$J:$J,'Nursing Charges'!$A:$A,$A126,'Nursing Charges'!$C:$C,4))+(AM126-SUMIFS('Consumable Usage'!$F:$F,'Consumable Usage'!$A:$A,$A126,'Consumable Usage'!$D:$D,4)))</f>
        <v/>
      </c>
      <c r="AP126" s="12" t="str">
        <f t="shared" si="10"/>
        <v/>
      </c>
      <c r="AQ126" s="20"/>
      <c r="AR126" s="12" t="str">
        <f t="shared" si="11"/>
        <v/>
      </c>
      <c r="AS126" s="45" t="str">
        <f t="shared" si="12"/>
        <v/>
      </c>
      <c r="AT126" s="15"/>
      <c r="AU126" s="15"/>
      <c r="AV126" s="20"/>
      <c r="AW126" s="12" t="str">
        <f>IF($A126="","",SUMIFS('Consumable Usage'!$E:$E,'Consumable Usage'!$A:$A,$A126,'Consumable Usage'!$D:$D,5))</f>
        <v/>
      </c>
      <c r="AX126" s="12" t="str">
        <f>IF($A126="","",SUMIFS('Nursing Charges'!$I:$I,'Nursing Charges'!$A:$A,$A126,'Nursing Charges'!$C:$C,5))</f>
        <v/>
      </c>
      <c r="AY126" s="12" t="str">
        <f>IF($A126="","",AV126+(AX126-SUMIFS('Nursing Charges'!$J:$J,'Nursing Charges'!$A:$A,$A126,'Nursing Charges'!$C:$C,5))+(AW126-SUMIFS('Consumable Usage'!$F:$F,'Consumable Usage'!$A:$A,$A126,'Consumable Usage'!$D:$D,5)))</f>
        <v/>
      </c>
      <c r="AZ126" s="12" t="str">
        <f t="shared" si="13"/>
        <v/>
      </c>
      <c r="BA126" s="20"/>
      <c r="BB126" s="12" t="str">
        <f t="shared" si="14"/>
        <v/>
      </c>
      <c r="BC126" s="45" t="str">
        <f t="shared" si="15"/>
        <v/>
      </c>
      <c r="BD126" s="15"/>
      <c r="BE126" s="15"/>
      <c r="BF126" s="20"/>
      <c r="BG126" s="12" t="str">
        <f>IF($A126="","",SUMIFS('Consumable Usage'!$E:$E,'Consumable Usage'!$A:$A,$A126,'Consumable Usage'!$D:$D,6))</f>
        <v/>
      </c>
      <c r="BH126" s="12" t="str">
        <f>IF($A126="","",SUMIFS('Nursing Charges'!$I:$I,'Nursing Charges'!$A:$A,$A126,'Nursing Charges'!$C:$C,6))</f>
        <v/>
      </c>
      <c r="BI126" s="12" t="str">
        <f>IF($A126="","",BF126+(BH126-SUMIFS('Nursing Charges'!$J:$J,'Nursing Charges'!$A:$A,$A126,'Nursing Charges'!$C:$C,6))+(BG126-SUMIFS('Consumable Usage'!$F:$F,'Consumable Usage'!$A:$A,$A126,'Consumable Usage'!$D:$D,6)))</f>
        <v/>
      </c>
      <c r="BJ126" s="12" t="str">
        <f t="shared" si="16"/>
        <v/>
      </c>
      <c r="BK126" s="20"/>
      <c r="BL126" s="12" t="str">
        <f t="shared" si="17"/>
        <v/>
      </c>
      <c r="BM126" s="45" t="str">
        <f t="shared" si="18"/>
        <v/>
      </c>
      <c r="BN126" s="15"/>
      <c r="BO126" s="15"/>
      <c r="BP126" s="20"/>
      <c r="BQ126" s="12" t="str">
        <f>IF($A126="","",SUMIFS('Consumable Usage'!$E:$E,'Consumable Usage'!$A:$A,$A126,'Consumable Usage'!$D:$D,7))</f>
        <v/>
      </c>
      <c r="BR126" s="12" t="str">
        <f>IF($A126="","",SUMIFS('Nursing Charges'!$I:$I,'Nursing Charges'!$A:$A,$A126,'Nursing Charges'!$C:$C,7))</f>
        <v/>
      </c>
      <c r="BS126" s="12" t="str">
        <f>IF($A126="","",BP126+(BR126-SUMIFS('Nursing Charges'!$J:$J,'Nursing Charges'!$A:$A,$A126,'Nursing Charges'!$C:$C,7))+(BQ126-SUMIFS('Consumable Usage'!$F:$F,'Consumable Usage'!$A:$A,$A126,'Consumable Usage'!$D:$D,7)))</f>
        <v/>
      </c>
      <c r="BT126" s="12" t="str">
        <f t="shared" si="19"/>
        <v/>
      </c>
      <c r="BU126" s="20"/>
      <c r="BV126" s="12" t="str">
        <f t="shared" si="20"/>
        <v/>
      </c>
      <c r="BW126" s="45" t="str">
        <f t="shared" si="21"/>
        <v/>
      </c>
      <c r="BX126" s="15"/>
      <c r="BY126" s="15"/>
      <c r="BZ126" s="20"/>
      <c r="CA126" s="12" t="str">
        <f>IF($A126="","",SUMIFS('Consumable Usage'!$E:$E,'Consumable Usage'!$A:$A,$A126,'Consumable Usage'!$D:$D,8))</f>
        <v/>
      </c>
      <c r="CB126" s="12" t="str">
        <f>IF($A126="","",SUMIFS('Nursing Charges'!$I:$I,'Nursing Charges'!$A:$A,$A126,'Nursing Charges'!$C:$C,8))</f>
        <v/>
      </c>
      <c r="CC126" s="12" t="str">
        <f>IF($A126="","",BZ126+(CB126-SUMIFS('Nursing Charges'!$J:$J,'Nursing Charges'!$A:$A,$A126,'Nursing Charges'!$C:$C,8))+(CA126-SUMIFS('Consumable Usage'!$F:$F,'Consumable Usage'!$A:$A,$A126,'Consumable Usage'!$D:$D,8)))</f>
        <v/>
      </c>
      <c r="CD126" s="12" t="str">
        <f t="shared" si="22"/>
        <v/>
      </c>
      <c r="CE126" s="20"/>
      <c r="CF126" s="12" t="str">
        <f t="shared" si="23"/>
        <v/>
      </c>
      <c r="CG126" s="45" t="str">
        <f t="shared" si="24"/>
        <v/>
      </c>
      <c r="CH126" s="15"/>
      <c r="CI126" s="15"/>
      <c r="CJ126" s="20"/>
      <c r="CK126" s="12" t="str">
        <f>IF($A126="","",SUMIFS('Consumable Usage'!$E:$E,'Consumable Usage'!$A:$A,$A126,'Consumable Usage'!$D:$D,9))</f>
        <v/>
      </c>
      <c r="CL126" s="12" t="str">
        <f>IF($A126="","",SUMIFS('Nursing Charges'!$I:$I,'Nursing Charges'!$A:$A,$A126,'Nursing Charges'!$C:$C,9))</f>
        <v/>
      </c>
      <c r="CM126" s="12" t="str">
        <f>IF($A126="","",CJ126+(CL126-SUMIFS('Nursing Charges'!$J:$J,'Nursing Charges'!$A:$A,$A126,'Nursing Charges'!$C:$C,9))+(CK126-SUMIFS('Consumable Usage'!$F:$F,'Consumable Usage'!$A:$A,$A126,'Consumable Usage'!$D:$D,9)))</f>
        <v/>
      </c>
      <c r="CN126" s="12" t="str">
        <f t="shared" si="25"/>
        <v/>
      </c>
      <c r="CO126" s="20"/>
      <c r="CP126" s="12" t="str">
        <f t="shared" si="26"/>
        <v/>
      </c>
      <c r="CQ126" s="45" t="str">
        <f t="shared" si="27"/>
        <v/>
      </c>
      <c r="CR126" s="15"/>
      <c r="CS126" s="15"/>
      <c r="CT126" s="20"/>
      <c r="CU126" s="12" t="str">
        <f>IF($A126="","",SUMIFS('Consumable Usage'!$E:$E,'Consumable Usage'!$A:$A,$A126,'Consumable Usage'!$D:$D,10))</f>
        <v/>
      </c>
      <c r="CV126" s="12" t="str">
        <f>IF($A126="","",SUMIFS('Nursing Charges'!$I:$I,'Nursing Charges'!$A:$A,$A126,'Nursing Charges'!$C:$C,10))</f>
        <v/>
      </c>
      <c r="CW126" s="12" t="str">
        <f>IF($A126="","",CT126+(CV126-SUMIFS('Nursing Charges'!$J:$J,'Nursing Charges'!$A:$A,$A126,'Nursing Charges'!$C:$C,10))+(CU126-SUMIFS('Consumable Usage'!$F:$F,'Consumable Usage'!$A:$A,$A126,'Consumable Usage'!$D:$D,10)))</f>
        <v/>
      </c>
      <c r="CX126" s="12" t="str">
        <f t="shared" si="28"/>
        <v/>
      </c>
      <c r="CY126" s="20"/>
      <c r="CZ126" s="12" t="str">
        <f t="shared" si="29"/>
        <v/>
      </c>
      <c r="DA126" s="45" t="str">
        <f t="shared" si="30"/>
        <v/>
      </c>
      <c r="DB126" s="15"/>
      <c r="DC126" s="15"/>
      <c r="DD126" s="20"/>
      <c r="DE126" s="12" t="str">
        <f>IF($A126="","",SUMIFS('Consumable Usage'!$E:$E,'Consumable Usage'!$A:$A,$A126,'Consumable Usage'!$D:$D,11))</f>
        <v/>
      </c>
      <c r="DF126" s="12" t="str">
        <f>IF($A126="","",SUMIFS('Nursing Charges'!$I:$I,'Nursing Charges'!$A:$A,$A126,'Nursing Charges'!$C:$C,11))</f>
        <v/>
      </c>
      <c r="DG126" s="12" t="str">
        <f>IF($A126="","",DD126+(DF126-SUMIFS('Nursing Charges'!$J:$J,'Nursing Charges'!$A:$A,$A126,'Nursing Charges'!$C:$C,11))+(DE126-SUMIFS('Consumable Usage'!$F:$F,'Consumable Usage'!$A:$A,$A126,'Consumable Usage'!$D:$D,11)))</f>
        <v/>
      </c>
      <c r="DH126" s="12" t="str">
        <f t="shared" si="31"/>
        <v/>
      </c>
      <c r="DI126" s="20"/>
      <c r="DJ126" s="12" t="str">
        <f t="shared" si="32"/>
        <v/>
      </c>
      <c r="DK126" s="45" t="str">
        <f t="shared" si="33"/>
        <v/>
      </c>
      <c r="DL126" s="15"/>
      <c r="DM126" s="15"/>
      <c r="DN126" s="20"/>
      <c r="DO126" s="12" t="str">
        <f>IF($A126="","",SUMIFS('Consumable Usage'!$E:$E,'Consumable Usage'!$A:$A,$A126,'Consumable Usage'!$D:$D,12))</f>
        <v/>
      </c>
      <c r="DP126" s="12" t="str">
        <f>IF($A126="","",SUMIFS('Nursing Charges'!$I:$I,'Nursing Charges'!$A:$A,$A126,'Nursing Charges'!$C:$C,12))</f>
        <v/>
      </c>
      <c r="DQ126" s="12" t="str">
        <f>IF($A126="","",DN126+(DP126-SUMIFS('Nursing Charges'!$J:$J,'Nursing Charges'!$A:$A,$A126,'Nursing Charges'!$C:$C,12))+(DO126-SUMIFS('Consumable Usage'!$F:$F,'Consumable Usage'!$A:$A,$A126,'Consumable Usage'!$D:$D,12)))</f>
        <v/>
      </c>
      <c r="DR126" s="12" t="str">
        <f t="shared" si="34"/>
        <v/>
      </c>
      <c r="DS126" s="20"/>
      <c r="DT126" s="12" t="str">
        <f t="shared" si="35"/>
        <v/>
      </c>
      <c r="DU126" s="45" t="str">
        <f t="shared" si="36"/>
        <v/>
      </c>
      <c r="DV126" s="15"/>
      <c r="DW126" s="15"/>
      <c r="DX126" s="20"/>
      <c r="DY126" s="12" t="str">
        <f>IF($A126="","",SUMIFS('Consumable Usage'!$E:$E,'Consumable Usage'!$A:$A,$A126,'Consumable Usage'!$D:$D,13))</f>
        <v/>
      </c>
      <c r="DZ126" s="12" t="str">
        <f>IF($A126="","",SUMIFS('Nursing Charges'!$I:$I,'Nursing Charges'!$A:$A,$A126,'Nursing Charges'!$C:$C,13))</f>
        <v/>
      </c>
      <c r="EA126" s="12" t="str">
        <f>IF($A126="","",DX126+(DZ126-SUMIFS('Nursing Charges'!$J:$J,'Nursing Charges'!$A:$A,$A126,'Nursing Charges'!$C:$C,13))+(DY126-SUMIFS('Consumable Usage'!$F:$F,'Consumable Usage'!$A:$A,$A126,'Consumable Usage'!$D:$D,13)))</f>
        <v/>
      </c>
      <c r="EB126" s="12" t="str">
        <f t="shared" si="37"/>
        <v/>
      </c>
      <c r="EC126" s="20"/>
      <c r="ED126" s="12" t="str">
        <f t="shared" si="38"/>
        <v/>
      </c>
      <c r="EE126" s="45" t="str">
        <f t="shared" si="39"/>
        <v/>
      </c>
      <c r="EF126" s="15"/>
      <c r="EG126" s="15"/>
      <c r="EH126" s="20"/>
      <c r="EI126" s="12" t="str">
        <f>IF($A126="","",SUMIFS('Consumable Usage'!$E:$E,'Consumable Usage'!$A:$A,$A126,'Consumable Usage'!$D:$D,14))</f>
        <v/>
      </c>
      <c r="EJ126" s="12" t="str">
        <f>IF($A126="","",SUMIFS('Nursing Charges'!$I:$I,'Nursing Charges'!$A:$A,$A126,'Nursing Charges'!$C:$C,14))</f>
        <v/>
      </c>
      <c r="EK126" s="12" t="str">
        <f>IF($A126="","",EH126+(EJ126-SUMIFS('Nursing Charges'!$J:$J,'Nursing Charges'!$A:$A,$A126,'Nursing Charges'!$C:$C,14))+(EI126-SUMIFS('Consumable Usage'!$F:$F,'Consumable Usage'!$A:$A,$A126,'Consumable Usage'!$D:$D,14)))</f>
        <v/>
      </c>
      <c r="EL126" s="12" t="str">
        <f t="shared" si="40"/>
        <v/>
      </c>
      <c r="EM126" s="20"/>
      <c r="EN126" s="12" t="str">
        <f t="shared" si="41"/>
        <v/>
      </c>
      <c r="EO126" s="45" t="str">
        <f t="shared" si="42"/>
        <v/>
      </c>
      <c r="EP126" s="15"/>
      <c r="EQ126" s="15"/>
      <c r="ER126" s="20"/>
      <c r="ES126" s="12" t="str">
        <f>IF($A126="","",SUMIFS('Consumable Usage'!$E:$E,'Consumable Usage'!$A:$A,$A126,'Consumable Usage'!$D:$D,15))</f>
        <v/>
      </c>
      <c r="ET126" s="12" t="str">
        <f>IF($A126="","",SUMIFS('Nursing Charges'!$I:$I,'Nursing Charges'!$A:$A,$A126,'Nursing Charges'!$C:$C,15))</f>
        <v/>
      </c>
      <c r="EU126" s="12" t="str">
        <f>IF($A126="","",ER126+(ET126-SUMIFS('Nursing Charges'!$J:$J,'Nursing Charges'!$A:$A,$A126,'Nursing Charges'!$C:$C,15))+(ES126-SUMIFS('Consumable Usage'!$F:$F,'Consumable Usage'!$A:$A,$A126,'Consumable Usage'!$D:$D,15)))</f>
        <v/>
      </c>
      <c r="EV126" s="12" t="str">
        <f t="shared" si="43"/>
        <v/>
      </c>
      <c r="EW126" s="20"/>
      <c r="EX126" s="12" t="str">
        <f t="shared" si="44"/>
        <v/>
      </c>
      <c r="EY126" s="45" t="str">
        <f t="shared" si="45"/>
        <v/>
      </c>
      <c r="EZ126" s="15"/>
      <c r="FA126" s="15"/>
      <c r="FB126" s="20"/>
      <c r="FC126" s="12" t="str">
        <f>IF($A126="","",SUMIFS('Consumable Usage'!$E:$E,'Consumable Usage'!$A:$A,$A126,'Consumable Usage'!$D:$D,16))</f>
        <v/>
      </c>
      <c r="FD126" s="12" t="str">
        <f>IF($A126="","",SUMIFS('Nursing Charges'!$I:$I,'Nursing Charges'!$A:$A,$A126,'Nursing Charges'!$C:$C,16))</f>
        <v/>
      </c>
      <c r="FE126" s="12" t="str">
        <f>IF($A126="","",FB126+(FD126-SUMIFS('Nursing Charges'!$J:$J,'Nursing Charges'!$A:$A,$A126,'Nursing Charges'!$C:$C,16))+(FC126-SUMIFS('Consumable Usage'!$F:$F,'Consumable Usage'!$A:$A,$A126,'Consumable Usage'!$D:$D,16)))</f>
        <v/>
      </c>
      <c r="FF126" s="12" t="str">
        <f t="shared" si="46"/>
        <v/>
      </c>
      <c r="FG126" s="20"/>
      <c r="FH126" s="12" t="str">
        <f t="shared" si="47"/>
        <v/>
      </c>
      <c r="FI126" s="45" t="str">
        <f t="shared" si="48"/>
        <v/>
      </c>
      <c r="FJ126" s="53"/>
      <c r="FK126" s="53"/>
      <c r="FL126" s="63"/>
      <c r="FM126" s="63" t="str">
        <f>IF($A126="","",SUMIFS('Consumable Usage'!$E:$E,'Consumable Usage'!$A:$A,$A126,'Consumable Usage'!$D:$D,16))</f>
        <v/>
      </c>
      <c r="FN126" s="63" t="str">
        <f>IF($A126="","",SUMIFS('Nursing Charges'!$I:$I,'Nursing Charges'!$A:$A,$A126,'Nursing Charges'!$C:$C,16))</f>
        <v/>
      </c>
      <c r="FO126" s="63" t="str">
        <f>IF($A126="","",FL126+(FN126-SUMIFS('Nursing Charges'!$J:$J,'Nursing Charges'!$A:$A,$A126,'Nursing Charges'!$C:$C,16))+(FM126-SUMIFS('Consumable Usage'!$F:$F,'Consumable Usage'!$A:$A,$A126,'Consumable Usage'!$D:$D,16)))</f>
        <v/>
      </c>
      <c r="FP126" s="63" t="str">
        <f t="shared" si="49"/>
        <v/>
      </c>
      <c r="FQ126" s="63"/>
      <c r="FR126" s="63" t="str">
        <f t="shared" si="50"/>
        <v/>
      </c>
      <c r="FS126" s="53" t="str">
        <f t="shared" si="51"/>
        <v/>
      </c>
    </row>
    <row r="127" ht="15.0" customHeight="1">
      <c r="A127" s="15"/>
      <c r="B127" s="15"/>
      <c r="C127" s="15"/>
      <c r="D127" s="15"/>
      <c r="E127" s="15"/>
      <c r="F127" s="15"/>
      <c r="G127" s="15"/>
      <c r="H127" s="20"/>
      <c r="I127" s="12" t="str">
        <f>IF($A127="","",SUMIFS('Consumable Usage'!$E:$E,'Consumable Usage'!$A:$A,$A127,'Consumable Usage'!$D:$D,1))</f>
        <v/>
      </c>
      <c r="J127" s="12" t="str">
        <f>IF($A127="","",SUMIFS('Nursing Charges'!$I:$I,'Nursing Charges'!$A:$A,$A127,'Nursing Charges'!$C:$C,1))</f>
        <v/>
      </c>
      <c r="K127" s="12" t="str">
        <f>IF($A127="","",H127+(J127-SUMIFS('Nursing Charges'!$J:$J,'Nursing Charges'!$A:$A,$A127,'Nursing Charges'!$C:$C,1))+(I127-SUMIFS('Consumable Usage'!$F:$F,'Consumable Usage'!$A:$A,$A127,'Consumable Usage'!$D:$D,1)))</f>
        <v/>
      </c>
      <c r="L127" s="12" t="str">
        <f t="shared" si="1"/>
        <v/>
      </c>
      <c r="M127" s="20"/>
      <c r="N127" s="12" t="str">
        <f t="shared" si="2"/>
        <v/>
      </c>
      <c r="O127" s="45" t="str">
        <f t="shared" si="3"/>
        <v/>
      </c>
      <c r="P127" s="15"/>
      <c r="Q127" s="15"/>
      <c r="R127" s="20"/>
      <c r="S127" s="12" t="str">
        <f>IF($A127="","",SUMIFS('Consumable Usage'!$E:$E,'Consumable Usage'!$A:$A,$A127,'Consumable Usage'!$D:$D,2))</f>
        <v/>
      </c>
      <c r="T127" s="12" t="str">
        <f>IF($A127="","",SUMIFS('Nursing Charges'!$I:$I,'Nursing Charges'!$A:$A,$A127,'Nursing Charges'!$C:$C,2))</f>
        <v/>
      </c>
      <c r="U127" s="12" t="str">
        <f>IF($A127="","",R127+(T127-SUMIFS('Nursing Charges'!$J:$J,'Nursing Charges'!$A:$A,$A127,'Nursing Charges'!$C:$C,2))+(S127-SUMIFS('Consumable Usage'!$F:$F,'Consumable Usage'!$A:$A,$A127,'Consumable Usage'!$D:$D,2)))</f>
        <v/>
      </c>
      <c r="V127" s="12" t="str">
        <f t="shared" si="4"/>
        <v/>
      </c>
      <c r="W127" s="20"/>
      <c r="X127" s="12" t="str">
        <f t="shared" si="5"/>
        <v/>
      </c>
      <c r="Y127" s="45" t="str">
        <f t="shared" si="6"/>
        <v/>
      </c>
      <c r="Z127" s="15"/>
      <c r="AA127" s="15"/>
      <c r="AB127" s="20"/>
      <c r="AC127" s="12" t="str">
        <f>IF($A127="","",SUMIFS('Consumable Usage'!$E:$E,'Consumable Usage'!$A:$A,$A127,'Consumable Usage'!$D:$D,3))</f>
        <v/>
      </c>
      <c r="AD127" s="12" t="str">
        <f>IF($A127="","",SUMIFS('Nursing Charges'!$I:$I,'Nursing Charges'!$A:$A,$A127,'Nursing Charges'!$C:$C,3))</f>
        <v/>
      </c>
      <c r="AE127" s="12" t="str">
        <f>IF($A127="","",AB127+(AD127-SUMIFS('Nursing Charges'!$J:$J,'Nursing Charges'!$A:$A,$A127,'Nursing Charges'!$C:$C,3))+(AC127-SUMIFS('Consumable Usage'!$F:$F,'Consumable Usage'!$A:$A,$A127,'Consumable Usage'!$D:$D,3)))</f>
        <v/>
      </c>
      <c r="AF127" s="12" t="str">
        <f t="shared" si="7"/>
        <v/>
      </c>
      <c r="AG127" s="20"/>
      <c r="AH127" s="12" t="str">
        <f t="shared" si="8"/>
        <v/>
      </c>
      <c r="AI127" s="45" t="str">
        <f t="shared" si="9"/>
        <v/>
      </c>
      <c r="AJ127" s="15"/>
      <c r="AK127" s="15"/>
      <c r="AL127" s="20"/>
      <c r="AM127" s="12" t="str">
        <f>IF($A127="","",SUMIFS('Consumable Usage'!$E:$E,'Consumable Usage'!$A:$A,$A127,'Consumable Usage'!$D:$D,4))</f>
        <v/>
      </c>
      <c r="AN127" s="12" t="str">
        <f>IF($A127="","",SUMIFS('Nursing Charges'!$I:$I,'Nursing Charges'!$A:$A,$A127,'Nursing Charges'!$C:$C,4))</f>
        <v/>
      </c>
      <c r="AO127" s="12" t="str">
        <f>IF($A127="","",AL127+(AN127-SUMIFS('Nursing Charges'!$J:$J,'Nursing Charges'!$A:$A,$A127,'Nursing Charges'!$C:$C,4))+(AM127-SUMIFS('Consumable Usage'!$F:$F,'Consumable Usage'!$A:$A,$A127,'Consumable Usage'!$D:$D,4)))</f>
        <v/>
      </c>
      <c r="AP127" s="12" t="str">
        <f t="shared" si="10"/>
        <v/>
      </c>
      <c r="AQ127" s="20"/>
      <c r="AR127" s="12" t="str">
        <f t="shared" si="11"/>
        <v/>
      </c>
      <c r="AS127" s="45" t="str">
        <f t="shared" si="12"/>
        <v/>
      </c>
      <c r="AT127" s="15"/>
      <c r="AU127" s="15"/>
      <c r="AV127" s="20"/>
      <c r="AW127" s="12" t="str">
        <f>IF($A127="","",SUMIFS('Consumable Usage'!$E:$E,'Consumable Usage'!$A:$A,$A127,'Consumable Usage'!$D:$D,5))</f>
        <v/>
      </c>
      <c r="AX127" s="12" t="str">
        <f>IF($A127="","",SUMIFS('Nursing Charges'!$I:$I,'Nursing Charges'!$A:$A,$A127,'Nursing Charges'!$C:$C,5))</f>
        <v/>
      </c>
      <c r="AY127" s="12" t="str">
        <f>IF($A127="","",AV127+(AX127-SUMIFS('Nursing Charges'!$J:$J,'Nursing Charges'!$A:$A,$A127,'Nursing Charges'!$C:$C,5))+(AW127-SUMIFS('Consumable Usage'!$F:$F,'Consumable Usage'!$A:$A,$A127,'Consumable Usage'!$D:$D,5)))</f>
        <v/>
      </c>
      <c r="AZ127" s="12" t="str">
        <f t="shared" si="13"/>
        <v/>
      </c>
      <c r="BA127" s="20"/>
      <c r="BB127" s="12" t="str">
        <f t="shared" si="14"/>
        <v/>
      </c>
      <c r="BC127" s="45" t="str">
        <f t="shared" si="15"/>
        <v/>
      </c>
      <c r="BD127" s="15"/>
      <c r="BE127" s="15"/>
      <c r="BF127" s="20"/>
      <c r="BG127" s="12" t="str">
        <f>IF($A127="","",SUMIFS('Consumable Usage'!$E:$E,'Consumable Usage'!$A:$A,$A127,'Consumable Usage'!$D:$D,6))</f>
        <v/>
      </c>
      <c r="BH127" s="12" t="str">
        <f>IF($A127="","",SUMIFS('Nursing Charges'!$I:$I,'Nursing Charges'!$A:$A,$A127,'Nursing Charges'!$C:$C,6))</f>
        <v/>
      </c>
      <c r="BI127" s="12" t="str">
        <f>IF($A127="","",BF127+(BH127-SUMIFS('Nursing Charges'!$J:$J,'Nursing Charges'!$A:$A,$A127,'Nursing Charges'!$C:$C,6))+(BG127-SUMIFS('Consumable Usage'!$F:$F,'Consumable Usage'!$A:$A,$A127,'Consumable Usage'!$D:$D,6)))</f>
        <v/>
      </c>
      <c r="BJ127" s="12" t="str">
        <f t="shared" si="16"/>
        <v/>
      </c>
      <c r="BK127" s="20"/>
      <c r="BL127" s="12" t="str">
        <f t="shared" si="17"/>
        <v/>
      </c>
      <c r="BM127" s="45" t="str">
        <f t="shared" si="18"/>
        <v/>
      </c>
      <c r="BN127" s="15"/>
      <c r="BO127" s="15"/>
      <c r="BP127" s="20"/>
      <c r="BQ127" s="12" t="str">
        <f>IF($A127="","",SUMIFS('Consumable Usage'!$E:$E,'Consumable Usage'!$A:$A,$A127,'Consumable Usage'!$D:$D,7))</f>
        <v/>
      </c>
      <c r="BR127" s="12" t="str">
        <f>IF($A127="","",SUMIFS('Nursing Charges'!$I:$I,'Nursing Charges'!$A:$A,$A127,'Nursing Charges'!$C:$C,7))</f>
        <v/>
      </c>
      <c r="BS127" s="12" t="str">
        <f>IF($A127="","",BP127+(BR127-SUMIFS('Nursing Charges'!$J:$J,'Nursing Charges'!$A:$A,$A127,'Nursing Charges'!$C:$C,7))+(BQ127-SUMIFS('Consumable Usage'!$F:$F,'Consumable Usage'!$A:$A,$A127,'Consumable Usage'!$D:$D,7)))</f>
        <v/>
      </c>
      <c r="BT127" s="12" t="str">
        <f t="shared" si="19"/>
        <v/>
      </c>
      <c r="BU127" s="20"/>
      <c r="BV127" s="12" t="str">
        <f t="shared" si="20"/>
        <v/>
      </c>
      <c r="BW127" s="45" t="str">
        <f t="shared" si="21"/>
        <v/>
      </c>
      <c r="BX127" s="15"/>
      <c r="BY127" s="15"/>
      <c r="BZ127" s="20"/>
      <c r="CA127" s="12" t="str">
        <f>IF($A127="","",SUMIFS('Consumable Usage'!$E:$E,'Consumable Usage'!$A:$A,$A127,'Consumable Usage'!$D:$D,8))</f>
        <v/>
      </c>
      <c r="CB127" s="12" t="str">
        <f>IF($A127="","",SUMIFS('Nursing Charges'!$I:$I,'Nursing Charges'!$A:$A,$A127,'Nursing Charges'!$C:$C,8))</f>
        <v/>
      </c>
      <c r="CC127" s="12" t="str">
        <f>IF($A127="","",BZ127+(CB127-SUMIFS('Nursing Charges'!$J:$J,'Nursing Charges'!$A:$A,$A127,'Nursing Charges'!$C:$C,8))+(CA127-SUMIFS('Consumable Usage'!$F:$F,'Consumable Usage'!$A:$A,$A127,'Consumable Usage'!$D:$D,8)))</f>
        <v/>
      </c>
      <c r="CD127" s="12" t="str">
        <f t="shared" si="22"/>
        <v/>
      </c>
      <c r="CE127" s="20"/>
      <c r="CF127" s="12" t="str">
        <f t="shared" si="23"/>
        <v/>
      </c>
      <c r="CG127" s="45" t="str">
        <f t="shared" si="24"/>
        <v/>
      </c>
      <c r="CH127" s="15"/>
      <c r="CI127" s="15"/>
      <c r="CJ127" s="20"/>
      <c r="CK127" s="12" t="str">
        <f>IF($A127="","",SUMIFS('Consumable Usage'!$E:$E,'Consumable Usage'!$A:$A,$A127,'Consumable Usage'!$D:$D,9))</f>
        <v/>
      </c>
      <c r="CL127" s="12" t="str">
        <f>IF($A127="","",SUMIFS('Nursing Charges'!$I:$I,'Nursing Charges'!$A:$A,$A127,'Nursing Charges'!$C:$C,9))</f>
        <v/>
      </c>
      <c r="CM127" s="12" t="str">
        <f>IF($A127="","",CJ127+(CL127-SUMIFS('Nursing Charges'!$J:$J,'Nursing Charges'!$A:$A,$A127,'Nursing Charges'!$C:$C,9))+(CK127-SUMIFS('Consumable Usage'!$F:$F,'Consumable Usage'!$A:$A,$A127,'Consumable Usage'!$D:$D,9)))</f>
        <v/>
      </c>
      <c r="CN127" s="12" t="str">
        <f t="shared" si="25"/>
        <v/>
      </c>
      <c r="CO127" s="20"/>
      <c r="CP127" s="12" t="str">
        <f t="shared" si="26"/>
        <v/>
      </c>
      <c r="CQ127" s="45" t="str">
        <f t="shared" si="27"/>
        <v/>
      </c>
      <c r="CR127" s="15"/>
      <c r="CS127" s="15"/>
      <c r="CT127" s="20"/>
      <c r="CU127" s="12" t="str">
        <f>IF($A127="","",SUMIFS('Consumable Usage'!$E:$E,'Consumable Usage'!$A:$A,$A127,'Consumable Usage'!$D:$D,10))</f>
        <v/>
      </c>
      <c r="CV127" s="12" t="str">
        <f>IF($A127="","",SUMIFS('Nursing Charges'!$I:$I,'Nursing Charges'!$A:$A,$A127,'Nursing Charges'!$C:$C,10))</f>
        <v/>
      </c>
      <c r="CW127" s="12" t="str">
        <f>IF($A127="","",CT127+(CV127-SUMIFS('Nursing Charges'!$J:$J,'Nursing Charges'!$A:$A,$A127,'Nursing Charges'!$C:$C,10))+(CU127-SUMIFS('Consumable Usage'!$F:$F,'Consumable Usage'!$A:$A,$A127,'Consumable Usage'!$D:$D,10)))</f>
        <v/>
      </c>
      <c r="CX127" s="12" t="str">
        <f t="shared" si="28"/>
        <v/>
      </c>
      <c r="CY127" s="20"/>
      <c r="CZ127" s="12" t="str">
        <f t="shared" si="29"/>
        <v/>
      </c>
      <c r="DA127" s="45" t="str">
        <f t="shared" si="30"/>
        <v/>
      </c>
      <c r="DB127" s="15"/>
      <c r="DC127" s="15"/>
      <c r="DD127" s="20"/>
      <c r="DE127" s="12" t="str">
        <f>IF($A127="","",SUMIFS('Consumable Usage'!$E:$E,'Consumable Usage'!$A:$A,$A127,'Consumable Usage'!$D:$D,11))</f>
        <v/>
      </c>
      <c r="DF127" s="12" t="str">
        <f>IF($A127="","",SUMIFS('Nursing Charges'!$I:$I,'Nursing Charges'!$A:$A,$A127,'Nursing Charges'!$C:$C,11))</f>
        <v/>
      </c>
      <c r="DG127" s="12" t="str">
        <f>IF($A127="","",DD127+(DF127-SUMIFS('Nursing Charges'!$J:$J,'Nursing Charges'!$A:$A,$A127,'Nursing Charges'!$C:$C,11))+(DE127-SUMIFS('Consumable Usage'!$F:$F,'Consumable Usage'!$A:$A,$A127,'Consumable Usage'!$D:$D,11)))</f>
        <v/>
      </c>
      <c r="DH127" s="12" t="str">
        <f t="shared" si="31"/>
        <v/>
      </c>
      <c r="DI127" s="20"/>
      <c r="DJ127" s="12" t="str">
        <f t="shared" si="32"/>
        <v/>
      </c>
      <c r="DK127" s="45" t="str">
        <f t="shared" si="33"/>
        <v/>
      </c>
      <c r="DL127" s="15"/>
      <c r="DM127" s="15"/>
      <c r="DN127" s="20"/>
      <c r="DO127" s="12" t="str">
        <f>IF($A127="","",SUMIFS('Consumable Usage'!$E:$E,'Consumable Usage'!$A:$A,$A127,'Consumable Usage'!$D:$D,12))</f>
        <v/>
      </c>
      <c r="DP127" s="12" t="str">
        <f>IF($A127="","",SUMIFS('Nursing Charges'!$I:$I,'Nursing Charges'!$A:$A,$A127,'Nursing Charges'!$C:$C,12))</f>
        <v/>
      </c>
      <c r="DQ127" s="12" t="str">
        <f>IF($A127="","",DN127+(DP127-SUMIFS('Nursing Charges'!$J:$J,'Nursing Charges'!$A:$A,$A127,'Nursing Charges'!$C:$C,12))+(DO127-SUMIFS('Consumable Usage'!$F:$F,'Consumable Usage'!$A:$A,$A127,'Consumable Usage'!$D:$D,12)))</f>
        <v/>
      </c>
      <c r="DR127" s="12" t="str">
        <f t="shared" si="34"/>
        <v/>
      </c>
      <c r="DS127" s="20"/>
      <c r="DT127" s="12" t="str">
        <f t="shared" si="35"/>
        <v/>
      </c>
      <c r="DU127" s="45" t="str">
        <f t="shared" si="36"/>
        <v/>
      </c>
      <c r="DV127" s="15"/>
      <c r="DW127" s="15"/>
      <c r="DX127" s="20"/>
      <c r="DY127" s="12" t="str">
        <f>IF($A127="","",SUMIFS('Consumable Usage'!$E:$E,'Consumable Usage'!$A:$A,$A127,'Consumable Usage'!$D:$D,13))</f>
        <v/>
      </c>
      <c r="DZ127" s="12" t="str">
        <f>IF($A127="","",SUMIFS('Nursing Charges'!$I:$I,'Nursing Charges'!$A:$A,$A127,'Nursing Charges'!$C:$C,13))</f>
        <v/>
      </c>
      <c r="EA127" s="12" t="str">
        <f>IF($A127="","",DX127+(DZ127-SUMIFS('Nursing Charges'!$J:$J,'Nursing Charges'!$A:$A,$A127,'Nursing Charges'!$C:$C,13))+(DY127-SUMIFS('Consumable Usage'!$F:$F,'Consumable Usage'!$A:$A,$A127,'Consumable Usage'!$D:$D,13)))</f>
        <v/>
      </c>
      <c r="EB127" s="12" t="str">
        <f t="shared" si="37"/>
        <v/>
      </c>
      <c r="EC127" s="20"/>
      <c r="ED127" s="12" t="str">
        <f t="shared" si="38"/>
        <v/>
      </c>
      <c r="EE127" s="45" t="str">
        <f t="shared" si="39"/>
        <v/>
      </c>
      <c r="EF127" s="15"/>
      <c r="EG127" s="15"/>
      <c r="EH127" s="20"/>
      <c r="EI127" s="12" t="str">
        <f>IF($A127="","",SUMIFS('Consumable Usage'!$E:$E,'Consumable Usage'!$A:$A,$A127,'Consumable Usage'!$D:$D,14))</f>
        <v/>
      </c>
      <c r="EJ127" s="12" t="str">
        <f>IF($A127="","",SUMIFS('Nursing Charges'!$I:$I,'Nursing Charges'!$A:$A,$A127,'Nursing Charges'!$C:$C,14))</f>
        <v/>
      </c>
      <c r="EK127" s="12" t="str">
        <f>IF($A127="","",EH127+(EJ127-SUMIFS('Nursing Charges'!$J:$J,'Nursing Charges'!$A:$A,$A127,'Nursing Charges'!$C:$C,14))+(EI127-SUMIFS('Consumable Usage'!$F:$F,'Consumable Usage'!$A:$A,$A127,'Consumable Usage'!$D:$D,14)))</f>
        <v/>
      </c>
      <c r="EL127" s="12" t="str">
        <f t="shared" si="40"/>
        <v/>
      </c>
      <c r="EM127" s="20"/>
      <c r="EN127" s="12" t="str">
        <f t="shared" si="41"/>
        <v/>
      </c>
      <c r="EO127" s="45" t="str">
        <f t="shared" si="42"/>
        <v/>
      </c>
      <c r="EP127" s="15"/>
      <c r="EQ127" s="15"/>
      <c r="ER127" s="20"/>
      <c r="ES127" s="12" t="str">
        <f>IF($A127="","",SUMIFS('Consumable Usage'!$E:$E,'Consumable Usage'!$A:$A,$A127,'Consumable Usage'!$D:$D,15))</f>
        <v/>
      </c>
      <c r="ET127" s="12" t="str">
        <f>IF($A127="","",SUMIFS('Nursing Charges'!$I:$I,'Nursing Charges'!$A:$A,$A127,'Nursing Charges'!$C:$C,15))</f>
        <v/>
      </c>
      <c r="EU127" s="12" t="str">
        <f>IF($A127="","",ER127+(ET127-SUMIFS('Nursing Charges'!$J:$J,'Nursing Charges'!$A:$A,$A127,'Nursing Charges'!$C:$C,15))+(ES127-SUMIFS('Consumable Usage'!$F:$F,'Consumable Usage'!$A:$A,$A127,'Consumable Usage'!$D:$D,15)))</f>
        <v/>
      </c>
      <c r="EV127" s="12" t="str">
        <f t="shared" si="43"/>
        <v/>
      </c>
      <c r="EW127" s="20"/>
      <c r="EX127" s="12" t="str">
        <f t="shared" si="44"/>
        <v/>
      </c>
      <c r="EY127" s="45" t="str">
        <f t="shared" si="45"/>
        <v/>
      </c>
      <c r="EZ127" s="15"/>
      <c r="FA127" s="15"/>
      <c r="FB127" s="20"/>
      <c r="FC127" s="12" t="str">
        <f>IF($A127="","",SUMIFS('Consumable Usage'!$E:$E,'Consumable Usage'!$A:$A,$A127,'Consumable Usage'!$D:$D,16))</f>
        <v/>
      </c>
      <c r="FD127" s="12" t="str">
        <f>IF($A127="","",SUMIFS('Nursing Charges'!$I:$I,'Nursing Charges'!$A:$A,$A127,'Nursing Charges'!$C:$C,16))</f>
        <v/>
      </c>
      <c r="FE127" s="12" t="str">
        <f>IF($A127="","",FB127+(FD127-SUMIFS('Nursing Charges'!$J:$J,'Nursing Charges'!$A:$A,$A127,'Nursing Charges'!$C:$C,16))+(FC127-SUMIFS('Consumable Usage'!$F:$F,'Consumable Usage'!$A:$A,$A127,'Consumable Usage'!$D:$D,16)))</f>
        <v/>
      </c>
      <c r="FF127" s="12" t="str">
        <f t="shared" si="46"/>
        <v/>
      </c>
      <c r="FG127" s="20"/>
      <c r="FH127" s="12" t="str">
        <f t="shared" si="47"/>
        <v/>
      </c>
      <c r="FI127" s="45" t="str">
        <f t="shared" si="48"/>
        <v/>
      </c>
      <c r="FJ127" s="53"/>
      <c r="FK127" s="53"/>
      <c r="FL127" s="63"/>
      <c r="FM127" s="63" t="str">
        <f>IF($A127="","",SUMIFS('Consumable Usage'!$E:$E,'Consumable Usage'!$A:$A,$A127,'Consumable Usage'!$D:$D,16))</f>
        <v/>
      </c>
      <c r="FN127" s="63" t="str">
        <f>IF($A127="","",SUMIFS('Nursing Charges'!$I:$I,'Nursing Charges'!$A:$A,$A127,'Nursing Charges'!$C:$C,16))</f>
        <v/>
      </c>
      <c r="FO127" s="63" t="str">
        <f>IF($A127="","",FL127+(FN127-SUMIFS('Nursing Charges'!$J:$J,'Nursing Charges'!$A:$A,$A127,'Nursing Charges'!$C:$C,16))+(FM127-SUMIFS('Consumable Usage'!$F:$F,'Consumable Usage'!$A:$A,$A127,'Consumable Usage'!$D:$D,16)))</f>
        <v/>
      </c>
      <c r="FP127" s="63" t="str">
        <f t="shared" si="49"/>
        <v/>
      </c>
      <c r="FQ127" s="63"/>
      <c r="FR127" s="63" t="str">
        <f t="shared" si="50"/>
        <v/>
      </c>
      <c r="FS127" s="53" t="str">
        <f t="shared" si="51"/>
        <v/>
      </c>
    </row>
    <row r="128" ht="15.0" customHeight="1">
      <c r="A128" s="15"/>
      <c r="B128" s="15"/>
      <c r="C128" s="15"/>
      <c r="D128" s="15"/>
      <c r="E128" s="15"/>
      <c r="F128" s="15"/>
      <c r="G128" s="15"/>
      <c r="H128" s="20"/>
      <c r="I128" s="12" t="str">
        <f>IF($A128="","",SUMIFS('Consumable Usage'!$E:$E,'Consumable Usage'!$A:$A,$A128,'Consumable Usage'!$D:$D,1))</f>
        <v/>
      </c>
      <c r="J128" s="12" t="str">
        <f>IF($A128="","",SUMIFS('Nursing Charges'!$I:$I,'Nursing Charges'!$A:$A,$A128,'Nursing Charges'!$C:$C,1))</f>
        <v/>
      </c>
      <c r="K128" s="12" t="str">
        <f>IF($A128="","",H128+(J128-SUMIFS('Nursing Charges'!$J:$J,'Nursing Charges'!$A:$A,$A128,'Nursing Charges'!$C:$C,1))+(I128-SUMIFS('Consumable Usage'!$F:$F,'Consumable Usage'!$A:$A,$A128,'Consumable Usage'!$D:$D,1)))</f>
        <v/>
      </c>
      <c r="L128" s="12" t="str">
        <f t="shared" si="1"/>
        <v/>
      </c>
      <c r="M128" s="20"/>
      <c r="N128" s="12" t="str">
        <f t="shared" si="2"/>
        <v/>
      </c>
      <c r="O128" s="45" t="str">
        <f t="shared" si="3"/>
        <v/>
      </c>
      <c r="P128" s="15"/>
      <c r="Q128" s="15"/>
      <c r="R128" s="20"/>
      <c r="S128" s="12" t="str">
        <f>IF($A128="","",SUMIFS('Consumable Usage'!$E:$E,'Consumable Usage'!$A:$A,$A128,'Consumable Usage'!$D:$D,2))</f>
        <v/>
      </c>
      <c r="T128" s="12" t="str">
        <f>IF($A128="","",SUMIFS('Nursing Charges'!$I:$I,'Nursing Charges'!$A:$A,$A128,'Nursing Charges'!$C:$C,2))</f>
        <v/>
      </c>
      <c r="U128" s="12" t="str">
        <f>IF($A128="","",R128+(T128-SUMIFS('Nursing Charges'!$J:$J,'Nursing Charges'!$A:$A,$A128,'Nursing Charges'!$C:$C,2))+(S128-SUMIFS('Consumable Usage'!$F:$F,'Consumable Usage'!$A:$A,$A128,'Consumable Usage'!$D:$D,2)))</f>
        <v/>
      </c>
      <c r="V128" s="12" t="str">
        <f t="shared" si="4"/>
        <v/>
      </c>
      <c r="W128" s="20"/>
      <c r="X128" s="12" t="str">
        <f t="shared" si="5"/>
        <v/>
      </c>
      <c r="Y128" s="45" t="str">
        <f t="shared" si="6"/>
        <v/>
      </c>
      <c r="Z128" s="15"/>
      <c r="AA128" s="15"/>
      <c r="AB128" s="20"/>
      <c r="AC128" s="12" t="str">
        <f>IF($A128="","",SUMIFS('Consumable Usage'!$E:$E,'Consumable Usage'!$A:$A,$A128,'Consumable Usage'!$D:$D,3))</f>
        <v/>
      </c>
      <c r="AD128" s="12" t="str">
        <f>IF($A128="","",SUMIFS('Nursing Charges'!$I:$I,'Nursing Charges'!$A:$A,$A128,'Nursing Charges'!$C:$C,3))</f>
        <v/>
      </c>
      <c r="AE128" s="12" t="str">
        <f>IF($A128="","",AB128+(AD128-SUMIFS('Nursing Charges'!$J:$J,'Nursing Charges'!$A:$A,$A128,'Nursing Charges'!$C:$C,3))+(AC128-SUMIFS('Consumable Usage'!$F:$F,'Consumable Usage'!$A:$A,$A128,'Consumable Usage'!$D:$D,3)))</f>
        <v/>
      </c>
      <c r="AF128" s="12" t="str">
        <f t="shared" si="7"/>
        <v/>
      </c>
      <c r="AG128" s="20"/>
      <c r="AH128" s="12" t="str">
        <f t="shared" si="8"/>
        <v/>
      </c>
      <c r="AI128" s="45" t="str">
        <f t="shared" si="9"/>
        <v/>
      </c>
      <c r="AJ128" s="15"/>
      <c r="AK128" s="15"/>
      <c r="AL128" s="20"/>
      <c r="AM128" s="12" t="str">
        <f>IF($A128="","",SUMIFS('Consumable Usage'!$E:$E,'Consumable Usage'!$A:$A,$A128,'Consumable Usage'!$D:$D,4))</f>
        <v/>
      </c>
      <c r="AN128" s="12" t="str">
        <f>IF($A128="","",SUMIFS('Nursing Charges'!$I:$I,'Nursing Charges'!$A:$A,$A128,'Nursing Charges'!$C:$C,4))</f>
        <v/>
      </c>
      <c r="AO128" s="12" t="str">
        <f>IF($A128="","",AL128+(AN128-SUMIFS('Nursing Charges'!$J:$J,'Nursing Charges'!$A:$A,$A128,'Nursing Charges'!$C:$C,4))+(AM128-SUMIFS('Consumable Usage'!$F:$F,'Consumable Usage'!$A:$A,$A128,'Consumable Usage'!$D:$D,4)))</f>
        <v/>
      </c>
      <c r="AP128" s="12" t="str">
        <f t="shared" si="10"/>
        <v/>
      </c>
      <c r="AQ128" s="20"/>
      <c r="AR128" s="12" t="str">
        <f t="shared" si="11"/>
        <v/>
      </c>
      <c r="AS128" s="45" t="str">
        <f t="shared" si="12"/>
        <v/>
      </c>
      <c r="AT128" s="15"/>
      <c r="AU128" s="15"/>
      <c r="AV128" s="20"/>
      <c r="AW128" s="12" t="str">
        <f>IF($A128="","",SUMIFS('Consumable Usage'!$E:$E,'Consumable Usage'!$A:$A,$A128,'Consumable Usage'!$D:$D,5))</f>
        <v/>
      </c>
      <c r="AX128" s="12" t="str">
        <f>IF($A128="","",SUMIFS('Nursing Charges'!$I:$I,'Nursing Charges'!$A:$A,$A128,'Nursing Charges'!$C:$C,5))</f>
        <v/>
      </c>
      <c r="AY128" s="12" t="str">
        <f>IF($A128="","",AV128+(AX128-SUMIFS('Nursing Charges'!$J:$J,'Nursing Charges'!$A:$A,$A128,'Nursing Charges'!$C:$C,5))+(AW128-SUMIFS('Consumable Usage'!$F:$F,'Consumable Usage'!$A:$A,$A128,'Consumable Usage'!$D:$D,5)))</f>
        <v/>
      </c>
      <c r="AZ128" s="12" t="str">
        <f t="shared" si="13"/>
        <v/>
      </c>
      <c r="BA128" s="20"/>
      <c r="BB128" s="12" t="str">
        <f t="shared" si="14"/>
        <v/>
      </c>
      <c r="BC128" s="45" t="str">
        <f t="shared" si="15"/>
        <v/>
      </c>
      <c r="BD128" s="15"/>
      <c r="BE128" s="15"/>
      <c r="BF128" s="20"/>
      <c r="BG128" s="12" t="str">
        <f>IF($A128="","",SUMIFS('Consumable Usage'!$E:$E,'Consumable Usage'!$A:$A,$A128,'Consumable Usage'!$D:$D,6))</f>
        <v/>
      </c>
      <c r="BH128" s="12" t="str">
        <f>IF($A128="","",SUMIFS('Nursing Charges'!$I:$I,'Nursing Charges'!$A:$A,$A128,'Nursing Charges'!$C:$C,6))</f>
        <v/>
      </c>
      <c r="BI128" s="12" t="str">
        <f>IF($A128="","",BF128+(BH128-SUMIFS('Nursing Charges'!$J:$J,'Nursing Charges'!$A:$A,$A128,'Nursing Charges'!$C:$C,6))+(BG128-SUMIFS('Consumable Usage'!$F:$F,'Consumable Usage'!$A:$A,$A128,'Consumable Usage'!$D:$D,6)))</f>
        <v/>
      </c>
      <c r="BJ128" s="12" t="str">
        <f t="shared" si="16"/>
        <v/>
      </c>
      <c r="BK128" s="20"/>
      <c r="BL128" s="12" t="str">
        <f t="shared" si="17"/>
        <v/>
      </c>
      <c r="BM128" s="45" t="str">
        <f t="shared" si="18"/>
        <v/>
      </c>
      <c r="BN128" s="15"/>
      <c r="BO128" s="15"/>
      <c r="BP128" s="20"/>
      <c r="BQ128" s="12" t="str">
        <f>IF($A128="","",SUMIFS('Consumable Usage'!$E:$E,'Consumable Usage'!$A:$A,$A128,'Consumable Usage'!$D:$D,7))</f>
        <v/>
      </c>
      <c r="BR128" s="12" t="str">
        <f>IF($A128="","",SUMIFS('Nursing Charges'!$I:$I,'Nursing Charges'!$A:$A,$A128,'Nursing Charges'!$C:$C,7))</f>
        <v/>
      </c>
      <c r="BS128" s="12" t="str">
        <f>IF($A128="","",BP128+(BR128-SUMIFS('Nursing Charges'!$J:$J,'Nursing Charges'!$A:$A,$A128,'Nursing Charges'!$C:$C,7))+(BQ128-SUMIFS('Consumable Usage'!$F:$F,'Consumable Usage'!$A:$A,$A128,'Consumable Usage'!$D:$D,7)))</f>
        <v/>
      </c>
      <c r="BT128" s="12" t="str">
        <f t="shared" si="19"/>
        <v/>
      </c>
      <c r="BU128" s="20"/>
      <c r="BV128" s="12" t="str">
        <f t="shared" si="20"/>
        <v/>
      </c>
      <c r="BW128" s="45" t="str">
        <f t="shared" si="21"/>
        <v/>
      </c>
      <c r="BX128" s="15"/>
      <c r="BY128" s="15"/>
      <c r="BZ128" s="20"/>
      <c r="CA128" s="12" t="str">
        <f>IF($A128="","",SUMIFS('Consumable Usage'!$E:$E,'Consumable Usage'!$A:$A,$A128,'Consumable Usage'!$D:$D,8))</f>
        <v/>
      </c>
      <c r="CB128" s="12" t="str">
        <f>IF($A128="","",SUMIFS('Nursing Charges'!$I:$I,'Nursing Charges'!$A:$A,$A128,'Nursing Charges'!$C:$C,8))</f>
        <v/>
      </c>
      <c r="CC128" s="12" t="str">
        <f>IF($A128="","",BZ128+(CB128-SUMIFS('Nursing Charges'!$J:$J,'Nursing Charges'!$A:$A,$A128,'Nursing Charges'!$C:$C,8))+(CA128-SUMIFS('Consumable Usage'!$F:$F,'Consumable Usage'!$A:$A,$A128,'Consumable Usage'!$D:$D,8)))</f>
        <v/>
      </c>
      <c r="CD128" s="12" t="str">
        <f t="shared" si="22"/>
        <v/>
      </c>
      <c r="CE128" s="20"/>
      <c r="CF128" s="12" t="str">
        <f t="shared" si="23"/>
        <v/>
      </c>
      <c r="CG128" s="45" t="str">
        <f t="shared" si="24"/>
        <v/>
      </c>
      <c r="CH128" s="15"/>
      <c r="CI128" s="15"/>
      <c r="CJ128" s="20"/>
      <c r="CK128" s="12" t="str">
        <f>IF($A128="","",SUMIFS('Consumable Usage'!$E:$E,'Consumable Usage'!$A:$A,$A128,'Consumable Usage'!$D:$D,9))</f>
        <v/>
      </c>
      <c r="CL128" s="12" t="str">
        <f>IF($A128="","",SUMIFS('Nursing Charges'!$I:$I,'Nursing Charges'!$A:$A,$A128,'Nursing Charges'!$C:$C,9))</f>
        <v/>
      </c>
      <c r="CM128" s="12" t="str">
        <f>IF($A128="","",CJ128+(CL128-SUMIFS('Nursing Charges'!$J:$J,'Nursing Charges'!$A:$A,$A128,'Nursing Charges'!$C:$C,9))+(CK128-SUMIFS('Consumable Usage'!$F:$F,'Consumable Usage'!$A:$A,$A128,'Consumable Usage'!$D:$D,9)))</f>
        <v/>
      </c>
      <c r="CN128" s="12" t="str">
        <f t="shared" si="25"/>
        <v/>
      </c>
      <c r="CO128" s="20"/>
      <c r="CP128" s="12" t="str">
        <f t="shared" si="26"/>
        <v/>
      </c>
      <c r="CQ128" s="45" t="str">
        <f t="shared" si="27"/>
        <v/>
      </c>
      <c r="CR128" s="15"/>
      <c r="CS128" s="15"/>
      <c r="CT128" s="20"/>
      <c r="CU128" s="12" t="str">
        <f>IF($A128="","",SUMIFS('Consumable Usage'!$E:$E,'Consumable Usage'!$A:$A,$A128,'Consumable Usage'!$D:$D,10))</f>
        <v/>
      </c>
      <c r="CV128" s="12" t="str">
        <f>IF($A128="","",SUMIFS('Nursing Charges'!$I:$I,'Nursing Charges'!$A:$A,$A128,'Nursing Charges'!$C:$C,10))</f>
        <v/>
      </c>
      <c r="CW128" s="12" t="str">
        <f>IF($A128="","",CT128+(CV128-SUMIFS('Nursing Charges'!$J:$J,'Nursing Charges'!$A:$A,$A128,'Nursing Charges'!$C:$C,10))+(CU128-SUMIFS('Consumable Usage'!$F:$F,'Consumable Usage'!$A:$A,$A128,'Consumable Usage'!$D:$D,10)))</f>
        <v/>
      </c>
      <c r="CX128" s="12" t="str">
        <f t="shared" si="28"/>
        <v/>
      </c>
      <c r="CY128" s="20"/>
      <c r="CZ128" s="12" t="str">
        <f t="shared" si="29"/>
        <v/>
      </c>
      <c r="DA128" s="45" t="str">
        <f t="shared" si="30"/>
        <v/>
      </c>
      <c r="DB128" s="15"/>
      <c r="DC128" s="15"/>
      <c r="DD128" s="20"/>
      <c r="DE128" s="12" t="str">
        <f>IF($A128="","",SUMIFS('Consumable Usage'!$E:$E,'Consumable Usage'!$A:$A,$A128,'Consumable Usage'!$D:$D,11))</f>
        <v/>
      </c>
      <c r="DF128" s="12" t="str">
        <f>IF($A128="","",SUMIFS('Nursing Charges'!$I:$I,'Nursing Charges'!$A:$A,$A128,'Nursing Charges'!$C:$C,11))</f>
        <v/>
      </c>
      <c r="DG128" s="12" t="str">
        <f>IF($A128="","",DD128+(DF128-SUMIFS('Nursing Charges'!$J:$J,'Nursing Charges'!$A:$A,$A128,'Nursing Charges'!$C:$C,11))+(DE128-SUMIFS('Consumable Usage'!$F:$F,'Consumable Usage'!$A:$A,$A128,'Consumable Usage'!$D:$D,11)))</f>
        <v/>
      </c>
      <c r="DH128" s="12" t="str">
        <f t="shared" si="31"/>
        <v/>
      </c>
      <c r="DI128" s="20"/>
      <c r="DJ128" s="12" t="str">
        <f t="shared" si="32"/>
        <v/>
      </c>
      <c r="DK128" s="45" t="str">
        <f t="shared" si="33"/>
        <v/>
      </c>
      <c r="DL128" s="15"/>
      <c r="DM128" s="15"/>
      <c r="DN128" s="20"/>
      <c r="DO128" s="12" t="str">
        <f>IF($A128="","",SUMIFS('Consumable Usage'!$E:$E,'Consumable Usage'!$A:$A,$A128,'Consumable Usage'!$D:$D,12))</f>
        <v/>
      </c>
      <c r="DP128" s="12" t="str">
        <f>IF($A128="","",SUMIFS('Nursing Charges'!$I:$I,'Nursing Charges'!$A:$A,$A128,'Nursing Charges'!$C:$C,12))</f>
        <v/>
      </c>
      <c r="DQ128" s="12" t="str">
        <f>IF($A128="","",DN128+(DP128-SUMIFS('Nursing Charges'!$J:$J,'Nursing Charges'!$A:$A,$A128,'Nursing Charges'!$C:$C,12))+(DO128-SUMIFS('Consumable Usage'!$F:$F,'Consumable Usage'!$A:$A,$A128,'Consumable Usage'!$D:$D,12)))</f>
        <v/>
      </c>
      <c r="DR128" s="12" t="str">
        <f t="shared" si="34"/>
        <v/>
      </c>
      <c r="DS128" s="20"/>
      <c r="DT128" s="12" t="str">
        <f t="shared" si="35"/>
        <v/>
      </c>
      <c r="DU128" s="45" t="str">
        <f t="shared" si="36"/>
        <v/>
      </c>
      <c r="DV128" s="15"/>
      <c r="DW128" s="15"/>
      <c r="DX128" s="20"/>
      <c r="DY128" s="12" t="str">
        <f>IF($A128="","",SUMIFS('Consumable Usage'!$E:$E,'Consumable Usage'!$A:$A,$A128,'Consumable Usage'!$D:$D,13))</f>
        <v/>
      </c>
      <c r="DZ128" s="12" t="str">
        <f>IF($A128="","",SUMIFS('Nursing Charges'!$I:$I,'Nursing Charges'!$A:$A,$A128,'Nursing Charges'!$C:$C,13))</f>
        <v/>
      </c>
      <c r="EA128" s="12" t="str">
        <f>IF($A128="","",DX128+(DZ128-SUMIFS('Nursing Charges'!$J:$J,'Nursing Charges'!$A:$A,$A128,'Nursing Charges'!$C:$C,13))+(DY128-SUMIFS('Consumable Usage'!$F:$F,'Consumable Usage'!$A:$A,$A128,'Consumable Usage'!$D:$D,13)))</f>
        <v/>
      </c>
      <c r="EB128" s="12" t="str">
        <f t="shared" si="37"/>
        <v/>
      </c>
      <c r="EC128" s="20"/>
      <c r="ED128" s="12" t="str">
        <f t="shared" si="38"/>
        <v/>
      </c>
      <c r="EE128" s="45" t="str">
        <f t="shared" si="39"/>
        <v/>
      </c>
      <c r="EF128" s="15"/>
      <c r="EG128" s="15"/>
      <c r="EH128" s="20"/>
      <c r="EI128" s="12" t="str">
        <f>IF($A128="","",SUMIFS('Consumable Usage'!$E:$E,'Consumable Usage'!$A:$A,$A128,'Consumable Usage'!$D:$D,14))</f>
        <v/>
      </c>
      <c r="EJ128" s="12" t="str">
        <f>IF($A128="","",SUMIFS('Nursing Charges'!$I:$I,'Nursing Charges'!$A:$A,$A128,'Nursing Charges'!$C:$C,14))</f>
        <v/>
      </c>
      <c r="EK128" s="12" t="str">
        <f>IF($A128="","",EH128+(EJ128-SUMIFS('Nursing Charges'!$J:$J,'Nursing Charges'!$A:$A,$A128,'Nursing Charges'!$C:$C,14))+(EI128-SUMIFS('Consumable Usage'!$F:$F,'Consumable Usage'!$A:$A,$A128,'Consumable Usage'!$D:$D,14)))</f>
        <v/>
      </c>
      <c r="EL128" s="12" t="str">
        <f t="shared" si="40"/>
        <v/>
      </c>
      <c r="EM128" s="20"/>
      <c r="EN128" s="12" t="str">
        <f t="shared" si="41"/>
        <v/>
      </c>
      <c r="EO128" s="45" t="str">
        <f t="shared" si="42"/>
        <v/>
      </c>
      <c r="EP128" s="15"/>
      <c r="EQ128" s="15"/>
      <c r="ER128" s="20"/>
      <c r="ES128" s="12" t="str">
        <f>IF($A128="","",SUMIFS('Consumable Usage'!$E:$E,'Consumable Usage'!$A:$A,$A128,'Consumable Usage'!$D:$D,15))</f>
        <v/>
      </c>
      <c r="ET128" s="12" t="str">
        <f>IF($A128="","",SUMIFS('Nursing Charges'!$I:$I,'Nursing Charges'!$A:$A,$A128,'Nursing Charges'!$C:$C,15))</f>
        <v/>
      </c>
      <c r="EU128" s="12" t="str">
        <f>IF($A128="","",ER128+(ET128-SUMIFS('Nursing Charges'!$J:$J,'Nursing Charges'!$A:$A,$A128,'Nursing Charges'!$C:$C,15))+(ES128-SUMIFS('Consumable Usage'!$F:$F,'Consumable Usage'!$A:$A,$A128,'Consumable Usage'!$D:$D,15)))</f>
        <v/>
      </c>
      <c r="EV128" s="12" t="str">
        <f t="shared" si="43"/>
        <v/>
      </c>
      <c r="EW128" s="20"/>
      <c r="EX128" s="12" t="str">
        <f t="shared" si="44"/>
        <v/>
      </c>
      <c r="EY128" s="45" t="str">
        <f t="shared" si="45"/>
        <v/>
      </c>
      <c r="EZ128" s="15"/>
      <c r="FA128" s="15"/>
      <c r="FB128" s="20"/>
      <c r="FC128" s="12" t="str">
        <f>IF($A128="","",SUMIFS('Consumable Usage'!$E:$E,'Consumable Usage'!$A:$A,$A128,'Consumable Usage'!$D:$D,16))</f>
        <v/>
      </c>
      <c r="FD128" s="12" t="str">
        <f>IF($A128="","",SUMIFS('Nursing Charges'!$I:$I,'Nursing Charges'!$A:$A,$A128,'Nursing Charges'!$C:$C,16))</f>
        <v/>
      </c>
      <c r="FE128" s="12" t="str">
        <f>IF($A128="","",FB128+(FD128-SUMIFS('Nursing Charges'!$J:$J,'Nursing Charges'!$A:$A,$A128,'Nursing Charges'!$C:$C,16))+(FC128-SUMIFS('Consumable Usage'!$F:$F,'Consumable Usage'!$A:$A,$A128,'Consumable Usage'!$D:$D,16)))</f>
        <v/>
      </c>
      <c r="FF128" s="12" t="str">
        <f t="shared" si="46"/>
        <v/>
      </c>
      <c r="FG128" s="20"/>
      <c r="FH128" s="12" t="str">
        <f t="shared" si="47"/>
        <v/>
      </c>
      <c r="FI128" s="45" t="str">
        <f t="shared" si="48"/>
        <v/>
      </c>
      <c r="FJ128" s="53"/>
      <c r="FK128" s="53"/>
      <c r="FL128" s="63"/>
      <c r="FM128" s="63" t="str">
        <f>IF($A128="","",SUMIFS('Consumable Usage'!$E:$E,'Consumable Usage'!$A:$A,$A128,'Consumable Usage'!$D:$D,16))</f>
        <v/>
      </c>
      <c r="FN128" s="63" t="str">
        <f>IF($A128="","",SUMIFS('Nursing Charges'!$I:$I,'Nursing Charges'!$A:$A,$A128,'Nursing Charges'!$C:$C,16))</f>
        <v/>
      </c>
      <c r="FO128" s="63" t="str">
        <f>IF($A128="","",FL128+(FN128-SUMIFS('Nursing Charges'!$J:$J,'Nursing Charges'!$A:$A,$A128,'Nursing Charges'!$C:$C,16))+(FM128-SUMIFS('Consumable Usage'!$F:$F,'Consumable Usage'!$A:$A,$A128,'Consumable Usage'!$D:$D,16)))</f>
        <v/>
      </c>
      <c r="FP128" s="63" t="str">
        <f t="shared" si="49"/>
        <v/>
      </c>
      <c r="FQ128" s="63"/>
      <c r="FR128" s="63" t="str">
        <f t="shared" si="50"/>
        <v/>
      </c>
      <c r="FS128" s="53" t="str">
        <f t="shared" si="51"/>
        <v/>
      </c>
    </row>
    <row r="129" ht="15.0" customHeight="1">
      <c r="A129" s="15"/>
      <c r="B129" s="15"/>
      <c r="C129" s="15"/>
      <c r="D129" s="15"/>
      <c r="E129" s="15"/>
      <c r="F129" s="15"/>
      <c r="G129" s="15"/>
      <c r="H129" s="20"/>
      <c r="I129" s="12" t="str">
        <f>IF($A129="","",SUMIFS('Consumable Usage'!$E:$E,'Consumable Usage'!$A:$A,$A129,'Consumable Usage'!$D:$D,1))</f>
        <v/>
      </c>
      <c r="J129" s="12" t="str">
        <f>IF($A129="","",SUMIFS('Nursing Charges'!$I:$I,'Nursing Charges'!$A:$A,$A129,'Nursing Charges'!$C:$C,1))</f>
        <v/>
      </c>
      <c r="K129" s="12" t="str">
        <f>IF($A129="","",H129+(J129-SUMIFS('Nursing Charges'!$J:$J,'Nursing Charges'!$A:$A,$A129,'Nursing Charges'!$C:$C,1))+(I129-SUMIFS('Consumable Usage'!$F:$F,'Consumable Usage'!$A:$A,$A129,'Consumable Usage'!$D:$D,1)))</f>
        <v/>
      </c>
      <c r="L129" s="12" t="str">
        <f t="shared" si="1"/>
        <v/>
      </c>
      <c r="M129" s="20"/>
      <c r="N129" s="12" t="str">
        <f t="shared" si="2"/>
        <v/>
      </c>
      <c r="O129" s="45" t="str">
        <f t="shared" si="3"/>
        <v/>
      </c>
      <c r="P129" s="15"/>
      <c r="Q129" s="15"/>
      <c r="R129" s="20"/>
      <c r="S129" s="12" t="str">
        <f>IF($A129="","",SUMIFS('Consumable Usage'!$E:$E,'Consumable Usage'!$A:$A,$A129,'Consumable Usage'!$D:$D,2))</f>
        <v/>
      </c>
      <c r="T129" s="12" t="str">
        <f>IF($A129="","",SUMIFS('Nursing Charges'!$I:$I,'Nursing Charges'!$A:$A,$A129,'Nursing Charges'!$C:$C,2))</f>
        <v/>
      </c>
      <c r="U129" s="12" t="str">
        <f>IF($A129="","",R129+(T129-SUMIFS('Nursing Charges'!$J:$J,'Nursing Charges'!$A:$A,$A129,'Nursing Charges'!$C:$C,2))+(S129-SUMIFS('Consumable Usage'!$F:$F,'Consumable Usage'!$A:$A,$A129,'Consumable Usage'!$D:$D,2)))</f>
        <v/>
      </c>
      <c r="V129" s="12" t="str">
        <f t="shared" si="4"/>
        <v/>
      </c>
      <c r="W129" s="20"/>
      <c r="X129" s="12" t="str">
        <f t="shared" si="5"/>
        <v/>
      </c>
      <c r="Y129" s="45" t="str">
        <f t="shared" si="6"/>
        <v/>
      </c>
      <c r="Z129" s="15"/>
      <c r="AA129" s="15"/>
      <c r="AB129" s="20"/>
      <c r="AC129" s="12" t="str">
        <f>IF($A129="","",SUMIFS('Consumable Usage'!$E:$E,'Consumable Usage'!$A:$A,$A129,'Consumable Usage'!$D:$D,3))</f>
        <v/>
      </c>
      <c r="AD129" s="12" t="str">
        <f>IF($A129="","",SUMIFS('Nursing Charges'!$I:$I,'Nursing Charges'!$A:$A,$A129,'Nursing Charges'!$C:$C,3))</f>
        <v/>
      </c>
      <c r="AE129" s="12" t="str">
        <f>IF($A129="","",AB129+(AD129-SUMIFS('Nursing Charges'!$J:$J,'Nursing Charges'!$A:$A,$A129,'Nursing Charges'!$C:$C,3))+(AC129-SUMIFS('Consumable Usage'!$F:$F,'Consumable Usage'!$A:$A,$A129,'Consumable Usage'!$D:$D,3)))</f>
        <v/>
      </c>
      <c r="AF129" s="12" t="str">
        <f t="shared" si="7"/>
        <v/>
      </c>
      <c r="AG129" s="20"/>
      <c r="AH129" s="12" t="str">
        <f t="shared" si="8"/>
        <v/>
      </c>
      <c r="AI129" s="45" t="str">
        <f t="shared" si="9"/>
        <v/>
      </c>
      <c r="AJ129" s="15"/>
      <c r="AK129" s="15"/>
      <c r="AL129" s="20"/>
      <c r="AM129" s="12" t="str">
        <f>IF($A129="","",SUMIFS('Consumable Usage'!$E:$E,'Consumable Usage'!$A:$A,$A129,'Consumable Usage'!$D:$D,4))</f>
        <v/>
      </c>
      <c r="AN129" s="12" t="str">
        <f>IF($A129="","",SUMIFS('Nursing Charges'!$I:$I,'Nursing Charges'!$A:$A,$A129,'Nursing Charges'!$C:$C,4))</f>
        <v/>
      </c>
      <c r="AO129" s="12" t="str">
        <f>IF($A129="","",AL129+(AN129-SUMIFS('Nursing Charges'!$J:$J,'Nursing Charges'!$A:$A,$A129,'Nursing Charges'!$C:$C,4))+(AM129-SUMIFS('Consumable Usage'!$F:$F,'Consumable Usage'!$A:$A,$A129,'Consumable Usage'!$D:$D,4)))</f>
        <v/>
      </c>
      <c r="AP129" s="12" t="str">
        <f t="shared" si="10"/>
        <v/>
      </c>
      <c r="AQ129" s="20"/>
      <c r="AR129" s="12" t="str">
        <f t="shared" si="11"/>
        <v/>
      </c>
      <c r="AS129" s="45" t="str">
        <f t="shared" si="12"/>
        <v/>
      </c>
      <c r="AT129" s="15"/>
      <c r="AU129" s="15"/>
      <c r="AV129" s="20"/>
      <c r="AW129" s="12" t="str">
        <f>IF($A129="","",SUMIFS('Consumable Usage'!$E:$E,'Consumable Usage'!$A:$A,$A129,'Consumable Usage'!$D:$D,5))</f>
        <v/>
      </c>
      <c r="AX129" s="12" t="str">
        <f>IF($A129="","",SUMIFS('Nursing Charges'!$I:$I,'Nursing Charges'!$A:$A,$A129,'Nursing Charges'!$C:$C,5))</f>
        <v/>
      </c>
      <c r="AY129" s="12" t="str">
        <f>IF($A129="","",AV129+(AX129-SUMIFS('Nursing Charges'!$J:$J,'Nursing Charges'!$A:$A,$A129,'Nursing Charges'!$C:$C,5))+(AW129-SUMIFS('Consumable Usage'!$F:$F,'Consumable Usage'!$A:$A,$A129,'Consumable Usage'!$D:$D,5)))</f>
        <v/>
      </c>
      <c r="AZ129" s="12" t="str">
        <f t="shared" si="13"/>
        <v/>
      </c>
      <c r="BA129" s="20"/>
      <c r="BB129" s="12" t="str">
        <f t="shared" si="14"/>
        <v/>
      </c>
      <c r="BC129" s="45" t="str">
        <f t="shared" si="15"/>
        <v/>
      </c>
      <c r="BD129" s="15"/>
      <c r="BE129" s="15"/>
      <c r="BF129" s="20"/>
      <c r="BG129" s="12" t="str">
        <f>IF($A129="","",SUMIFS('Consumable Usage'!$E:$E,'Consumable Usage'!$A:$A,$A129,'Consumable Usage'!$D:$D,6))</f>
        <v/>
      </c>
      <c r="BH129" s="12" t="str">
        <f>IF($A129="","",SUMIFS('Nursing Charges'!$I:$I,'Nursing Charges'!$A:$A,$A129,'Nursing Charges'!$C:$C,6))</f>
        <v/>
      </c>
      <c r="BI129" s="12" t="str">
        <f>IF($A129="","",BF129+(BH129-SUMIFS('Nursing Charges'!$J:$J,'Nursing Charges'!$A:$A,$A129,'Nursing Charges'!$C:$C,6))+(BG129-SUMIFS('Consumable Usage'!$F:$F,'Consumable Usage'!$A:$A,$A129,'Consumable Usage'!$D:$D,6)))</f>
        <v/>
      </c>
      <c r="BJ129" s="12" t="str">
        <f t="shared" si="16"/>
        <v/>
      </c>
      <c r="BK129" s="20"/>
      <c r="BL129" s="12" t="str">
        <f t="shared" si="17"/>
        <v/>
      </c>
      <c r="BM129" s="45" t="str">
        <f t="shared" si="18"/>
        <v/>
      </c>
      <c r="BN129" s="15"/>
      <c r="BO129" s="15"/>
      <c r="BP129" s="20"/>
      <c r="BQ129" s="12" t="str">
        <f>IF($A129="","",SUMIFS('Consumable Usage'!$E:$E,'Consumable Usage'!$A:$A,$A129,'Consumable Usage'!$D:$D,7))</f>
        <v/>
      </c>
      <c r="BR129" s="12" t="str">
        <f>IF($A129="","",SUMIFS('Nursing Charges'!$I:$I,'Nursing Charges'!$A:$A,$A129,'Nursing Charges'!$C:$C,7))</f>
        <v/>
      </c>
      <c r="BS129" s="12" t="str">
        <f>IF($A129="","",BP129+(BR129-SUMIFS('Nursing Charges'!$J:$J,'Nursing Charges'!$A:$A,$A129,'Nursing Charges'!$C:$C,7))+(BQ129-SUMIFS('Consumable Usage'!$F:$F,'Consumable Usage'!$A:$A,$A129,'Consumable Usage'!$D:$D,7)))</f>
        <v/>
      </c>
      <c r="BT129" s="12" t="str">
        <f t="shared" si="19"/>
        <v/>
      </c>
      <c r="BU129" s="20"/>
      <c r="BV129" s="12" t="str">
        <f t="shared" si="20"/>
        <v/>
      </c>
      <c r="BW129" s="45" t="str">
        <f t="shared" si="21"/>
        <v/>
      </c>
      <c r="BX129" s="15"/>
      <c r="BY129" s="15"/>
      <c r="BZ129" s="20"/>
      <c r="CA129" s="12" t="str">
        <f>IF($A129="","",SUMIFS('Consumable Usage'!$E:$E,'Consumable Usage'!$A:$A,$A129,'Consumable Usage'!$D:$D,8))</f>
        <v/>
      </c>
      <c r="CB129" s="12" t="str">
        <f>IF($A129="","",SUMIFS('Nursing Charges'!$I:$I,'Nursing Charges'!$A:$A,$A129,'Nursing Charges'!$C:$C,8))</f>
        <v/>
      </c>
      <c r="CC129" s="12" t="str">
        <f>IF($A129="","",BZ129+(CB129-SUMIFS('Nursing Charges'!$J:$J,'Nursing Charges'!$A:$A,$A129,'Nursing Charges'!$C:$C,8))+(CA129-SUMIFS('Consumable Usage'!$F:$F,'Consumable Usage'!$A:$A,$A129,'Consumable Usage'!$D:$D,8)))</f>
        <v/>
      </c>
      <c r="CD129" s="12" t="str">
        <f t="shared" si="22"/>
        <v/>
      </c>
      <c r="CE129" s="20"/>
      <c r="CF129" s="12" t="str">
        <f t="shared" si="23"/>
        <v/>
      </c>
      <c r="CG129" s="45" t="str">
        <f t="shared" si="24"/>
        <v/>
      </c>
      <c r="CH129" s="15"/>
      <c r="CI129" s="15"/>
      <c r="CJ129" s="20"/>
      <c r="CK129" s="12" t="str">
        <f>IF($A129="","",SUMIFS('Consumable Usage'!$E:$E,'Consumable Usage'!$A:$A,$A129,'Consumable Usage'!$D:$D,9))</f>
        <v/>
      </c>
      <c r="CL129" s="12" t="str">
        <f>IF($A129="","",SUMIFS('Nursing Charges'!$I:$I,'Nursing Charges'!$A:$A,$A129,'Nursing Charges'!$C:$C,9))</f>
        <v/>
      </c>
      <c r="CM129" s="12" t="str">
        <f>IF($A129="","",CJ129+(CL129-SUMIFS('Nursing Charges'!$J:$J,'Nursing Charges'!$A:$A,$A129,'Nursing Charges'!$C:$C,9))+(CK129-SUMIFS('Consumable Usage'!$F:$F,'Consumable Usage'!$A:$A,$A129,'Consumable Usage'!$D:$D,9)))</f>
        <v/>
      </c>
      <c r="CN129" s="12" t="str">
        <f t="shared" si="25"/>
        <v/>
      </c>
      <c r="CO129" s="20"/>
      <c r="CP129" s="12" t="str">
        <f t="shared" si="26"/>
        <v/>
      </c>
      <c r="CQ129" s="45" t="str">
        <f t="shared" si="27"/>
        <v/>
      </c>
      <c r="CR129" s="15"/>
      <c r="CS129" s="15"/>
      <c r="CT129" s="20"/>
      <c r="CU129" s="12" t="str">
        <f>IF($A129="","",SUMIFS('Consumable Usage'!$E:$E,'Consumable Usage'!$A:$A,$A129,'Consumable Usage'!$D:$D,10))</f>
        <v/>
      </c>
      <c r="CV129" s="12" t="str">
        <f>IF($A129="","",SUMIFS('Nursing Charges'!$I:$I,'Nursing Charges'!$A:$A,$A129,'Nursing Charges'!$C:$C,10))</f>
        <v/>
      </c>
      <c r="CW129" s="12" t="str">
        <f>IF($A129="","",CT129+(CV129-SUMIFS('Nursing Charges'!$J:$J,'Nursing Charges'!$A:$A,$A129,'Nursing Charges'!$C:$C,10))+(CU129-SUMIFS('Consumable Usage'!$F:$F,'Consumable Usage'!$A:$A,$A129,'Consumable Usage'!$D:$D,10)))</f>
        <v/>
      </c>
      <c r="CX129" s="12" t="str">
        <f t="shared" si="28"/>
        <v/>
      </c>
      <c r="CY129" s="20"/>
      <c r="CZ129" s="12" t="str">
        <f t="shared" si="29"/>
        <v/>
      </c>
      <c r="DA129" s="45" t="str">
        <f t="shared" si="30"/>
        <v/>
      </c>
      <c r="DB129" s="15"/>
      <c r="DC129" s="15"/>
      <c r="DD129" s="20"/>
      <c r="DE129" s="12" t="str">
        <f>IF($A129="","",SUMIFS('Consumable Usage'!$E:$E,'Consumable Usage'!$A:$A,$A129,'Consumable Usage'!$D:$D,11))</f>
        <v/>
      </c>
      <c r="DF129" s="12" t="str">
        <f>IF($A129="","",SUMIFS('Nursing Charges'!$I:$I,'Nursing Charges'!$A:$A,$A129,'Nursing Charges'!$C:$C,11))</f>
        <v/>
      </c>
      <c r="DG129" s="12" t="str">
        <f>IF($A129="","",DD129+(DF129-SUMIFS('Nursing Charges'!$J:$J,'Nursing Charges'!$A:$A,$A129,'Nursing Charges'!$C:$C,11))+(DE129-SUMIFS('Consumable Usage'!$F:$F,'Consumable Usage'!$A:$A,$A129,'Consumable Usage'!$D:$D,11)))</f>
        <v/>
      </c>
      <c r="DH129" s="12" t="str">
        <f t="shared" si="31"/>
        <v/>
      </c>
      <c r="DI129" s="20"/>
      <c r="DJ129" s="12" t="str">
        <f t="shared" si="32"/>
        <v/>
      </c>
      <c r="DK129" s="45" t="str">
        <f t="shared" si="33"/>
        <v/>
      </c>
      <c r="DL129" s="15"/>
      <c r="DM129" s="15"/>
      <c r="DN129" s="20"/>
      <c r="DO129" s="12" t="str">
        <f>IF($A129="","",SUMIFS('Consumable Usage'!$E:$E,'Consumable Usage'!$A:$A,$A129,'Consumable Usage'!$D:$D,12))</f>
        <v/>
      </c>
      <c r="DP129" s="12" t="str">
        <f>IF($A129="","",SUMIFS('Nursing Charges'!$I:$I,'Nursing Charges'!$A:$A,$A129,'Nursing Charges'!$C:$C,12))</f>
        <v/>
      </c>
      <c r="DQ129" s="12" t="str">
        <f>IF($A129="","",DN129+(DP129-SUMIFS('Nursing Charges'!$J:$J,'Nursing Charges'!$A:$A,$A129,'Nursing Charges'!$C:$C,12))+(DO129-SUMIFS('Consumable Usage'!$F:$F,'Consumable Usage'!$A:$A,$A129,'Consumable Usage'!$D:$D,12)))</f>
        <v/>
      </c>
      <c r="DR129" s="12" t="str">
        <f t="shared" si="34"/>
        <v/>
      </c>
      <c r="DS129" s="20"/>
      <c r="DT129" s="12" t="str">
        <f t="shared" si="35"/>
        <v/>
      </c>
      <c r="DU129" s="45" t="str">
        <f t="shared" si="36"/>
        <v/>
      </c>
      <c r="DV129" s="15"/>
      <c r="DW129" s="15"/>
      <c r="DX129" s="20"/>
      <c r="DY129" s="12" t="str">
        <f>IF($A129="","",SUMIFS('Consumable Usage'!$E:$E,'Consumable Usage'!$A:$A,$A129,'Consumable Usage'!$D:$D,13))</f>
        <v/>
      </c>
      <c r="DZ129" s="12" t="str">
        <f>IF($A129="","",SUMIFS('Nursing Charges'!$I:$I,'Nursing Charges'!$A:$A,$A129,'Nursing Charges'!$C:$C,13))</f>
        <v/>
      </c>
      <c r="EA129" s="12" t="str">
        <f>IF($A129="","",DX129+(DZ129-SUMIFS('Nursing Charges'!$J:$J,'Nursing Charges'!$A:$A,$A129,'Nursing Charges'!$C:$C,13))+(DY129-SUMIFS('Consumable Usage'!$F:$F,'Consumable Usage'!$A:$A,$A129,'Consumable Usage'!$D:$D,13)))</f>
        <v/>
      </c>
      <c r="EB129" s="12" t="str">
        <f t="shared" si="37"/>
        <v/>
      </c>
      <c r="EC129" s="20"/>
      <c r="ED129" s="12" t="str">
        <f t="shared" si="38"/>
        <v/>
      </c>
      <c r="EE129" s="45" t="str">
        <f t="shared" si="39"/>
        <v/>
      </c>
      <c r="EF129" s="15"/>
      <c r="EG129" s="15"/>
      <c r="EH129" s="20"/>
      <c r="EI129" s="12" t="str">
        <f>IF($A129="","",SUMIFS('Consumable Usage'!$E:$E,'Consumable Usage'!$A:$A,$A129,'Consumable Usage'!$D:$D,14))</f>
        <v/>
      </c>
      <c r="EJ129" s="12" t="str">
        <f>IF($A129="","",SUMIFS('Nursing Charges'!$I:$I,'Nursing Charges'!$A:$A,$A129,'Nursing Charges'!$C:$C,14))</f>
        <v/>
      </c>
      <c r="EK129" s="12" t="str">
        <f>IF($A129="","",EH129+(EJ129-SUMIFS('Nursing Charges'!$J:$J,'Nursing Charges'!$A:$A,$A129,'Nursing Charges'!$C:$C,14))+(EI129-SUMIFS('Consumable Usage'!$F:$F,'Consumable Usage'!$A:$A,$A129,'Consumable Usage'!$D:$D,14)))</f>
        <v/>
      </c>
      <c r="EL129" s="12" t="str">
        <f t="shared" si="40"/>
        <v/>
      </c>
      <c r="EM129" s="20"/>
      <c r="EN129" s="12" t="str">
        <f t="shared" si="41"/>
        <v/>
      </c>
      <c r="EO129" s="45" t="str">
        <f t="shared" si="42"/>
        <v/>
      </c>
      <c r="EP129" s="15"/>
      <c r="EQ129" s="15"/>
      <c r="ER129" s="20"/>
      <c r="ES129" s="12" t="str">
        <f>IF($A129="","",SUMIFS('Consumable Usage'!$E:$E,'Consumable Usage'!$A:$A,$A129,'Consumable Usage'!$D:$D,15))</f>
        <v/>
      </c>
      <c r="ET129" s="12" t="str">
        <f>IF($A129="","",SUMIFS('Nursing Charges'!$I:$I,'Nursing Charges'!$A:$A,$A129,'Nursing Charges'!$C:$C,15))</f>
        <v/>
      </c>
      <c r="EU129" s="12" t="str">
        <f>IF($A129="","",ER129+(ET129-SUMIFS('Nursing Charges'!$J:$J,'Nursing Charges'!$A:$A,$A129,'Nursing Charges'!$C:$C,15))+(ES129-SUMIFS('Consumable Usage'!$F:$F,'Consumable Usage'!$A:$A,$A129,'Consumable Usage'!$D:$D,15)))</f>
        <v/>
      </c>
      <c r="EV129" s="12" t="str">
        <f t="shared" si="43"/>
        <v/>
      </c>
      <c r="EW129" s="20"/>
      <c r="EX129" s="12" t="str">
        <f t="shared" si="44"/>
        <v/>
      </c>
      <c r="EY129" s="45" t="str">
        <f t="shared" si="45"/>
        <v/>
      </c>
      <c r="EZ129" s="15"/>
      <c r="FA129" s="15"/>
      <c r="FB129" s="20"/>
      <c r="FC129" s="12" t="str">
        <f>IF($A129="","",SUMIFS('Consumable Usage'!$E:$E,'Consumable Usage'!$A:$A,$A129,'Consumable Usage'!$D:$D,16))</f>
        <v/>
      </c>
      <c r="FD129" s="12" t="str">
        <f>IF($A129="","",SUMIFS('Nursing Charges'!$I:$I,'Nursing Charges'!$A:$A,$A129,'Nursing Charges'!$C:$C,16))</f>
        <v/>
      </c>
      <c r="FE129" s="12" t="str">
        <f>IF($A129="","",FB129+(FD129-SUMIFS('Nursing Charges'!$J:$J,'Nursing Charges'!$A:$A,$A129,'Nursing Charges'!$C:$C,16))+(FC129-SUMIFS('Consumable Usage'!$F:$F,'Consumable Usage'!$A:$A,$A129,'Consumable Usage'!$D:$D,16)))</f>
        <v/>
      </c>
      <c r="FF129" s="12" t="str">
        <f t="shared" si="46"/>
        <v/>
      </c>
      <c r="FG129" s="20"/>
      <c r="FH129" s="12" t="str">
        <f t="shared" si="47"/>
        <v/>
      </c>
      <c r="FI129" s="45" t="str">
        <f t="shared" si="48"/>
        <v/>
      </c>
      <c r="FJ129" s="53"/>
      <c r="FK129" s="53"/>
      <c r="FL129" s="63"/>
      <c r="FM129" s="63" t="str">
        <f>IF($A129="","",SUMIFS('Consumable Usage'!$E:$E,'Consumable Usage'!$A:$A,$A129,'Consumable Usage'!$D:$D,16))</f>
        <v/>
      </c>
      <c r="FN129" s="63" t="str">
        <f>IF($A129="","",SUMIFS('Nursing Charges'!$I:$I,'Nursing Charges'!$A:$A,$A129,'Nursing Charges'!$C:$C,16))</f>
        <v/>
      </c>
      <c r="FO129" s="63" t="str">
        <f>IF($A129="","",FL129+(FN129-SUMIFS('Nursing Charges'!$J:$J,'Nursing Charges'!$A:$A,$A129,'Nursing Charges'!$C:$C,16))+(FM129-SUMIFS('Consumable Usage'!$F:$F,'Consumable Usage'!$A:$A,$A129,'Consumable Usage'!$D:$D,16)))</f>
        <v/>
      </c>
      <c r="FP129" s="63" t="str">
        <f t="shared" si="49"/>
        <v/>
      </c>
      <c r="FQ129" s="63"/>
      <c r="FR129" s="63" t="str">
        <f t="shared" si="50"/>
        <v/>
      </c>
      <c r="FS129" s="53" t="str">
        <f t="shared" si="51"/>
        <v/>
      </c>
    </row>
    <row r="130" ht="15.0" customHeight="1">
      <c r="A130" s="15"/>
      <c r="B130" s="15"/>
      <c r="C130" s="15"/>
      <c r="D130" s="15"/>
      <c r="E130" s="15"/>
      <c r="F130" s="15"/>
      <c r="G130" s="15"/>
      <c r="H130" s="20"/>
      <c r="I130" s="12" t="str">
        <f>IF($A130="","",SUMIFS('Consumable Usage'!$E:$E,'Consumable Usage'!$A:$A,$A130,'Consumable Usage'!$D:$D,1))</f>
        <v/>
      </c>
      <c r="J130" s="12" t="str">
        <f>IF($A130="","",SUMIFS('Nursing Charges'!$I:$I,'Nursing Charges'!$A:$A,$A130,'Nursing Charges'!$C:$C,1))</f>
        <v/>
      </c>
      <c r="K130" s="12" t="str">
        <f>IF($A130="","",H130+(J130-SUMIFS('Nursing Charges'!$J:$J,'Nursing Charges'!$A:$A,$A130,'Nursing Charges'!$C:$C,1))+(I130-SUMIFS('Consumable Usage'!$F:$F,'Consumable Usage'!$A:$A,$A130,'Consumable Usage'!$D:$D,1)))</f>
        <v/>
      </c>
      <c r="L130" s="12" t="str">
        <f t="shared" si="1"/>
        <v/>
      </c>
      <c r="M130" s="20"/>
      <c r="N130" s="12" t="str">
        <f t="shared" si="2"/>
        <v/>
      </c>
      <c r="O130" s="45" t="str">
        <f t="shared" si="3"/>
        <v/>
      </c>
      <c r="P130" s="15"/>
      <c r="Q130" s="15"/>
      <c r="R130" s="20"/>
      <c r="S130" s="12" t="str">
        <f>IF($A130="","",SUMIFS('Consumable Usage'!$E:$E,'Consumable Usage'!$A:$A,$A130,'Consumable Usage'!$D:$D,2))</f>
        <v/>
      </c>
      <c r="T130" s="12" t="str">
        <f>IF($A130="","",SUMIFS('Nursing Charges'!$I:$I,'Nursing Charges'!$A:$A,$A130,'Nursing Charges'!$C:$C,2))</f>
        <v/>
      </c>
      <c r="U130" s="12" t="str">
        <f>IF($A130="","",R130+(T130-SUMIFS('Nursing Charges'!$J:$J,'Nursing Charges'!$A:$A,$A130,'Nursing Charges'!$C:$C,2))+(S130-SUMIFS('Consumable Usage'!$F:$F,'Consumable Usage'!$A:$A,$A130,'Consumable Usage'!$D:$D,2)))</f>
        <v/>
      </c>
      <c r="V130" s="12" t="str">
        <f t="shared" si="4"/>
        <v/>
      </c>
      <c r="W130" s="20"/>
      <c r="X130" s="12" t="str">
        <f t="shared" si="5"/>
        <v/>
      </c>
      <c r="Y130" s="45" t="str">
        <f t="shared" si="6"/>
        <v/>
      </c>
      <c r="Z130" s="15"/>
      <c r="AA130" s="15"/>
      <c r="AB130" s="20"/>
      <c r="AC130" s="12" t="str">
        <f>IF($A130="","",SUMIFS('Consumable Usage'!$E:$E,'Consumable Usage'!$A:$A,$A130,'Consumable Usage'!$D:$D,3))</f>
        <v/>
      </c>
      <c r="AD130" s="12" t="str">
        <f>IF($A130="","",SUMIFS('Nursing Charges'!$I:$I,'Nursing Charges'!$A:$A,$A130,'Nursing Charges'!$C:$C,3))</f>
        <v/>
      </c>
      <c r="AE130" s="12" t="str">
        <f>IF($A130="","",AB130+(AD130-SUMIFS('Nursing Charges'!$J:$J,'Nursing Charges'!$A:$A,$A130,'Nursing Charges'!$C:$C,3))+(AC130-SUMIFS('Consumable Usage'!$F:$F,'Consumable Usage'!$A:$A,$A130,'Consumable Usage'!$D:$D,3)))</f>
        <v/>
      </c>
      <c r="AF130" s="12" t="str">
        <f t="shared" si="7"/>
        <v/>
      </c>
      <c r="AG130" s="20"/>
      <c r="AH130" s="12" t="str">
        <f t="shared" si="8"/>
        <v/>
      </c>
      <c r="AI130" s="45" t="str">
        <f t="shared" si="9"/>
        <v/>
      </c>
      <c r="AJ130" s="15"/>
      <c r="AK130" s="15"/>
      <c r="AL130" s="20"/>
      <c r="AM130" s="12" t="str">
        <f>IF($A130="","",SUMIFS('Consumable Usage'!$E:$E,'Consumable Usage'!$A:$A,$A130,'Consumable Usage'!$D:$D,4))</f>
        <v/>
      </c>
      <c r="AN130" s="12" t="str">
        <f>IF($A130="","",SUMIFS('Nursing Charges'!$I:$I,'Nursing Charges'!$A:$A,$A130,'Nursing Charges'!$C:$C,4))</f>
        <v/>
      </c>
      <c r="AO130" s="12" t="str">
        <f>IF($A130="","",AL130+(AN130-SUMIFS('Nursing Charges'!$J:$J,'Nursing Charges'!$A:$A,$A130,'Nursing Charges'!$C:$C,4))+(AM130-SUMIFS('Consumable Usage'!$F:$F,'Consumable Usage'!$A:$A,$A130,'Consumable Usage'!$D:$D,4)))</f>
        <v/>
      </c>
      <c r="AP130" s="12" t="str">
        <f t="shared" si="10"/>
        <v/>
      </c>
      <c r="AQ130" s="20"/>
      <c r="AR130" s="12" t="str">
        <f t="shared" si="11"/>
        <v/>
      </c>
      <c r="AS130" s="45" t="str">
        <f t="shared" si="12"/>
        <v/>
      </c>
      <c r="AT130" s="15"/>
      <c r="AU130" s="15"/>
      <c r="AV130" s="20"/>
      <c r="AW130" s="12" t="str">
        <f>IF($A130="","",SUMIFS('Consumable Usage'!$E:$E,'Consumable Usage'!$A:$A,$A130,'Consumable Usage'!$D:$D,5))</f>
        <v/>
      </c>
      <c r="AX130" s="12" t="str">
        <f>IF($A130="","",SUMIFS('Nursing Charges'!$I:$I,'Nursing Charges'!$A:$A,$A130,'Nursing Charges'!$C:$C,5))</f>
        <v/>
      </c>
      <c r="AY130" s="12" t="str">
        <f>IF($A130="","",AV130+(AX130-SUMIFS('Nursing Charges'!$J:$J,'Nursing Charges'!$A:$A,$A130,'Nursing Charges'!$C:$C,5))+(AW130-SUMIFS('Consumable Usage'!$F:$F,'Consumable Usage'!$A:$A,$A130,'Consumable Usage'!$D:$D,5)))</f>
        <v/>
      </c>
      <c r="AZ130" s="12" t="str">
        <f t="shared" si="13"/>
        <v/>
      </c>
      <c r="BA130" s="20"/>
      <c r="BB130" s="12" t="str">
        <f t="shared" si="14"/>
        <v/>
      </c>
      <c r="BC130" s="45" t="str">
        <f t="shared" si="15"/>
        <v/>
      </c>
      <c r="BD130" s="15"/>
      <c r="BE130" s="15"/>
      <c r="BF130" s="20"/>
      <c r="BG130" s="12" t="str">
        <f>IF($A130="","",SUMIFS('Consumable Usage'!$E:$E,'Consumable Usage'!$A:$A,$A130,'Consumable Usage'!$D:$D,6))</f>
        <v/>
      </c>
      <c r="BH130" s="12" t="str">
        <f>IF($A130="","",SUMIFS('Nursing Charges'!$I:$I,'Nursing Charges'!$A:$A,$A130,'Nursing Charges'!$C:$C,6))</f>
        <v/>
      </c>
      <c r="BI130" s="12" t="str">
        <f>IF($A130="","",BF130+(BH130-SUMIFS('Nursing Charges'!$J:$J,'Nursing Charges'!$A:$A,$A130,'Nursing Charges'!$C:$C,6))+(BG130-SUMIFS('Consumable Usage'!$F:$F,'Consumable Usage'!$A:$A,$A130,'Consumable Usage'!$D:$D,6)))</f>
        <v/>
      </c>
      <c r="BJ130" s="12" t="str">
        <f t="shared" si="16"/>
        <v/>
      </c>
      <c r="BK130" s="20"/>
      <c r="BL130" s="12" t="str">
        <f t="shared" si="17"/>
        <v/>
      </c>
      <c r="BM130" s="45" t="str">
        <f t="shared" si="18"/>
        <v/>
      </c>
      <c r="BN130" s="15"/>
      <c r="BO130" s="15"/>
      <c r="BP130" s="20"/>
      <c r="BQ130" s="12" t="str">
        <f>IF($A130="","",SUMIFS('Consumable Usage'!$E:$E,'Consumable Usage'!$A:$A,$A130,'Consumable Usage'!$D:$D,7))</f>
        <v/>
      </c>
      <c r="BR130" s="12" t="str">
        <f>IF($A130="","",SUMIFS('Nursing Charges'!$I:$I,'Nursing Charges'!$A:$A,$A130,'Nursing Charges'!$C:$C,7))</f>
        <v/>
      </c>
      <c r="BS130" s="12" t="str">
        <f>IF($A130="","",BP130+(BR130-SUMIFS('Nursing Charges'!$J:$J,'Nursing Charges'!$A:$A,$A130,'Nursing Charges'!$C:$C,7))+(BQ130-SUMIFS('Consumable Usage'!$F:$F,'Consumable Usage'!$A:$A,$A130,'Consumable Usage'!$D:$D,7)))</f>
        <v/>
      </c>
      <c r="BT130" s="12" t="str">
        <f t="shared" si="19"/>
        <v/>
      </c>
      <c r="BU130" s="20"/>
      <c r="BV130" s="12" t="str">
        <f t="shared" si="20"/>
        <v/>
      </c>
      <c r="BW130" s="45" t="str">
        <f t="shared" si="21"/>
        <v/>
      </c>
      <c r="BX130" s="15"/>
      <c r="BY130" s="15"/>
      <c r="BZ130" s="20"/>
      <c r="CA130" s="12" t="str">
        <f>IF($A130="","",SUMIFS('Consumable Usage'!$E:$E,'Consumable Usage'!$A:$A,$A130,'Consumable Usage'!$D:$D,8))</f>
        <v/>
      </c>
      <c r="CB130" s="12" t="str">
        <f>IF($A130="","",SUMIFS('Nursing Charges'!$I:$I,'Nursing Charges'!$A:$A,$A130,'Nursing Charges'!$C:$C,8))</f>
        <v/>
      </c>
      <c r="CC130" s="12" t="str">
        <f>IF($A130="","",BZ130+(CB130-SUMIFS('Nursing Charges'!$J:$J,'Nursing Charges'!$A:$A,$A130,'Nursing Charges'!$C:$C,8))+(CA130-SUMIFS('Consumable Usage'!$F:$F,'Consumable Usage'!$A:$A,$A130,'Consumable Usage'!$D:$D,8)))</f>
        <v/>
      </c>
      <c r="CD130" s="12" t="str">
        <f t="shared" si="22"/>
        <v/>
      </c>
      <c r="CE130" s="20"/>
      <c r="CF130" s="12" t="str">
        <f t="shared" si="23"/>
        <v/>
      </c>
      <c r="CG130" s="45" t="str">
        <f t="shared" si="24"/>
        <v/>
      </c>
      <c r="CH130" s="15"/>
      <c r="CI130" s="15"/>
      <c r="CJ130" s="20"/>
      <c r="CK130" s="12" t="str">
        <f>IF($A130="","",SUMIFS('Consumable Usage'!$E:$E,'Consumable Usage'!$A:$A,$A130,'Consumable Usage'!$D:$D,9))</f>
        <v/>
      </c>
      <c r="CL130" s="12" t="str">
        <f>IF($A130="","",SUMIFS('Nursing Charges'!$I:$I,'Nursing Charges'!$A:$A,$A130,'Nursing Charges'!$C:$C,9))</f>
        <v/>
      </c>
      <c r="CM130" s="12" t="str">
        <f>IF($A130="","",CJ130+(CL130-SUMIFS('Nursing Charges'!$J:$J,'Nursing Charges'!$A:$A,$A130,'Nursing Charges'!$C:$C,9))+(CK130-SUMIFS('Consumable Usage'!$F:$F,'Consumable Usage'!$A:$A,$A130,'Consumable Usage'!$D:$D,9)))</f>
        <v/>
      </c>
      <c r="CN130" s="12" t="str">
        <f t="shared" si="25"/>
        <v/>
      </c>
      <c r="CO130" s="20"/>
      <c r="CP130" s="12" t="str">
        <f t="shared" si="26"/>
        <v/>
      </c>
      <c r="CQ130" s="45" t="str">
        <f t="shared" si="27"/>
        <v/>
      </c>
      <c r="CR130" s="15"/>
      <c r="CS130" s="15"/>
      <c r="CT130" s="20"/>
      <c r="CU130" s="12" t="str">
        <f>IF($A130="","",SUMIFS('Consumable Usage'!$E:$E,'Consumable Usage'!$A:$A,$A130,'Consumable Usage'!$D:$D,10))</f>
        <v/>
      </c>
      <c r="CV130" s="12" t="str">
        <f>IF($A130="","",SUMIFS('Nursing Charges'!$I:$I,'Nursing Charges'!$A:$A,$A130,'Nursing Charges'!$C:$C,10))</f>
        <v/>
      </c>
      <c r="CW130" s="12" t="str">
        <f>IF($A130="","",CT130+(CV130-SUMIFS('Nursing Charges'!$J:$J,'Nursing Charges'!$A:$A,$A130,'Nursing Charges'!$C:$C,10))+(CU130-SUMIFS('Consumable Usage'!$F:$F,'Consumable Usage'!$A:$A,$A130,'Consumable Usage'!$D:$D,10)))</f>
        <v/>
      </c>
      <c r="CX130" s="12" t="str">
        <f t="shared" si="28"/>
        <v/>
      </c>
      <c r="CY130" s="20"/>
      <c r="CZ130" s="12" t="str">
        <f t="shared" si="29"/>
        <v/>
      </c>
      <c r="DA130" s="45" t="str">
        <f t="shared" si="30"/>
        <v/>
      </c>
      <c r="DB130" s="15"/>
      <c r="DC130" s="15"/>
      <c r="DD130" s="20"/>
      <c r="DE130" s="12" t="str">
        <f>IF($A130="","",SUMIFS('Consumable Usage'!$E:$E,'Consumable Usage'!$A:$A,$A130,'Consumable Usage'!$D:$D,11))</f>
        <v/>
      </c>
      <c r="DF130" s="12" t="str">
        <f>IF($A130="","",SUMIFS('Nursing Charges'!$I:$I,'Nursing Charges'!$A:$A,$A130,'Nursing Charges'!$C:$C,11))</f>
        <v/>
      </c>
      <c r="DG130" s="12" t="str">
        <f>IF($A130="","",DD130+(DF130-SUMIFS('Nursing Charges'!$J:$J,'Nursing Charges'!$A:$A,$A130,'Nursing Charges'!$C:$C,11))+(DE130-SUMIFS('Consumable Usage'!$F:$F,'Consumable Usage'!$A:$A,$A130,'Consumable Usage'!$D:$D,11)))</f>
        <v/>
      </c>
      <c r="DH130" s="12" t="str">
        <f t="shared" si="31"/>
        <v/>
      </c>
      <c r="DI130" s="20"/>
      <c r="DJ130" s="12" t="str">
        <f t="shared" si="32"/>
        <v/>
      </c>
      <c r="DK130" s="45" t="str">
        <f t="shared" si="33"/>
        <v/>
      </c>
      <c r="DL130" s="15"/>
      <c r="DM130" s="15"/>
      <c r="DN130" s="20"/>
      <c r="DO130" s="12" t="str">
        <f>IF($A130="","",SUMIFS('Consumable Usage'!$E:$E,'Consumable Usage'!$A:$A,$A130,'Consumable Usage'!$D:$D,12))</f>
        <v/>
      </c>
      <c r="DP130" s="12" t="str">
        <f>IF($A130="","",SUMIFS('Nursing Charges'!$I:$I,'Nursing Charges'!$A:$A,$A130,'Nursing Charges'!$C:$C,12))</f>
        <v/>
      </c>
      <c r="DQ130" s="12" t="str">
        <f>IF($A130="","",DN130+(DP130-SUMIFS('Nursing Charges'!$J:$J,'Nursing Charges'!$A:$A,$A130,'Nursing Charges'!$C:$C,12))+(DO130-SUMIFS('Consumable Usage'!$F:$F,'Consumable Usage'!$A:$A,$A130,'Consumable Usage'!$D:$D,12)))</f>
        <v/>
      </c>
      <c r="DR130" s="12" t="str">
        <f t="shared" si="34"/>
        <v/>
      </c>
      <c r="DS130" s="20"/>
      <c r="DT130" s="12" t="str">
        <f t="shared" si="35"/>
        <v/>
      </c>
      <c r="DU130" s="45" t="str">
        <f t="shared" si="36"/>
        <v/>
      </c>
      <c r="DV130" s="15"/>
      <c r="DW130" s="15"/>
      <c r="DX130" s="20"/>
      <c r="DY130" s="12" t="str">
        <f>IF($A130="","",SUMIFS('Consumable Usage'!$E:$E,'Consumable Usage'!$A:$A,$A130,'Consumable Usage'!$D:$D,13))</f>
        <v/>
      </c>
      <c r="DZ130" s="12" t="str">
        <f>IF($A130="","",SUMIFS('Nursing Charges'!$I:$I,'Nursing Charges'!$A:$A,$A130,'Nursing Charges'!$C:$C,13))</f>
        <v/>
      </c>
      <c r="EA130" s="12" t="str">
        <f>IF($A130="","",DX130+(DZ130-SUMIFS('Nursing Charges'!$J:$J,'Nursing Charges'!$A:$A,$A130,'Nursing Charges'!$C:$C,13))+(DY130-SUMIFS('Consumable Usage'!$F:$F,'Consumable Usage'!$A:$A,$A130,'Consumable Usage'!$D:$D,13)))</f>
        <v/>
      </c>
      <c r="EB130" s="12" t="str">
        <f t="shared" si="37"/>
        <v/>
      </c>
      <c r="EC130" s="20"/>
      <c r="ED130" s="12" t="str">
        <f t="shared" si="38"/>
        <v/>
      </c>
      <c r="EE130" s="45" t="str">
        <f t="shared" si="39"/>
        <v/>
      </c>
      <c r="EF130" s="15"/>
      <c r="EG130" s="15"/>
      <c r="EH130" s="20"/>
      <c r="EI130" s="12" t="str">
        <f>IF($A130="","",SUMIFS('Consumable Usage'!$E:$E,'Consumable Usage'!$A:$A,$A130,'Consumable Usage'!$D:$D,14))</f>
        <v/>
      </c>
      <c r="EJ130" s="12" t="str">
        <f>IF($A130="","",SUMIFS('Nursing Charges'!$I:$I,'Nursing Charges'!$A:$A,$A130,'Nursing Charges'!$C:$C,14))</f>
        <v/>
      </c>
      <c r="EK130" s="12" t="str">
        <f>IF($A130="","",EH130+(EJ130-SUMIFS('Nursing Charges'!$J:$J,'Nursing Charges'!$A:$A,$A130,'Nursing Charges'!$C:$C,14))+(EI130-SUMIFS('Consumable Usage'!$F:$F,'Consumable Usage'!$A:$A,$A130,'Consumable Usage'!$D:$D,14)))</f>
        <v/>
      </c>
      <c r="EL130" s="12" t="str">
        <f t="shared" si="40"/>
        <v/>
      </c>
      <c r="EM130" s="20"/>
      <c r="EN130" s="12" t="str">
        <f t="shared" si="41"/>
        <v/>
      </c>
      <c r="EO130" s="45" t="str">
        <f t="shared" si="42"/>
        <v/>
      </c>
      <c r="EP130" s="15"/>
      <c r="EQ130" s="15"/>
      <c r="ER130" s="20"/>
      <c r="ES130" s="12" t="str">
        <f>IF($A130="","",SUMIFS('Consumable Usage'!$E:$E,'Consumable Usage'!$A:$A,$A130,'Consumable Usage'!$D:$D,15))</f>
        <v/>
      </c>
      <c r="ET130" s="12" t="str">
        <f>IF($A130="","",SUMIFS('Nursing Charges'!$I:$I,'Nursing Charges'!$A:$A,$A130,'Nursing Charges'!$C:$C,15))</f>
        <v/>
      </c>
      <c r="EU130" s="12" t="str">
        <f>IF($A130="","",ER130+(ET130-SUMIFS('Nursing Charges'!$J:$J,'Nursing Charges'!$A:$A,$A130,'Nursing Charges'!$C:$C,15))+(ES130-SUMIFS('Consumable Usage'!$F:$F,'Consumable Usage'!$A:$A,$A130,'Consumable Usage'!$D:$D,15)))</f>
        <v/>
      </c>
      <c r="EV130" s="12" t="str">
        <f t="shared" si="43"/>
        <v/>
      </c>
      <c r="EW130" s="20"/>
      <c r="EX130" s="12" t="str">
        <f t="shared" si="44"/>
        <v/>
      </c>
      <c r="EY130" s="45" t="str">
        <f t="shared" si="45"/>
        <v/>
      </c>
      <c r="EZ130" s="15"/>
      <c r="FA130" s="15"/>
      <c r="FB130" s="20"/>
      <c r="FC130" s="12" t="str">
        <f>IF($A130="","",SUMIFS('Consumable Usage'!$E:$E,'Consumable Usage'!$A:$A,$A130,'Consumable Usage'!$D:$D,16))</f>
        <v/>
      </c>
      <c r="FD130" s="12" t="str">
        <f>IF($A130="","",SUMIFS('Nursing Charges'!$I:$I,'Nursing Charges'!$A:$A,$A130,'Nursing Charges'!$C:$C,16))</f>
        <v/>
      </c>
      <c r="FE130" s="12" t="str">
        <f>IF($A130="","",FB130+(FD130-SUMIFS('Nursing Charges'!$J:$J,'Nursing Charges'!$A:$A,$A130,'Nursing Charges'!$C:$C,16))+(FC130-SUMIFS('Consumable Usage'!$F:$F,'Consumable Usage'!$A:$A,$A130,'Consumable Usage'!$D:$D,16)))</f>
        <v/>
      </c>
      <c r="FF130" s="12" t="str">
        <f t="shared" si="46"/>
        <v/>
      </c>
      <c r="FG130" s="20"/>
      <c r="FH130" s="12" t="str">
        <f t="shared" si="47"/>
        <v/>
      </c>
      <c r="FI130" s="45" t="str">
        <f t="shared" si="48"/>
        <v/>
      </c>
      <c r="FJ130" s="53"/>
      <c r="FK130" s="53"/>
      <c r="FL130" s="63"/>
      <c r="FM130" s="63" t="str">
        <f>IF($A130="","",SUMIFS('Consumable Usage'!$E:$E,'Consumable Usage'!$A:$A,$A130,'Consumable Usage'!$D:$D,16))</f>
        <v/>
      </c>
      <c r="FN130" s="63" t="str">
        <f>IF($A130="","",SUMIFS('Nursing Charges'!$I:$I,'Nursing Charges'!$A:$A,$A130,'Nursing Charges'!$C:$C,16))</f>
        <v/>
      </c>
      <c r="FO130" s="63" t="str">
        <f>IF($A130="","",FL130+(FN130-SUMIFS('Nursing Charges'!$J:$J,'Nursing Charges'!$A:$A,$A130,'Nursing Charges'!$C:$C,16))+(FM130-SUMIFS('Consumable Usage'!$F:$F,'Consumable Usage'!$A:$A,$A130,'Consumable Usage'!$D:$D,16)))</f>
        <v/>
      </c>
      <c r="FP130" s="63" t="str">
        <f t="shared" si="49"/>
        <v/>
      </c>
      <c r="FQ130" s="63"/>
      <c r="FR130" s="63" t="str">
        <f t="shared" si="50"/>
        <v/>
      </c>
      <c r="FS130" s="53" t="str">
        <f t="shared" si="51"/>
        <v/>
      </c>
    </row>
    <row r="131" ht="15.0" customHeight="1">
      <c r="A131" s="15"/>
      <c r="B131" s="15"/>
      <c r="C131" s="15"/>
      <c r="D131" s="15"/>
      <c r="E131" s="15"/>
      <c r="F131" s="15"/>
      <c r="G131" s="15"/>
      <c r="H131" s="20"/>
      <c r="I131" s="12" t="str">
        <f>IF($A131="","",SUMIFS('Consumable Usage'!$E:$E,'Consumable Usage'!$A:$A,$A131,'Consumable Usage'!$D:$D,1))</f>
        <v/>
      </c>
      <c r="J131" s="12" t="str">
        <f>IF($A131="","",SUMIFS('Nursing Charges'!$I:$I,'Nursing Charges'!$A:$A,$A131,'Nursing Charges'!$C:$C,1))</f>
        <v/>
      </c>
      <c r="K131" s="12" t="str">
        <f>IF($A131="","",H131+(J131-SUMIFS('Nursing Charges'!$J:$J,'Nursing Charges'!$A:$A,$A131,'Nursing Charges'!$C:$C,1))+(I131-SUMIFS('Consumable Usage'!$F:$F,'Consumable Usage'!$A:$A,$A131,'Consumable Usage'!$D:$D,1)))</f>
        <v/>
      </c>
      <c r="L131" s="12" t="str">
        <f t="shared" si="1"/>
        <v/>
      </c>
      <c r="M131" s="20"/>
      <c r="N131" s="12" t="str">
        <f t="shared" si="2"/>
        <v/>
      </c>
      <c r="O131" s="45" t="str">
        <f t="shared" si="3"/>
        <v/>
      </c>
      <c r="P131" s="15"/>
      <c r="Q131" s="15"/>
      <c r="R131" s="20"/>
      <c r="S131" s="12" t="str">
        <f>IF($A131="","",SUMIFS('Consumable Usage'!$E:$E,'Consumable Usage'!$A:$A,$A131,'Consumable Usage'!$D:$D,2))</f>
        <v/>
      </c>
      <c r="T131" s="12" t="str">
        <f>IF($A131="","",SUMIFS('Nursing Charges'!$I:$I,'Nursing Charges'!$A:$A,$A131,'Nursing Charges'!$C:$C,2))</f>
        <v/>
      </c>
      <c r="U131" s="12" t="str">
        <f>IF($A131="","",R131+(T131-SUMIFS('Nursing Charges'!$J:$J,'Nursing Charges'!$A:$A,$A131,'Nursing Charges'!$C:$C,2))+(S131-SUMIFS('Consumable Usage'!$F:$F,'Consumable Usage'!$A:$A,$A131,'Consumable Usage'!$D:$D,2)))</f>
        <v/>
      </c>
      <c r="V131" s="12" t="str">
        <f t="shared" si="4"/>
        <v/>
      </c>
      <c r="W131" s="20"/>
      <c r="X131" s="12" t="str">
        <f t="shared" si="5"/>
        <v/>
      </c>
      <c r="Y131" s="45" t="str">
        <f t="shared" si="6"/>
        <v/>
      </c>
      <c r="Z131" s="15"/>
      <c r="AA131" s="15"/>
      <c r="AB131" s="20"/>
      <c r="AC131" s="12" t="str">
        <f>IF($A131="","",SUMIFS('Consumable Usage'!$E:$E,'Consumable Usage'!$A:$A,$A131,'Consumable Usage'!$D:$D,3))</f>
        <v/>
      </c>
      <c r="AD131" s="12" t="str">
        <f>IF($A131="","",SUMIFS('Nursing Charges'!$I:$I,'Nursing Charges'!$A:$A,$A131,'Nursing Charges'!$C:$C,3))</f>
        <v/>
      </c>
      <c r="AE131" s="12" t="str">
        <f>IF($A131="","",AB131+(AD131-SUMIFS('Nursing Charges'!$J:$J,'Nursing Charges'!$A:$A,$A131,'Nursing Charges'!$C:$C,3))+(AC131-SUMIFS('Consumable Usage'!$F:$F,'Consumable Usage'!$A:$A,$A131,'Consumable Usage'!$D:$D,3)))</f>
        <v/>
      </c>
      <c r="AF131" s="12" t="str">
        <f t="shared" si="7"/>
        <v/>
      </c>
      <c r="AG131" s="20"/>
      <c r="AH131" s="12" t="str">
        <f t="shared" si="8"/>
        <v/>
      </c>
      <c r="AI131" s="45" t="str">
        <f t="shared" si="9"/>
        <v/>
      </c>
      <c r="AJ131" s="15"/>
      <c r="AK131" s="15"/>
      <c r="AL131" s="20"/>
      <c r="AM131" s="12" t="str">
        <f>IF($A131="","",SUMIFS('Consumable Usage'!$E:$E,'Consumable Usage'!$A:$A,$A131,'Consumable Usage'!$D:$D,4))</f>
        <v/>
      </c>
      <c r="AN131" s="12" t="str">
        <f>IF($A131="","",SUMIFS('Nursing Charges'!$I:$I,'Nursing Charges'!$A:$A,$A131,'Nursing Charges'!$C:$C,4))</f>
        <v/>
      </c>
      <c r="AO131" s="12" t="str">
        <f>IF($A131="","",AL131+(AN131-SUMIFS('Nursing Charges'!$J:$J,'Nursing Charges'!$A:$A,$A131,'Nursing Charges'!$C:$C,4))+(AM131-SUMIFS('Consumable Usage'!$F:$F,'Consumable Usage'!$A:$A,$A131,'Consumable Usage'!$D:$D,4)))</f>
        <v/>
      </c>
      <c r="AP131" s="12" t="str">
        <f t="shared" si="10"/>
        <v/>
      </c>
      <c r="AQ131" s="20"/>
      <c r="AR131" s="12" t="str">
        <f t="shared" si="11"/>
        <v/>
      </c>
      <c r="AS131" s="45" t="str">
        <f t="shared" si="12"/>
        <v/>
      </c>
      <c r="AT131" s="15"/>
      <c r="AU131" s="15"/>
      <c r="AV131" s="20"/>
      <c r="AW131" s="12" t="str">
        <f>IF($A131="","",SUMIFS('Consumable Usage'!$E:$E,'Consumable Usage'!$A:$A,$A131,'Consumable Usage'!$D:$D,5))</f>
        <v/>
      </c>
      <c r="AX131" s="12" t="str">
        <f>IF($A131="","",SUMIFS('Nursing Charges'!$I:$I,'Nursing Charges'!$A:$A,$A131,'Nursing Charges'!$C:$C,5))</f>
        <v/>
      </c>
      <c r="AY131" s="12" t="str">
        <f>IF($A131="","",AV131+(AX131-SUMIFS('Nursing Charges'!$J:$J,'Nursing Charges'!$A:$A,$A131,'Nursing Charges'!$C:$C,5))+(AW131-SUMIFS('Consumable Usage'!$F:$F,'Consumable Usage'!$A:$A,$A131,'Consumable Usage'!$D:$D,5)))</f>
        <v/>
      </c>
      <c r="AZ131" s="12" t="str">
        <f t="shared" si="13"/>
        <v/>
      </c>
      <c r="BA131" s="20"/>
      <c r="BB131" s="12" t="str">
        <f t="shared" si="14"/>
        <v/>
      </c>
      <c r="BC131" s="45" t="str">
        <f t="shared" si="15"/>
        <v/>
      </c>
      <c r="BD131" s="15"/>
      <c r="BE131" s="15"/>
      <c r="BF131" s="20"/>
      <c r="BG131" s="12" t="str">
        <f>IF($A131="","",SUMIFS('Consumable Usage'!$E:$E,'Consumable Usage'!$A:$A,$A131,'Consumable Usage'!$D:$D,6))</f>
        <v/>
      </c>
      <c r="BH131" s="12" t="str">
        <f>IF($A131="","",SUMIFS('Nursing Charges'!$I:$I,'Nursing Charges'!$A:$A,$A131,'Nursing Charges'!$C:$C,6))</f>
        <v/>
      </c>
      <c r="BI131" s="12" t="str">
        <f>IF($A131="","",BF131+(BH131-SUMIFS('Nursing Charges'!$J:$J,'Nursing Charges'!$A:$A,$A131,'Nursing Charges'!$C:$C,6))+(BG131-SUMIFS('Consumable Usage'!$F:$F,'Consumable Usage'!$A:$A,$A131,'Consumable Usage'!$D:$D,6)))</f>
        <v/>
      </c>
      <c r="BJ131" s="12" t="str">
        <f t="shared" si="16"/>
        <v/>
      </c>
      <c r="BK131" s="20"/>
      <c r="BL131" s="12" t="str">
        <f t="shared" si="17"/>
        <v/>
      </c>
      <c r="BM131" s="45" t="str">
        <f t="shared" si="18"/>
        <v/>
      </c>
      <c r="BN131" s="15"/>
      <c r="BO131" s="15"/>
      <c r="BP131" s="20"/>
      <c r="BQ131" s="12" t="str">
        <f>IF($A131="","",SUMIFS('Consumable Usage'!$E:$E,'Consumable Usage'!$A:$A,$A131,'Consumable Usage'!$D:$D,7))</f>
        <v/>
      </c>
      <c r="BR131" s="12" t="str">
        <f>IF($A131="","",SUMIFS('Nursing Charges'!$I:$I,'Nursing Charges'!$A:$A,$A131,'Nursing Charges'!$C:$C,7))</f>
        <v/>
      </c>
      <c r="BS131" s="12" t="str">
        <f>IF($A131="","",BP131+(BR131-SUMIFS('Nursing Charges'!$J:$J,'Nursing Charges'!$A:$A,$A131,'Nursing Charges'!$C:$C,7))+(BQ131-SUMIFS('Consumable Usage'!$F:$F,'Consumable Usage'!$A:$A,$A131,'Consumable Usage'!$D:$D,7)))</f>
        <v/>
      </c>
      <c r="BT131" s="12" t="str">
        <f t="shared" si="19"/>
        <v/>
      </c>
      <c r="BU131" s="20"/>
      <c r="BV131" s="12" t="str">
        <f t="shared" si="20"/>
        <v/>
      </c>
      <c r="BW131" s="45" t="str">
        <f t="shared" si="21"/>
        <v/>
      </c>
      <c r="BX131" s="15"/>
      <c r="BY131" s="15"/>
      <c r="BZ131" s="20"/>
      <c r="CA131" s="12" t="str">
        <f>IF($A131="","",SUMIFS('Consumable Usage'!$E:$E,'Consumable Usage'!$A:$A,$A131,'Consumable Usage'!$D:$D,8))</f>
        <v/>
      </c>
      <c r="CB131" s="12" t="str">
        <f>IF($A131="","",SUMIFS('Nursing Charges'!$I:$I,'Nursing Charges'!$A:$A,$A131,'Nursing Charges'!$C:$C,8))</f>
        <v/>
      </c>
      <c r="CC131" s="12" t="str">
        <f>IF($A131="","",BZ131+(CB131-SUMIFS('Nursing Charges'!$J:$J,'Nursing Charges'!$A:$A,$A131,'Nursing Charges'!$C:$C,8))+(CA131-SUMIFS('Consumable Usage'!$F:$F,'Consumable Usage'!$A:$A,$A131,'Consumable Usage'!$D:$D,8)))</f>
        <v/>
      </c>
      <c r="CD131" s="12" t="str">
        <f t="shared" si="22"/>
        <v/>
      </c>
      <c r="CE131" s="20"/>
      <c r="CF131" s="12" t="str">
        <f t="shared" si="23"/>
        <v/>
      </c>
      <c r="CG131" s="45" t="str">
        <f t="shared" si="24"/>
        <v/>
      </c>
      <c r="CH131" s="15"/>
      <c r="CI131" s="15"/>
      <c r="CJ131" s="20"/>
      <c r="CK131" s="12" t="str">
        <f>IF($A131="","",SUMIFS('Consumable Usage'!$E:$E,'Consumable Usage'!$A:$A,$A131,'Consumable Usage'!$D:$D,9))</f>
        <v/>
      </c>
      <c r="CL131" s="12" t="str">
        <f>IF($A131="","",SUMIFS('Nursing Charges'!$I:$I,'Nursing Charges'!$A:$A,$A131,'Nursing Charges'!$C:$C,9))</f>
        <v/>
      </c>
      <c r="CM131" s="12" t="str">
        <f>IF($A131="","",CJ131+(CL131-SUMIFS('Nursing Charges'!$J:$J,'Nursing Charges'!$A:$A,$A131,'Nursing Charges'!$C:$C,9))+(CK131-SUMIFS('Consumable Usage'!$F:$F,'Consumable Usage'!$A:$A,$A131,'Consumable Usage'!$D:$D,9)))</f>
        <v/>
      </c>
      <c r="CN131" s="12" t="str">
        <f t="shared" si="25"/>
        <v/>
      </c>
      <c r="CO131" s="20"/>
      <c r="CP131" s="12" t="str">
        <f t="shared" si="26"/>
        <v/>
      </c>
      <c r="CQ131" s="45" t="str">
        <f t="shared" si="27"/>
        <v/>
      </c>
      <c r="CR131" s="15"/>
      <c r="CS131" s="15"/>
      <c r="CT131" s="20"/>
      <c r="CU131" s="12" t="str">
        <f>IF($A131="","",SUMIFS('Consumable Usage'!$E:$E,'Consumable Usage'!$A:$A,$A131,'Consumable Usage'!$D:$D,10))</f>
        <v/>
      </c>
      <c r="CV131" s="12" t="str">
        <f>IF($A131="","",SUMIFS('Nursing Charges'!$I:$I,'Nursing Charges'!$A:$A,$A131,'Nursing Charges'!$C:$C,10))</f>
        <v/>
      </c>
      <c r="CW131" s="12" t="str">
        <f>IF($A131="","",CT131+(CV131-SUMIFS('Nursing Charges'!$J:$J,'Nursing Charges'!$A:$A,$A131,'Nursing Charges'!$C:$C,10))+(CU131-SUMIFS('Consumable Usage'!$F:$F,'Consumable Usage'!$A:$A,$A131,'Consumable Usage'!$D:$D,10)))</f>
        <v/>
      </c>
      <c r="CX131" s="12" t="str">
        <f t="shared" si="28"/>
        <v/>
      </c>
      <c r="CY131" s="20"/>
      <c r="CZ131" s="12" t="str">
        <f t="shared" si="29"/>
        <v/>
      </c>
      <c r="DA131" s="45" t="str">
        <f t="shared" si="30"/>
        <v/>
      </c>
      <c r="DB131" s="15"/>
      <c r="DC131" s="15"/>
      <c r="DD131" s="20"/>
      <c r="DE131" s="12" t="str">
        <f>IF($A131="","",SUMIFS('Consumable Usage'!$E:$E,'Consumable Usage'!$A:$A,$A131,'Consumable Usage'!$D:$D,11))</f>
        <v/>
      </c>
      <c r="DF131" s="12" t="str">
        <f>IF($A131="","",SUMIFS('Nursing Charges'!$I:$I,'Nursing Charges'!$A:$A,$A131,'Nursing Charges'!$C:$C,11))</f>
        <v/>
      </c>
      <c r="DG131" s="12" t="str">
        <f>IF($A131="","",DD131+(DF131-SUMIFS('Nursing Charges'!$J:$J,'Nursing Charges'!$A:$A,$A131,'Nursing Charges'!$C:$C,11))+(DE131-SUMIFS('Consumable Usage'!$F:$F,'Consumable Usage'!$A:$A,$A131,'Consumable Usage'!$D:$D,11)))</f>
        <v/>
      </c>
      <c r="DH131" s="12" t="str">
        <f t="shared" si="31"/>
        <v/>
      </c>
      <c r="DI131" s="20"/>
      <c r="DJ131" s="12" t="str">
        <f t="shared" si="32"/>
        <v/>
      </c>
      <c r="DK131" s="45" t="str">
        <f t="shared" si="33"/>
        <v/>
      </c>
      <c r="DL131" s="15"/>
      <c r="DM131" s="15"/>
      <c r="DN131" s="20"/>
      <c r="DO131" s="12" t="str">
        <f>IF($A131="","",SUMIFS('Consumable Usage'!$E:$E,'Consumable Usage'!$A:$A,$A131,'Consumable Usage'!$D:$D,12))</f>
        <v/>
      </c>
      <c r="DP131" s="12" t="str">
        <f>IF($A131="","",SUMIFS('Nursing Charges'!$I:$I,'Nursing Charges'!$A:$A,$A131,'Nursing Charges'!$C:$C,12))</f>
        <v/>
      </c>
      <c r="DQ131" s="12" t="str">
        <f>IF($A131="","",DN131+(DP131-SUMIFS('Nursing Charges'!$J:$J,'Nursing Charges'!$A:$A,$A131,'Nursing Charges'!$C:$C,12))+(DO131-SUMIFS('Consumable Usage'!$F:$F,'Consumable Usage'!$A:$A,$A131,'Consumable Usage'!$D:$D,12)))</f>
        <v/>
      </c>
      <c r="DR131" s="12" t="str">
        <f t="shared" si="34"/>
        <v/>
      </c>
      <c r="DS131" s="20"/>
      <c r="DT131" s="12" t="str">
        <f t="shared" si="35"/>
        <v/>
      </c>
      <c r="DU131" s="45" t="str">
        <f t="shared" si="36"/>
        <v/>
      </c>
      <c r="DV131" s="15"/>
      <c r="DW131" s="15"/>
      <c r="DX131" s="20"/>
      <c r="DY131" s="12" t="str">
        <f>IF($A131="","",SUMIFS('Consumable Usage'!$E:$E,'Consumable Usage'!$A:$A,$A131,'Consumable Usage'!$D:$D,13))</f>
        <v/>
      </c>
      <c r="DZ131" s="12" t="str">
        <f>IF($A131="","",SUMIFS('Nursing Charges'!$I:$I,'Nursing Charges'!$A:$A,$A131,'Nursing Charges'!$C:$C,13))</f>
        <v/>
      </c>
      <c r="EA131" s="12" t="str">
        <f>IF($A131="","",DX131+(DZ131-SUMIFS('Nursing Charges'!$J:$J,'Nursing Charges'!$A:$A,$A131,'Nursing Charges'!$C:$C,13))+(DY131-SUMIFS('Consumable Usage'!$F:$F,'Consumable Usage'!$A:$A,$A131,'Consumable Usage'!$D:$D,13)))</f>
        <v/>
      </c>
      <c r="EB131" s="12" t="str">
        <f t="shared" si="37"/>
        <v/>
      </c>
      <c r="EC131" s="20"/>
      <c r="ED131" s="12" t="str">
        <f t="shared" si="38"/>
        <v/>
      </c>
      <c r="EE131" s="45" t="str">
        <f t="shared" si="39"/>
        <v/>
      </c>
      <c r="EF131" s="15"/>
      <c r="EG131" s="15"/>
      <c r="EH131" s="20"/>
      <c r="EI131" s="12" t="str">
        <f>IF($A131="","",SUMIFS('Consumable Usage'!$E:$E,'Consumable Usage'!$A:$A,$A131,'Consumable Usage'!$D:$D,14))</f>
        <v/>
      </c>
      <c r="EJ131" s="12" t="str">
        <f>IF($A131="","",SUMIFS('Nursing Charges'!$I:$I,'Nursing Charges'!$A:$A,$A131,'Nursing Charges'!$C:$C,14))</f>
        <v/>
      </c>
      <c r="EK131" s="12" t="str">
        <f>IF($A131="","",EH131+(EJ131-SUMIFS('Nursing Charges'!$J:$J,'Nursing Charges'!$A:$A,$A131,'Nursing Charges'!$C:$C,14))+(EI131-SUMIFS('Consumable Usage'!$F:$F,'Consumable Usage'!$A:$A,$A131,'Consumable Usage'!$D:$D,14)))</f>
        <v/>
      </c>
      <c r="EL131" s="12" t="str">
        <f t="shared" si="40"/>
        <v/>
      </c>
      <c r="EM131" s="20"/>
      <c r="EN131" s="12" t="str">
        <f t="shared" si="41"/>
        <v/>
      </c>
      <c r="EO131" s="45" t="str">
        <f t="shared" si="42"/>
        <v/>
      </c>
      <c r="EP131" s="15"/>
      <c r="EQ131" s="15"/>
      <c r="ER131" s="20"/>
      <c r="ES131" s="12" t="str">
        <f>IF($A131="","",SUMIFS('Consumable Usage'!$E:$E,'Consumable Usage'!$A:$A,$A131,'Consumable Usage'!$D:$D,15))</f>
        <v/>
      </c>
      <c r="ET131" s="12" t="str">
        <f>IF($A131="","",SUMIFS('Nursing Charges'!$I:$I,'Nursing Charges'!$A:$A,$A131,'Nursing Charges'!$C:$C,15))</f>
        <v/>
      </c>
      <c r="EU131" s="12" t="str">
        <f>IF($A131="","",ER131+(ET131-SUMIFS('Nursing Charges'!$J:$J,'Nursing Charges'!$A:$A,$A131,'Nursing Charges'!$C:$C,15))+(ES131-SUMIFS('Consumable Usage'!$F:$F,'Consumable Usage'!$A:$A,$A131,'Consumable Usage'!$D:$D,15)))</f>
        <v/>
      </c>
      <c r="EV131" s="12" t="str">
        <f t="shared" si="43"/>
        <v/>
      </c>
      <c r="EW131" s="20"/>
      <c r="EX131" s="12" t="str">
        <f t="shared" si="44"/>
        <v/>
      </c>
      <c r="EY131" s="45" t="str">
        <f t="shared" si="45"/>
        <v/>
      </c>
      <c r="EZ131" s="15"/>
      <c r="FA131" s="15"/>
      <c r="FB131" s="20"/>
      <c r="FC131" s="12" t="str">
        <f>IF($A131="","",SUMIFS('Consumable Usage'!$E:$E,'Consumable Usage'!$A:$A,$A131,'Consumable Usage'!$D:$D,16))</f>
        <v/>
      </c>
      <c r="FD131" s="12" t="str">
        <f>IF($A131="","",SUMIFS('Nursing Charges'!$I:$I,'Nursing Charges'!$A:$A,$A131,'Nursing Charges'!$C:$C,16))</f>
        <v/>
      </c>
      <c r="FE131" s="12" t="str">
        <f>IF($A131="","",FB131+(FD131-SUMIFS('Nursing Charges'!$J:$J,'Nursing Charges'!$A:$A,$A131,'Nursing Charges'!$C:$C,16))+(FC131-SUMIFS('Consumable Usage'!$F:$F,'Consumable Usage'!$A:$A,$A131,'Consumable Usage'!$D:$D,16)))</f>
        <v/>
      </c>
      <c r="FF131" s="12" t="str">
        <f t="shared" si="46"/>
        <v/>
      </c>
      <c r="FG131" s="20"/>
      <c r="FH131" s="12" t="str">
        <f t="shared" si="47"/>
        <v/>
      </c>
      <c r="FI131" s="45" t="str">
        <f t="shared" si="48"/>
        <v/>
      </c>
      <c r="FJ131" s="53"/>
      <c r="FK131" s="53"/>
      <c r="FL131" s="63"/>
      <c r="FM131" s="63" t="str">
        <f>IF($A131="","",SUMIFS('Consumable Usage'!$E:$E,'Consumable Usage'!$A:$A,$A131,'Consumable Usage'!$D:$D,16))</f>
        <v/>
      </c>
      <c r="FN131" s="63" t="str">
        <f>IF($A131="","",SUMIFS('Nursing Charges'!$I:$I,'Nursing Charges'!$A:$A,$A131,'Nursing Charges'!$C:$C,16))</f>
        <v/>
      </c>
      <c r="FO131" s="63" t="str">
        <f>IF($A131="","",FL131+(FN131-SUMIFS('Nursing Charges'!$J:$J,'Nursing Charges'!$A:$A,$A131,'Nursing Charges'!$C:$C,16))+(FM131-SUMIFS('Consumable Usage'!$F:$F,'Consumable Usage'!$A:$A,$A131,'Consumable Usage'!$D:$D,16)))</f>
        <v/>
      </c>
      <c r="FP131" s="63" t="str">
        <f t="shared" si="49"/>
        <v/>
      </c>
      <c r="FQ131" s="63"/>
      <c r="FR131" s="63" t="str">
        <f t="shared" si="50"/>
        <v/>
      </c>
      <c r="FS131" s="53" t="str">
        <f t="shared" si="51"/>
        <v/>
      </c>
    </row>
    <row r="132" ht="15.0" customHeight="1">
      <c r="A132" s="15"/>
      <c r="B132" s="15"/>
      <c r="C132" s="15"/>
      <c r="D132" s="15"/>
      <c r="E132" s="15"/>
      <c r="F132" s="15"/>
      <c r="G132" s="15"/>
      <c r="H132" s="20"/>
      <c r="I132" s="12" t="str">
        <f>IF($A132="","",SUMIFS('Consumable Usage'!$E:$E,'Consumable Usage'!$A:$A,$A132,'Consumable Usage'!$D:$D,1))</f>
        <v/>
      </c>
      <c r="J132" s="12" t="str">
        <f>IF($A132="","",SUMIFS('Nursing Charges'!$I:$I,'Nursing Charges'!$A:$A,$A132,'Nursing Charges'!$C:$C,1))</f>
        <v/>
      </c>
      <c r="K132" s="12" t="str">
        <f>IF($A132="","",H132+(J132-SUMIFS('Nursing Charges'!$J:$J,'Nursing Charges'!$A:$A,$A132,'Nursing Charges'!$C:$C,1))+(I132-SUMIFS('Consumable Usage'!$F:$F,'Consumable Usage'!$A:$A,$A132,'Consumable Usage'!$D:$D,1)))</f>
        <v/>
      </c>
      <c r="L132" s="12" t="str">
        <f t="shared" si="1"/>
        <v/>
      </c>
      <c r="M132" s="20"/>
      <c r="N132" s="12" t="str">
        <f t="shared" si="2"/>
        <v/>
      </c>
      <c r="O132" s="45" t="str">
        <f t="shared" si="3"/>
        <v/>
      </c>
      <c r="P132" s="15"/>
      <c r="Q132" s="15"/>
      <c r="R132" s="20"/>
      <c r="S132" s="12" t="str">
        <f>IF($A132="","",SUMIFS('Consumable Usage'!$E:$E,'Consumable Usage'!$A:$A,$A132,'Consumable Usage'!$D:$D,2))</f>
        <v/>
      </c>
      <c r="T132" s="12" t="str">
        <f>IF($A132="","",SUMIFS('Nursing Charges'!$I:$I,'Nursing Charges'!$A:$A,$A132,'Nursing Charges'!$C:$C,2))</f>
        <v/>
      </c>
      <c r="U132" s="12" t="str">
        <f>IF($A132="","",R132+(T132-SUMIFS('Nursing Charges'!$J:$J,'Nursing Charges'!$A:$A,$A132,'Nursing Charges'!$C:$C,2))+(S132-SUMIFS('Consumable Usage'!$F:$F,'Consumable Usage'!$A:$A,$A132,'Consumable Usage'!$D:$D,2)))</f>
        <v/>
      </c>
      <c r="V132" s="12" t="str">
        <f t="shared" si="4"/>
        <v/>
      </c>
      <c r="W132" s="20"/>
      <c r="X132" s="12" t="str">
        <f t="shared" si="5"/>
        <v/>
      </c>
      <c r="Y132" s="45" t="str">
        <f t="shared" si="6"/>
        <v/>
      </c>
      <c r="Z132" s="15"/>
      <c r="AA132" s="15"/>
      <c r="AB132" s="20"/>
      <c r="AC132" s="12" t="str">
        <f>IF($A132="","",SUMIFS('Consumable Usage'!$E:$E,'Consumable Usage'!$A:$A,$A132,'Consumable Usage'!$D:$D,3))</f>
        <v/>
      </c>
      <c r="AD132" s="12" t="str">
        <f>IF($A132="","",SUMIFS('Nursing Charges'!$I:$I,'Nursing Charges'!$A:$A,$A132,'Nursing Charges'!$C:$C,3))</f>
        <v/>
      </c>
      <c r="AE132" s="12" t="str">
        <f>IF($A132="","",AB132+(AD132-SUMIFS('Nursing Charges'!$J:$J,'Nursing Charges'!$A:$A,$A132,'Nursing Charges'!$C:$C,3))+(AC132-SUMIFS('Consumable Usage'!$F:$F,'Consumable Usage'!$A:$A,$A132,'Consumable Usage'!$D:$D,3)))</f>
        <v/>
      </c>
      <c r="AF132" s="12" t="str">
        <f t="shared" si="7"/>
        <v/>
      </c>
      <c r="AG132" s="20"/>
      <c r="AH132" s="12" t="str">
        <f t="shared" si="8"/>
        <v/>
      </c>
      <c r="AI132" s="45" t="str">
        <f t="shared" si="9"/>
        <v/>
      </c>
      <c r="AJ132" s="15"/>
      <c r="AK132" s="15"/>
      <c r="AL132" s="20"/>
      <c r="AM132" s="12" t="str">
        <f>IF($A132="","",SUMIFS('Consumable Usage'!$E:$E,'Consumable Usage'!$A:$A,$A132,'Consumable Usage'!$D:$D,4))</f>
        <v/>
      </c>
      <c r="AN132" s="12" t="str">
        <f>IF($A132="","",SUMIFS('Nursing Charges'!$I:$I,'Nursing Charges'!$A:$A,$A132,'Nursing Charges'!$C:$C,4))</f>
        <v/>
      </c>
      <c r="AO132" s="12" t="str">
        <f>IF($A132="","",AL132+(AN132-SUMIFS('Nursing Charges'!$J:$J,'Nursing Charges'!$A:$A,$A132,'Nursing Charges'!$C:$C,4))+(AM132-SUMIFS('Consumable Usage'!$F:$F,'Consumable Usage'!$A:$A,$A132,'Consumable Usage'!$D:$D,4)))</f>
        <v/>
      </c>
      <c r="AP132" s="12" t="str">
        <f t="shared" si="10"/>
        <v/>
      </c>
      <c r="AQ132" s="20"/>
      <c r="AR132" s="12" t="str">
        <f t="shared" si="11"/>
        <v/>
      </c>
      <c r="AS132" s="45" t="str">
        <f t="shared" si="12"/>
        <v/>
      </c>
      <c r="AT132" s="15"/>
      <c r="AU132" s="15"/>
      <c r="AV132" s="20"/>
      <c r="AW132" s="12" t="str">
        <f>IF($A132="","",SUMIFS('Consumable Usage'!$E:$E,'Consumable Usage'!$A:$A,$A132,'Consumable Usage'!$D:$D,5))</f>
        <v/>
      </c>
      <c r="AX132" s="12" t="str">
        <f>IF($A132="","",SUMIFS('Nursing Charges'!$I:$I,'Nursing Charges'!$A:$A,$A132,'Nursing Charges'!$C:$C,5))</f>
        <v/>
      </c>
      <c r="AY132" s="12" t="str">
        <f>IF($A132="","",AV132+(AX132-SUMIFS('Nursing Charges'!$J:$J,'Nursing Charges'!$A:$A,$A132,'Nursing Charges'!$C:$C,5))+(AW132-SUMIFS('Consumable Usage'!$F:$F,'Consumable Usage'!$A:$A,$A132,'Consumable Usage'!$D:$D,5)))</f>
        <v/>
      </c>
      <c r="AZ132" s="12" t="str">
        <f t="shared" si="13"/>
        <v/>
      </c>
      <c r="BA132" s="20"/>
      <c r="BB132" s="12" t="str">
        <f t="shared" si="14"/>
        <v/>
      </c>
      <c r="BC132" s="45" t="str">
        <f t="shared" si="15"/>
        <v/>
      </c>
      <c r="BD132" s="15"/>
      <c r="BE132" s="15"/>
      <c r="BF132" s="20"/>
      <c r="BG132" s="12" t="str">
        <f>IF($A132="","",SUMIFS('Consumable Usage'!$E:$E,'Consumable Usage'!$A:$A,$A132,'Consumable Usage'!$D:$D,6))</f>
        <v/>
      </c>
      <c r="BH132" s="12" t="str">
        <f>IF($A132="","",SUMIFS('Nursing Charges'!$I:$I,'Nursing Charges'!$A:$A,$A132,'Nursing Charges'!$C:$C,6))</f>
        <v/>
      </c>
      <c r="BI132" s="12" t="str">
        <f>IF($A132="","",BF132+(BH132-SUMIFS('Nursing Charges'!$J:$J,'Nursing Charges'!$A:$A,$A132,'Nursing Charges'!$C:$C,6))+(BG132-SUMIFS('Consumable Usage'!$F:$F,'Consumable Usage'!$A:$A,$A132,'Consumable Usage'!$D:$D,6)))</f>
        <v/>
      </c>
      <c r="BJ132" s="12" t="str">
        <f t="shared" si="16"/>
        <v/>
      </c>
      <c r="BK132" s="20"/>
      <c r="BL132" s="12" t="str">
        <f t="shared" si="17"/>
        <v/>
      </c>
      <c r="BM132" s="45" t="str">
        <f t="shared" si="18"/>
        <v/>
      </c>
      <c r="BN132" s="15"/>
      <c r="BO132" s="15"/>
      <c r="BP132" s="20"/>
      <c r="BQ132" s="12" t="str">
        <f>IF($A132="","",SUMIFS('Consumable Usage'!$E:$E,'Consumable Usage'!$A:$A,$A132,'Consumable Usage'!$D:$D,7))</f>
        <v/>
      </c>
      <c r="BR132" s="12" t="str">
        <f>IF($A132="","",SUMIFS('Nursing Charges'!$I:$I,'Nursing Charges'!$A:$A,$A132,'Nursing Charges'!$C:$C,7))</f>
        <v/>
      </c>
      <c r="BS132" s="12" t="str">
        <f>IF($A132="","",BP132+(BR132-SUMIFS('Nursing Charges'!$J:$J,'Nursing Charges'!$A:$A,$A132,'Nursing Charges'!$C:$C,7))+(BQ132-SUMIFS('Consumable Usage'!$F:$F,'Consumable Usage'!$A:$A,$A132,'Consumable Usage'!$D:$D,7)))</f>
        <v/>
      </c>
      <c r="BT132" s="12" t="str">
        <f t="shared" si="19"/>
        <v/>
      </c>
      <c r="BU132" s="20"/>
      <c r="BV132" s="12" t="str">
        <f t="shared" si="20"/>
        <v/>
      </c>
      <c r="BW132" s="45" t="str">
        <f t="shared" si="21"/>
        <v/>
      </c>
      <c r="BX132" s="15"/>
      <c r="BY132" s="15"/>
      <c r="BZ132" s="20"/>
      <c r="CA132" s="12" t="str">
        <f>IF($A132="","",SUMIFS('Consumable Usage'!$E:$E,'Consumable Usage'!$A:$A,$A132,'Consumable Usage'!$D:$D,8))</f>
        <v/>
      </c>
      <c r="CB132" s="12" t="str">
        <f>IF($A132="","",SUMIFS('Nursing Charges'!$I:$I,'Nursing Charges'!$A:$A,$A132,'Nursing Charges'!$C:$C,8))</f>
        <v/>
      </c>
      <c r="CC132" s="12" t="str">
        <f>IF($A132="","",BZ132+(CB132-SUMIFS('Nursing Charges'!$J:$J,'Nursing Charges'!$A:$A,$A132,'Nursing Charges'!$C:$C,8))+(CA132-SUMIFS('Consumable Usage'!$F:$F,'Consumable Usage'!$A:$A,$A132,'Consumable Usage'!$D:$D,8)))</f>
        <v/>
      </c>
      <c r="CD132" s="12" t="str">
        <f t="shared" si="22"/>
        <v/>
      </c>
      <c r="CE132" s="20"/>
      <c r="CF132" s="12" t="str">
        <f t="shared" si="23"/>
        <v/>
      </c>
      <c r="CG132" s="45" t="str">
        <f t="shared" si="24"/>
        <v/>
      </c>
      <c r="CH132" s="15"/>
      <c r="CI132" s="15"/>
      <c r="CJ132" s="20"/>
      <c r="CK132" s="12" t="str">
        <f>IF($A132="","",SUMIFS('Consumable Usage'!$E:$E,'Consumable Usage'!$A:$A,$A132,'Consumable Usage'!$D:$D,9))</f>
        <v/>
      </c>
      <c r="CL132" s="12" t="str">
        <f>IF($A132="","",SUMIFS('Nursing Charges'!$I:$I,'Nursing Charges'!$A:$A,$A132,'Nursing Charges'!$C:$C,9))</f>
        <v/>
      </c>
      <c r="CM132" s="12" t="str">
        <f>IF($A132="","",CJ132+(CL132-SUMIFS('Nursing Charges'!$J:$J,'Nursing Charges'!$A:$A,$A132,'Nursing Charges'!$C:$C,9))+(CK132-SUMIFS('Consumable Usage'!$F:$F,'Consumable Usage'!$A:$A,$A132,'Consumable Usage'!$D:$D,9)))</f>
        <v/>
      </c>
      <c r="CN132" s="12" t="str">
        <f t="shared" si="25"/>
        <v/>
      </c>
      <c r="CO132" s="20"/>
      <c r="CP132" s="12" t="str">
        <f t="shared" si="26"/>
        <v/>
      </c>
      <c r="CQ132" s="45" t="str">
        <f t="shared" si="27"/>
        <v/>
      </c>
      <c r="CR132" s="15"/>
      <c r="CS132" s="15"/>
      <c r="CT132" s="20"/>
      <c r="CU132" s="12" t="str">
        <f>IF($A132="","",SUMIFS('Consumable Usage'!$E:$E,'Consumable Usage'!$A:$A,$A132,'Consumable Usage'!$D:$D,10))</f>
        <v/>
      </c>
      <c r="CV132" s="12" t="str">
        <f>IF($A132="","",SUMIFS('Nursing Charges'!$I:$I,'Nursing Charges'!$A:$A,$A132,'Nursing Charges'!$C:$C,10))</f>
        <v/>
      </c>
      <c r="CW132" s="12" t="str">
        <f>IF($A132="","",CT132+(CV132-SUMIFS('Nursing Charges'!$J:$J,'Nursing Charges'!$A:$A,$A132,'Nursing Charges'!$C:$C,10))+(CU132-SUMIFS('Consumable Usage'!$F:$F,'Consumable Usage'!$A:$A,$A132,'Consumable Usage'!$D:$D,10)))</f>
        <v/>
      </c>
      <c r="CX132" s="12" t="str">
        <f t="shared" si="28"/>
        <v/>
      </c>
      <c r="CY132" s="20"/>
      <c r="CZ132" s="12" t="str">
        <f t="shared" si="29"/>
        <v/>
      </c>
      <c r="DA132" s="45" t="str">
        <f t="shared" si="30"/>
        <v/>
      </c>
      <c r="DB132" s="15"/>
      <c r="DC132" s="15"/>
      <c r="DD132" s="20"/>
      <c r="DE132" s="12" t="str">
        <f>IF($A132="","",SUMIFS('Consumable Usage'!$E:$E,'Consumable Usage'!$A:$A,$A132,'Consumable Usage'!$D:$D,11))</f>
        <v/>
      </c>
      <c r="DF132" s="12" t="str">
        <f>IF($A132="","",SUMIFS('Nursing Charges'!$I:$I,'Nursing Charges'!$A:$A,$A132,'Nursing Charges'!$C:$C,11))</f>
        <v/>
      </c>
      <c r="DG132" s="12" t="str">
        <f>IF($A132="","",DD132+(DF132-SUMIFS('Nursing Charges'!$J:$J,'Nursing Charges'!$A:$A,$A132,'Nursing Charges'!$C:$C,11))+(DE132-SUMIFS('Consumable Usage'!$F:$F,'Consumable Usage'!$A:$A,$A132,'Consumable Usage'!$D:$D,11)))</f>
        <v/>
      </c>
      <c r="DH132" s="12" t="str">
        <f t="shared" si="31"/>
        <v/>
      </c>
      <c r="DI132" s="20"/>
      <c r="DJ132" s="12" t="str">
        <f t="shared" si="32"/>
        <v/>
      </c>
      <c r="DK132" s="45" t="str">
        <f t="shared" si="33"/>
        <v/>
      </c>
      <c r="DL132" s="15"/>
      <c r="DM132" s="15"/>
      <c r="DN132" s="20"/>
      <c r="DO132" s="12" t="str">
        <f>IF($A132="","",SUMIFS('Consumable Usage'!$E:$E,'Consumable Usage'!$A:$A,$A132,'Consumable Usage'!$D:$D,12))</f>
        <v/>
      </c>
      <c r="DP132" s="12" t="str">
        <f>IF($A132="","",SUMIFS('Nursing Charges'!$I:$I,'Nursing Charges'!$A:$A,$A132,'Nursing Charges'!$C:$C,12))</f>
        <v/>
      </c>
      <c r="DQ132" s="12" t="str">
        <f>IF($A132="","",DN132+(DP132-SUMIFS('Nursing Charges'!$J:$J,'Nursing Charges'!$A:$A,$A132,'Nursing Charges'!$C:$C,12))+(DO132-SUMIFS('Consumable Usage'!$F:$F,'Consumable Usage'!$A:$A,$A132,'Consumable Usage'!$D:$D,12)))</f>
        <v/>
      </c>
      <c r="DR132" s="12" t="str">
        <f t="shared" si="34"/>
        <v/>
      </c>
      <c r="DS132" s="20"/>
      <c r="DT132" s="12" t="str">
        <f t="shared" si="35"/>
        <v/>
      </c>
      <c r="DU132" s="45" t="str">
        <f t="shared" si="36"/>
        <v/>
      </c>
      <c r="DV132" s="15"/>
      <c r="DW132" s="15"/>
      <c r="DX132" s="20"/>
      <c r="DY132" s="12" t="str">
        <f>IF($A132="","",SUMIFS('Consumable Usage'!$E:$E,'Consumable Usage'!$A:$A,$A132,'Consumable Usage'!$D:$D,13))</f>
        <v/>
      </c>
      <c r="DZ132" s="12" t="str">
        <f>IF($A132="","",SUMIFS('Nursing Charges'!$I:$I,'Nursing Charges'!$A:$A,$A132,'Nursing Charges'!$C:$C,13))</f>
        <v/>
      </c>
      <c r="EA132" s="12" t="str">
        <f>IF($A132="","",DX132+(DZ132-SUMIFS('Nursing Charges'!$J:$J,'Nursing Charges'!$A:$A,$A132,'Nursing Charges'!$C:$C,13))+(DY132-SUMIFS('Consumable Usage'!$F:$F,'Consumable Usage'!$A:$A,$A132,'Consumable Usage'!$D:$D,13)))</f>
        <v/>
      </c>
      <c r="EB132" s="12" t="str">
        <f t="shared" si="37"/>
        <v/>
      </c>
      <c r="EC132" s="20"/>
      <c r="ED132" s="12" t="str">
        <f t="shared" si="38"/>
        <v/>
      </c>
      <c r="EE132" s="45" t="str">
        <f t="shared" si="39"/>
        <v/>
      </c>
      <c r="EF132" s="15"/>
      <c r="EG132" s="15"/>
      <c r="EH132" s="20"/>
      <c r="EI132" s="12" t="str">
        <f>IF($A132="","",SUMIFS('Consumable Usage'!$E:$E,'Consumable Usage'!$A:$A,$A132,'Consumable Usage'!$D:$D,14))</f>
        <v/>
      </c>
      <c r="EJ132" s="12" t="str">
        <f>IF($A132="","",SUMIFS('Nursing Charges'!$I:$I,'Nursing Charges'!$A:$A,$A132,'Nursing Charges'!$C:$C,14))</f>
        <v/>
      </c>
      <c r="EK132" s="12" t="str">
        <f>IF($A132="","",EH132+(EJ132-SUMIFS('Nursing Charges'!$J:$J,'Nursing Charges'!$A:$A,$A132,'Nursing Charges'!$C:$C,14))+(EI132-SUMIFS('Consumable Usage'!$F:$F,'Consumable Usage'!$A:$A,$A132,'Consumable Usage'!$D:$D,14)))</f>
        <v/>
      </c>
      <c r="EL132" s="12" t="str">
        <f t="shared" si="40"/>
        <v/>
      </c>
      <c r="EM132" s="20"/>
      <c r="EN132" s="12" t="str">
        <f t="shared" si="41"/>
        <v/>
      </c>
      <c r="EO132" s="45" t="str">
        <f t="shared" si="42"/>
        <v/>
      </c>
      <c r="EP132" s="15"/>
      <c r="EQ132" s="15"/>
      <c r="ER132" s="20"/>
      <c r="ES132" s="12" t="str">
        <f>IF($A132="","",SUMIFS('Consumable Usage'!$E:$E,'Consumable Usage'!$A:$A,$A132,'Consumable Usage'!$D:$D,15))</f>
        <v/>
      </c>
      <c r="ET132" s="12" t="str">
        <f>IF($A132="","",SUMIFS('Nursing Charges'!$I:$I,'Nursing Charges'!$A:$A,$A132,'Nursing Charges'!$C:$C,15))</f>
        <v/>
      </c>
      <c r="EU132" s="12" t="str">
        <f>IF($A132="","",ER132+(ET132-SUMIFS('Nursing Charges'!$J:$J,'Nursing Charges'!$A:$A,$A132,'Nursing Charges'!$C:$C,15))+(ES132-SUMIFS('Consumable Usage'!$F:$F,'Consumable Usage'!$A:$A,$A132,'Consumable Usage'!$D:$D,15)))</f>
        <v/>
      </c>
      <c r="EV132" s="12" t="str">
        <f t="shared" si="43"/>
        <v/>
      </c>
      <c r="EW132" s="20"/>
      <c r="EX132" s="12" t="str">
        <f t="shared" si="44"/>
        <v/>
      </c>
      <c r="EY132" s="45" t="str">
        <f t="shared" si="45"/>
        <v/>
      </c>
      <c r="EZ132" s="15"/>
      <c r="FA132" s="15"/>
      <c r="FB132" s="20"/>
      <c r="FC132" s="12" t="str">
        <f>IF($A132="","",SUMIFS('Consumable Usage'!$E:$E,'Consumable Usage'!$A:$A,$A132,'Consumable Usage'!$D:$D,16))</f>
        <v/>
      </c>
      <c r="FD132" s="12" t="str">
        <f>IF($A132="","",SUMIFS('Nursing Charges'!$I:$I,'Nursing Charges'!$A:$A,$A132,'Nursing Charges'!$C:$C,16))</f>
        <v/>
      </c>
      <c r="FE132" s="12" t="str">
        <f>IF($A132="","",FB132+(FD132-SUMIFS('Nursing Charges'!$J:$J,'Nursing Charges'!$A:$A,$A132,'Nursing Charges'!$C:$C,16))+(FC132-SUMIFS('Consumable Usage'!$F:$F,'Consumable Usage'!$A:$A,$A132,'Consumable Usage'!$D:$D,16)))</f>
        <v/>
      </c>
      <c r="FF132" s="12" t="str">
        <f t="shared" si="46"/>
        <v/>
      </c>
      <c r="FG132" s="20"/>
      <c r="FH132" s="12" t="str">
        <f t="shared" si="47"/>
        <v/>
      </c>
      <c r="FI132" s="45" t="str">
        <f t="shared" si="48"/>
        <v/>
      </c>
      <c r="FJ132" s="53"/>
      <c r="FK132" s="53"/>
      <c r="FL132" s="63"/>
      <c r="FM132" s="63" t="str">
        <f>IF($A132="","",SUMIFS('Consumable Usage'!$E:$E,'Consumable Usage'!$A:$A,$A132,'Consumable Usage'!$D:$D,16))</f>
        <v/>
      </c>
      <c r="FN132" s="63" t="str">
        <f>IF($A132="","",SUMIFS('Nursing Charges'!$I:$I,'Nursing Charges'!$A:$A,$A132,'Nursing Charges'!$C:$C,16))</f>
        <v/>
      </c>
      <c r="FO132" s="63" t="str">
        <f>IF($A132="","",FL132+(FN132-SUMIFS('Nursing Charges'!$J:$J,'Nursing Charges'!$A:$A,$A132,'Nursing Charges'!$C:$C,16))+(FM132-SUMIFS('Consumable Usage'!$F:$F,'Consumable Usage'!$A:$A,$A132,'Consumable Usage'!$D:$D,16)))</f>
        <v/>
      </c>
      <c r="FP132" s="63" t="str">
        <f t="shared" si="49"/>
        <v/>
      </c>
      <c r="FQ132" s="63"/>
      <c r="FR132" s="63" t="str">
        <f t="shared" si="50"/>
        <v/>
      </c>
      <c r="FS132" s="53" t="str">
        <f t="shared" si="51"/>
        <v/>
      </c>
    </row>
    <row r="133" ht="15.0" customHeight="1">
      <c r="A133" s="15"/>
      <c r="B133" s="15"/>
      <c r="C133" s="15"/>
      <c r="D133" s="15"/>
      <c r="E133" s="15"/>
      <c r="F133" s="15"/>
      <c r="G133" s="15"/>
      <c r="H133" s="20"/>
      <c r="I133" s="12" t="str">
        <f>IF($A133="","",SUMIFS('Consumable Usage'!$E:$E,'Consumable Usage'!$A:$A,$A133,'Consumable Usage'!$D:$D,1))</f>
        <v/>
      </c>
      <c r="J133" s="12" t="str">
        <f>IF($A133="","",SUMIFS('Nursing Charges'!$I:$I,'Nursing Charges'!$A:$A,$A133,'Nursing Charges'!$C:$C,1))</f>
        <v/>
      </c>
      <c r="K133" s="12" t="str">
        <f>IF($A133="","",H133+(J133-SUMIFS('Nursing Charges'!$J:$J,'Nursing Charges'!$A:$A,$A133,'Nursing Charges'!$C:$C,1))+(I133-SUMIFS('Consumable Usage'!$F:$F,'Consumable Usage'!$A:$A,$A133,'Consumable Usage'!$D:$D,1)))</f>
        <v/>
      </c>
      <c r="L133" s="12" t="str">
        <f t="shared" si="1"/>
        <v/>
      </c>
      <c r="M133" s="20"/>
      <c r="N133" s="12" t="str">
        <f t="shared" si="2"/>
        <v/>
      </c>
      <c r="O133" s="45" t="str">
        <f t="shared" si="3"/>
        <v/>
      </c>
      <c r="P133" s="15"/>
      <c r="Q133" s="15"/>
      <c r="R133" s="20"/>
      <c r="S133" s="12" t="str">
        <f>IF($A133="","",SUMIFS('Consumable Usage'!$E:$E,'Consumable Usage'!$A:$A,$A133,'Consumable Usage'!$D:$D,2))</f>
        <v/>
      </c>
      <c r="T133" s="12" t="str">
        <f>IF($A133="","",SUMIFS('Nursing Charges'!$I:$I,'Nursing Charges'!$A:$A,$A133,'Nursing Charges'!$C:$C,2))</f>
        <v/>
      </c>
      <c r="U133" s="12" t="str">
        <f>IF($A133="","",R133+(T133-SUMIFS('Nursing Charges'!$J:$J,'Nursing Charges'!$A:$A,$A133,'Nursing Charges'!$C:$C,2))+(S133-SUMIFS('Consumable Usage'!$F:$F,'Consumable Usage'!$A:$A,$A133,'Consumable Usage'!$D:$D,2)))</f>
        <v/>
      </c>
      <c r="V133" s="12" t="str">
        <f t="shared" si="4"/>
        <v/>
      </c>
      <c r="W133" s="20"/>
      <c r="X133" s="12" t="str">
        <f t="shared" si="5"/>
        <v/>
      </c>
      <c r="Y133" s="45" t="str">
        <f t="shared" si="6"/>
        <v/>
      </c>
      <c r="Z133" s="15"/>
      <c r="AA133" s="15"/>
      <c r="AB133" s="20"/>
      <c r="AC133" s="12" t="str">
        <f>IF($A133="","",SUMIFS('Consumable Usage'!$E:$E,'Consumable Usage'!$A:$A,$A133,'Consumable Usage'!$D:$D,3))</f>
        <v/>
      </c>
      <c r="AD133" s="12" t="str">
        <f>IF($A133="","",SUMIFS('Nursing Charges'!$I:$I,'Nursing Charges'!$A:$A,$A133,'Nursing Charges'!$C:$C,3))</f>
        <v/>
      </c>
      <c r="AE133" s="12" t="str">
        <f>IF($A133="","",AB133+(AD133-SUMIFS('Nursing Charges'!$J:$J,'Nursing Charges'!$A:$A,$A133,'Nursing Charges'!$C:$C,3))+(AC133-SUMIFS('Consumable Usage'!$F:$F,'Consumable Usage'!$A:$A,$A133,'Consumable Usage'!$D:$D,3)))</f>
        <v/>
      </c>
      <c r="AF133" s="12" t="str">
        <f t="shared" si="7"/>
        <v/>
      </c>
      <c r="AG133" s="20"/>
      <c r="AH133" s="12" t="str">
        <f t="shared" si="8"/>
        <v/>
      </c>
      <c r="AI133" s="45" t="str">
        <f t="shared" si="9"/>
        <v/>
      </c>
      <c r="AJ133" s="15"/>
      <c r="AK133" s="15"/>
      <c r="AL133" s="20"/>
      <c r="AM133" s="12" t="str">
        <f>IF($A133="","",SUMIFS('Consumable Usage'!$E:$E,'Consumable Usage'!$A:$A,$A133,'Consumable Usage'!$D:$D,4))</f>
        <v/>
      </c>
      <c r="AN133" s="12" t="str">
        <f>IF($A133="","",SUMIFS('Nursing Charges'!$I:$I,'Nursing Charges'!$A:$A,$A133,'Nursing Charges'!$C:$C,4))</f>
        <v/>
      </c>
      <c r="AO133" s="12" t="str">
        <f>IF($A133="","",AL133+(AN133-SUMIFS('Nursing Charges'!$J:$J,'Nursing Charges'!$A:$A,$A133,'Nursing Charges'!$C:$C,4))+(AM133-SUMIFS('Consumable Usage'!$F:$F,'Consumable Usage'!$A:$A,$A133,'Consumable Usage'!$D:$D,4)))</f>
        <v/>
      </c>
      <c r="AP133" s="12" t="str">
        <f t="shared" si="10"/>
        <v/>
      </c>
      <c r="AQ133" s="20"/>
      <c r="AR133" s="12" t="str">
        <f t="shared" si="11"/>
        <v/>
      </c>
      <c r="AS133" s="45" t="str">
        <f t="shared" si="12"/>
        <v/>
      </c>
      <c r="AT133" s="15"/>
      <c r="AU133" s="15"/>
      <c r="AV133" s="20"/>
      <c r="AW133" s="12" t="str">
        <f>IF($A133="","",SUMIFS('Consumable Usage'!$E:$E,'Consumable Usage'!$A:$A,$A133,'Consumable Usage'!$D:$D,5))</f>
        <v/>
      </c>
      <c r="AX133" s="12" t="str">
        <f>IF($A133="","",SUMIFS('Nursing Charges'!$I:$I,'Nursing Charges'!$A:$A,$A133,'Nursing Charges'!$C:$C,5))</f>
        <v/>
      </c>
      <c r="AY133" s="12" t="str">
        <f>IF($A133="","",AV133+(AX133-SUMIFS('Nursing Charges'!$J:$J,'Nursing Charges'!$A:$A,$A133,'Nursing Charges'!$C:$C,5))+(AW133-SUMIFS('Consumable Usage'!$F:$F,'Consumable Usage'!$A:$A,$A133,'Consumable Usage'!$D:$D,5)))</f>
        <v/>
      </c>
      <c r="AZ133" s="12" t="str">
        <f t="shared" si="13"/>
        <v/>
      </c>
      <c r="BA133" s="20"/>
      <c r="BB133" s="12" t="str">
        <f t="shared" si="14"/>
        <v/>
      </c>
      <c r="BC133" s="45" t="str">
        <f t="shared" si="15"/>
        <v/>
      </c>
      <c r="BD133" s="15"/>
      <c r="BE133" s="15"/>
      <c r="BF133" s="20"/>
      <c r="BG133" s="12" t="str">
        <f>IF($A133="","",SUMIFS('Consumable Usage'!$E:$E,'Consumable Usage'!$A:$A,$A133,'Consumable Usage'!$D:$D,6))</f>
        <v/>
      </c>
      <c r="BH133" s="12" t="str">
        <f>IF($A133="","",SUMIFS('Nursing Charges'!$I:$I,'Nursing Charges'!$A:$A,$A133,'Nursing Charges'!$C:$C,6))</f>
        <v/>
      </c>
      <c r="BI133" s="12" t="str">
        <f>IF($A133="","",BF133+(BH133-SUMIFS('Nursing Charges'!$J:$J,'Nursing Charges'!$A:$A,$A133,'Nursing Charges'!$C:$C,6))+(BG133-SUMIFS('Consumable Usage'!$F:$F,'Consumable Usage'!$A:$A,$A133,'Consumable Usage'!$D:$D,6)))</f>
        <v/>
      </c>
      <c r="BJ133" s="12" t="str">
        <f t="shared" si="16"/>
        <v/>
      </c>
      <c r="BK133" s="20"/>
      <c r="BL133" s="12" t="str">
        <f t="shared" si="17"/>
        <v/>
      </c>
      <c r="BM133" s="45" t="str">
        <f t="shared" si="18"/>
        <v/>
      </c>
      <c r="BN133" s="15"/>
      <c r="BO133" s="15"/>
      <c r="BP133" s="20"/>
      <c r="BQ133" s="12" t="str">
        <f>IF($A133="","",SUMIFS('Consumable Usage'!$E:$E,'Consumable Usage'!$A:$A,$A133,'Consumable Usage'!$D:$D,7))</f>
        <v/>
      </c>
      <c r="BR133" s="12" t="str">
        <f>IF($A133="","",SUMIFS('Nursing Charges'!$I:$I,'Nursing Charges'!$A:$A,$A133,'Nursing Charges'!$C:$C,7))</f>
        <v/>
      </c>
      <c r="BS133" s="12" t="str">
        <f>IF($A133="","",BP133+(BR133-SUMIFS('Nursing Charges'!$J:$J,'Nursing Charges'!$A:$A,$A133,'Nursing Charges'!$C:$C,7))+(BQ133-SUMIFS('Consumable Usage'!$F:$F,'Consumable Usage'!$A:$A,$A133,'Consumable Usage'!$D:$D,7)))</f>
        <v/>
      </c>
      <c r="BT133" s="12" t="str">
        <f t="shared" si="19"/>
        <v/>
      </c>
      <c r="BU133" s="20"/>
      <c r="BV133" s="12" t="str">
        <f t="shared" si="20"/>
        <v/>
      </c>
      <c r="BW133" s="45" t="str">
        <f t="shared" si="21"/>
        <v/>
      </c>
      <c r="BX133" s="15"/>
      <c r="BY133" s="15"/>
      <c r="BZ133" s="20"/>
      <c r="CA133" s="12" t="str">
        <f>IF($A133="","",SUMIFS('Consumable Usage'!$E:$E,'Consumable Usage'!$A:$A,$A133,'Consumable Usage'!$D:$D,8))</f>
        <v/>
      </c>
      <c r="CB133" s="12" t="str">
        <f>IF($A133="","",SUMIFS('Nursing Charges'!$I:$I,'Nursing Charges'!$A:$A,$A133,'Nursing Charges'!$C:$C,8))</f>
        <v/>
      </c>
      <c r="CC133" s="12" t="str">
        <f>IF($A133="","",BZ133+(CB133-SUMIFS('Nursing Charges'!$J:$J,'Nursing Charges'!$A:$A,$A133,'Nursing Charges'!$C:$C,8))+(CA133-SUMIFS('Consumable Usage'!$F:$F,'Consumable Usage'!$A:$A,$A133,'Consumable Usage'!$D:$D,8)))</f>
        <v/>
      </c>
      <c r="CD133" s="12" t="str">
        <f t="shared" si="22"/>
        <v/>
      </c>
      <c r="CE133" s="20"/>
      <c r="CF133" s="12" t="str">
        <f t="shared" si="23"/>
        <v/>
      </c>
      <c r="CG133" s="45" t="str">
        <f t="shared" si="24"/>
        <v/>
      </c>
      <c r="CH133" s="15"/>
      <c r="CI133" s="15"/>
      <c r="CJ133" s="20"/>
      <c r="CK133" s="12" t="str">
        <f>IF($A133="","",SUMIFS('Consumable Usage'!$E:$E,'Consumable Usage'!$A:$A,$A133,'Consumable Usage'!$D:$D,9))</f>
        <v/>
      </c>
      <c r="CL133" s="12" t="str">
        <f>IF($A133="","",SUMIFS('Nursing Charges'!$I:$I,'Nursing Charges'!$A:$A,$A133,'Nursing Charges'!$C:$C,9))</f>
        <v/>
      </c>
      <c r="CM133" s="12" t="str">
        <f>IF($A133="","",CJ133+(CL133-SUMIFS('Nursing Charges'!$J:$J,'Nursing Charges'!$A:$A,$A133,'Nursing Charges'!$C:$C,9))+(CK133-SUMIFS('Consumable Usage'!$F:$F,'Consumable Usage'!$A:$A,$A133,'Consumable Usage'!$D:$D,9)))</f>
        <v/>
      </c>
      <c r="CN133" s="12" t="str">
        <f t="shared" si="25"/>
        <v/>
      </c>
      <c r="CO133" s="20"/>
      <c r="CP133" s="12" t="str">
        <f t="shared" si="26"/>
        <v/>
      </c>
      <c r="CQ133" s="45" t="str">
        <f t="shared" si="27"/>
        <v/>
      </c>
      <c r="CR133" s="15"/>
      <c r="CS133" s="15"/>
      <c r="CT133" s="20"/>
      <c r="CU133" s="12" t="str">
        <f>IF($A133="","",SUMIFS('Consumable Usage'!$E:$E,'Consumable Usage'!$A:$A,$A133,'Consumable Usage'!$D:$D,10))</f>
        <v/>
      </c>
      <c r="CV133" s="12" t="str">
        <f>IF($A133="","",SUMIFS('Nursing Charges'!$I:$I,'Nursing Charges'!$A:$A,$A133,'Nursing Charges'!$C:$C,10))</f>
        <v/>
      </c>
      <c r="CW133" s="12" t="str">
        <f>IF($A133="","",CT133+(CV133-SUMIFS('Nursing Charges'!$J:$J,'Nursing Charges'!$A:$A,$A133,'Nursing Charges'!$C:$C,10))+(CU133-SUMIFS('Consumable Usage'!$F:$F,'Consumable Usage'!$A:$A,$A133,'Consumable Usage'!$D:$D,10)))</f>
        <v/>
      </c>
      <c r="CX133" s="12" t="str">
        <f t="shared" si="28"/>
        <v/>
      </c>
      <c r="CY133" s="20"/>
      <c r="CZ133" s="12" t="str">
        <f t="shared" si="29"/>
        <v/>
      </c>
      <c r="DA133" s="45" t="str">
        <f t="shared" si="30"/>
        <v/>
      </c>
      <c r="DB133" s="15"/>
      <c r="DC133" s="15"/>
      <c r="DD133" s="20"/>
      <c r="DE133" s="12" t="str">
        <f>IF($A133="","",SUMIFS('Consumable Usage'!$E:$E,'Consumable Usage'!$A:$A,$A133,'Consumable Usage'!$D:$D,11))</f>
        <v/>
      </c>
      <c r="DF133" s="12" t="str">
        <f>IF($A133="","",SUMIFS('Nursing Charges'!$I:$I,'Nursing Charges'!$A:$A,$A133,'Nursing Charges'!$C:$C,11))</f>
        <v/>
      </c>
      <c r="DG133" s="12" t="str">
        <f>IF($A133="","",DD133+(DF133-SUMIFS('Nursing Charges'!$J:$J,'Nursing Charges'!$A:$A,$A133,'Nursing Charges'!$C:$C,11))+(DE133-SUMIFS('Consumable Usage'!$F:$F,'Consumable Usage'!$A:$A,$A133,'Consumable Usage'!$D:$D,11)))</f>
        <v/>
      </c>
      <c r="DH133" s="12" t="str">
        <f t="shared" si="31"/>
        <v/>
      </c>
      <c r="DI133" s="20"/>
      <c r="DJ133" s="12" t="str">
        <f t="shared" si="32"/>
        <v/>
      </c>
      <c r="DK133" s="45" t="str">
        <f t="shared" si="33"/>
        <v/>
      </c>
      <c r="DL133" s="15"/>
      <c r="DM133" s="15"/>
      <c r="DN133" s="20"/>
      <c r="DO133" s="12" t="str">
        <f>IF($A133="","",SUMIFS('Consumable Usage'!$E:$E,'Consumable Usage'!$A:$A,$A133,'Consumable Usage'!$D:$D,12))</f>
        <v/>
      </c>
      <c r="DP133" s="12" t="str">
        <f>IF($A133="","",SUMIFS('Nursing Charges'!$I:$I,'Nursing Charges'!$A:$A,$A133,'Nursing Charges'!$C:$C,12))</f>
        <v/>
      </c>
      <c r="DQ133" s="12" t="str">
        <f>IF($A133="","",DN133+(DP133-SUMIFS('Nursing Charges'!$J:$J,'Nursing Charges'!$A:$A,$A133,'Nursing Charges'!$C:$C,12))+(DO133-SUMIFS('Consumable Usage'!$F:$F,'Consumable Usage'!$A:$A,$A133,'Consumable Usage'!$D:$D,12)))</f>
        <v/>
      </c>
      <c r="DR133" s="12" t="str">
        <f t="shared" si="34"/>
        <v/>
      </c>
      <c r="DS133" s="20"/>
      <c r="DT133" s="12" t="str">
        <f t="shared" si="35"/>
        <v/>
      </c>
      <c r="DU133" s="45" t="str">
        <f t="shared" si="36"/>
        <v/>
      </c>
      <c r="DV133" s="15"/>
      <c r="DW133" s="15"/>
      <c r="DX133" s="20"/>
      <c r="DY133" s="12" t="str">
        <f>IF($A133="","",SUMIFS('Consumable Usage'!$E:$E,'Consumable Usage'!$A:$A,$A133,'Consumable Usage'!$D:$D,13))</f>
        <v/>
      </c>
      <c r="DZ133" s="12" t="str">
        <f>IF($A133="","",SUMIFS('Nursing Charges'!$I:$I,'Nursing Charges'!$A:$A,$A133,'Nursing Charges'!$C:$C,13))</f>
        <v/>
      </c>
      <c r="EA133" s="12" t="str">
        <f>IF($A133="","",DX133+(DZ133-SUMIFS('Nursing Charges'!$J:$J,'Nursing Charges'!$A:$A,$A133,'Nursing Charges'!$C:$C,13))+(DY133-SUMIFS('Consumable Usage'!$F:$F,'Consumable Usage'!$A:$A,$A133,'Consumable Usage'!$D:$D,13)))</f>
        <v/>
      </c>
      <c r="EB133" s="12" t="str">
        <f t="shared" si="37"/>
        <v/>
      </c>
      <c r="EC133" s="20"/>
      <c r="ED133" s="12" t="str">
        <f t="shared" si="38"/>
        <v/>
      </c>
      <c r="EE133" s="45" t="str">
        <f t="shared" si="39"/>
        <v/>
      </c>
      <c r="EF133" s="15"/>
      <c r="EG133" s="15"/>
      <c r="EH133" s="20"/>
      <c r="EI133" s="12" t="str">
        <f>IF($A133="","",SUMIFS('Consumable Usage'!$E:$E,'Consumable Usage'!$A:$A,$A133,'Consumable Usage'!$D:$D,14))</f>
        <v/>
      </c>
      <c r="EJ133" s="12" t="str">
        <f>IF($A133="","",SUMIFS('Nursing Charges'!$I:$I,'Nursing Charges'!$A:$A,$A133,'Nursing Charges'!$C:$C,14))</f>
        <v/>
      </c>
      <c r="EK133" s="12" t="str">
        <f>IF($A133="","",EH133+(EJ133-SUMIFS('Nursing Charges'!$J:$J,'Nursing Charges'!$A:$A,$A133,'Nursing Charges'!$C:$C,14))+(EI133-SUMIFS('Consumable Usage'!$F:$F,'Consumable Usage'!$A:$A,$A133,'Consumable Usage'!$D:$D,14)))</f>
        <v/>
      </c>
      <c r="EL133" s="12" t="str">
        <f t="shared" si="40"/>
        <v/>
      </c>
      <c r="EM133" s="20"/>
      <c r="EN133" s="12" t="str">
        <f t="shared" si="41"/>
        <v/>
      </c>
      <c r="EO133" s="45" t="str">
        <f t="shared" si="42"/>
        <v/>
      </c>
      <c r="EP133" s="15"/>
      <c r="EQ133" s="15"/>
      <c r="ER133" s="20"/>
      <c r="ES133" s="12" t="str">
        <f>IF($A133="","",SUMIFS('Consumable Usage'!$E:$E,'Consumable Usage'!$A:$A,$A133,'Consumable Usage'!$D:$D,15))</f>
        <v/>
      </c>
      <c r="ET133" s="12" t="str">
        <f>IF($A133="","",SUMIFS('Nursing Charges'!$I:$I,'Nursing Charges'!$A:$A,$A133,'Nursing Charges'!$C:$C,15))</f>
        <v/>
      </c>
      <c r="EU133" s="12" t="str">
        <f>IF($A133="","",ER133+(ET133-SUMIFS('Nursing Charges'!$J:$J,'Nursing Charges'!$A:$A,$A133,'Nursing Charges'!$C:$C,15))+(ES133-SUMIFS('Consumable Usage'!$F:$F,'Consumable Usage'!$A:$A,$A133,'Consumable Usage'!$D:$D,15)))</f>
        <v/>
      </c>
      <c r="EV133" s="12" t="str">
        <f t="shared" si="43"/>
        <v/>
      </c>
      <c r="EW133" s="20"/>
      <c r="EX133" s="12" t="str">
        <f t="shared" si="44"/>
        <v/>
      </c>
      <c r="EY133" s="45" t="str">
        <f t="shared" si="45"/>
        <v/>
      </c>
      <c r="EZ133" s="15"/>
      <c r="FA133" s="15"/>
      <c r="FB133" s="20"/>
      <c r="FC133" s="12" t="str">
        <f>IF($A133="","",SUMIFS('Consumable Usage'!$E:$E,'Consumable Usage'!$A:$A,$A133,'Consumable Usage'!$D:$D,16))</f>
        <v/>
      </c>
      <c r="FD133" s="12" t="str">
        <f>IF($A133="","",SUMIFS('Nursing Charges'!$I:$I,'Nursing Charges'!$A:$A,$A133,'Nursing Charges'!$C:$C,16))</f>
        <v/>
      </c>
      <c r="FE133" s="12" t="str">
        <f>IF($A133="","",FB133+(FD133-SUMIFS('Nursing Charges'!$J:$J,'Nursing Charges'!$A:$A,$A133,'Nursing Charges'!$C:$C,16))+(FC133-SUMIFS('Consumable Usage'!$F:$F,'Consumable Usage'!$A:$A,$A133,'Consumable Usage'!$D:$D,16)))</f>
        <v/>
      </c>
      <c r="FF133" s="12" t="str">
        <f t="shared" si="46"/>
        <v/>
      </c>
      <c r="FG133" s="20"/>
      <c r="FH133" s="12" t="str">
        <f t="shared" si="47"/>
        <v/>
      </c>
      <c r="FI133" s="45" t="str">
        <f t="shared" si="48"/>
        <v/>
      </c>
      <c r="FJ133" s="53"/>
      <c r="FK133" s="53"/>
      <c r="FL133" s="63"/>
      <c r="FM133" s="63" t="str">
        <f>IF($A133="","",SUMIFS('Consumable Usage'!$E:$E,'Consumable Usage'!$A:$A,$A133,'Consumable Usage'!$D:$D,16))</f>
        <v/>
      </c>
      <c r="FN133" s="63" t="str">
        <f>IF($A133="","",SUMIFS('Nursing Charges'!$I:$I,'Nursing Charges'!$A:$A,$A133,'Nursing Charges'!$C:$C,16))</f>
        <v/>
      </c>
      <c r="FO133" s="63" t="str">
        <f>IF($A133="","",FL133+(FN133-SUMIFS('Nursing Charges'!$J:$J,'Nursing Charges'!$A:$A,$A133,'Nursing Charges'!$C:$C,16))+(FM133-SUMIFS('Consumable Usage'!$F:$F,'Consumable Usage'!$A:$A,$A133,'Consumable Usage'!$D:$D,16)))</f>
        <v/>
      </c>
      <c r="FP133" s="63" t="str">
        <f t="shared" si="49"/>
        <v/>
      </c>
      <c r="FQ133" s="63"/>
      <c r="FR133" s="63" t="str">
        <f t="shared" si="50"/>
        <v/>
      </c>
      <c r="FS133" s="53" t="str">
        <f t="shared" si="51"/>
        <v/>
      </c>
    </row>
    <row r="134" ht="15.0" customHeight="1">
      <c r="A134" s="15"/>
      <c r="B134" s="15"/>
      <c r="C134" s="15"/>
      <c r="D134" s="15"/>
      <c r="E134" s="15"/>
      <c r="F134" s="15"/>
      <c r="G134" s="15"/>
      <c r="H134" s="20"/>
      <c r="I134" s="12" t="str">
        <f>IF($A134="","",SUMIFS('Consumable Usage'!$E:$E,'Consumable Usage'!$A:$A,$A134,'Consumable Usage'!$D:$D,1))</f>
        <v/>
      </c>
      <c r="J134" s="12" t="str">
        <f>IF($A134="","",SUMIFS('Nursing Charges'!$I:$I,'Nursing Charges'!$A:$A,$A134,'Nursing Charges'!$C:$C,1))</f>
        <v/>
      </c>
      <c r="K134" s="12" t="str">
        <f>IF($A134="","",H134+(J134-SUMIFS('Nursing Charges'!$J:$J,'Nursing Charges'!$A:$A,$A134,'Nursing Charges'!$C:$C,1))+(I134-SUMIFS('Consumable Usage'!$F:$F,'Consumable Usage'!$A:$A,$A134,'Consumable Usage'!$D:$D,1)))</f>
        <v/>
      </c>
      <c r="L134" s="12" t="str">
        <f t="shared" si="1"/>
        <v/>
      </c>
      <c r="M134" s="20"/>
      <c r="N134" s="12" t="str">
        <f t="shared" si="2"/>
        <v/>
      </c>
      <c r="O134" s="45" t="str">
        <f t="shared" si="3"/>
        <v/>
      </c>
      <c r="P134" s="15"/>
      <c r="Q134" s="15"/>
      <c r="R134" s="20"/>
      <c r="S134" s="12" t="str">
        <f>IF($A134="","",SUMIFS('Consumable Usage'!$E:$E,'Consumable Usage'!$A:$A,$A134,'Consumable Usage'!$D:$D,2))</f>
        <v/>
      </c>
      <c r="T134" s="12" t="str">
        <f>IF($A134="","",SUMIFS('Nursing Charges'!$I:$I,'Nursing Charges'!$A:$A,$A134,'Nursing Charges'!$C:$C,2))</f>
        <v/>
      </c>
      <c r="U134" s="12" t="str">
        <f>IF($A134="","",R134+(T134-SUMIFS('Nursing Charges'!$J:$J,'Nursing Charges'!$A:$A,$A134,'Nursing Charges'!$C:$C,2))+(S134-SUMIFS('Consumable Usage'!$F:$F,'Consumable Usage'!$A:$A,$A134,'Consumable Usage'!$D:$D,2)))</f>
        <v/>
      </c>
      <c r="V134" s="12" t="str">
        <f t="shared" si="4"/>
        <v/>
      </c>
      <c r="W134" s="20"/>
      <c r="X134" s="12" t="str">
        <f t="shared" si="5"/>
        <v/>
      </c>
      <c r="Y134" s="45" t="str">
        <f t="shared" si="6"/>
        <v/>
      </c>
      <c r="Z134" s="15"/>
      <c r="AA134" s="15"/>
      <c r="AB134" s="20"/>
      <c r="AC134" s="12" t="str">
        <f>IF($A134="","",SUMIFS('Consumable Usage'!$E:$E,'Consumable Usage'!$A:$A,$A134,'Consumable Usage'!$D:$D,3))</f>
        <v/>
      </c>
      <c r="AD134" s="12" t="str">
        <f>IF($A134="","",SUMIFS('Nursing Charges'!$I:$I,'Nursing Charges'!$A:$A,$A134,'Nursing Charges'!$C:$C,3))</f>
        <v/>
      </c>
      <c r="AE134" s="12" t="str">
        <f>IF($A134="","",AB134+(AD134-SUMIFS('Nursing Charges'!$J:$J,'Nursing Charges'!$A:$A,$A134,'Nursing Charges'!$C:$C,3))+(AC134-SUMIFS('Consumable Usage'!$F:$F,'Consumable Usage'!$A:$A,$A134,'Consumable Usage'!$D:$D,3)))</f>
        <v/>
      </c>
      <c r="AF134" s="12" t="str">
        <f t="shared" si="7"/>
        <v/>
      </c>
      <c r="AG134" s="20"/>
      <c r="AH134" s="12" t="str">
        <f t="shared" si="8"/>
        <v/>
      </c>
      <c r="AI134" s="45" t="str">
        <f t="shared" si="9"/>
        <v/>
      </c>
      <c r="AJ134" s="15"/>
      <c r="AK134" s="15"/>
      <c r="AL134" s="20"/>
      <c r="AM134" s="12" t="str">
        <f>IF($A134="","",SUMIFS('Consumable Usage'!$E:$E,'Consumable Usage'!$A:$A,$A134,'Consumable Usage'!$D:$D,4))</f>
        <v/>
      </c>
      <c r="AN134" s="12" t="str">
        <f>IF($A134="","",SUMIFS('Nursing Charges'!$I:$I,'Nursing Charges'!$A:$A,$A134,'Nursing Charges'!$C:$C,4))</f>
        <v/>
      </c>
      <c r="AO134" s="12" t="str">
        <f>IF($A134="","",AL134+(AN134-SUMIFS('Nursing Charges'!$J:$J,'Nursing Charges'!$A:$A,$A134,'Nursing Charges'!$C:$C,4))+(AM134-SUMIFS('Consumable Usage'!$F:$F,'Consumable Usage'!$A:$A,$A134,'Consumable Usage'!$D:$D,4)))</f>
        <v/>
      </c>
      <c r="AP134" s="12" t="str">
        <f t="shared" si="10"/>
        <v/>
      </c>
      <c r="AQ134" s="20"/>
      <c r="AR134" s="12" t="str">
        <f t="shared" si="11"/>
        <v/>
      </c>
      <c r="AS134" s="45" t="str">
        <f t="shared" si="12"/>
        <v/>
      </c>
      <c r="AT134" s="15"/>
      <c r="AU134" s="15"/>
      <c r="AV134" s="20"/>
      <c r="AW134" s="12" t="str">
        <f>IF($A134="","",SUMIFS('Consumable Usage'!$E:$E,'Consumable Usage'!$A:$A,$A134,'Consumable Usage'!$D:$D,5))</f>
        <v/>
      </c>
      <c r="AX134" s="12" t="str">
        <f>IF($A134="","",SUMIFS('Nursing Charges'!$I:$I,'Nursing Charges'!$A:$A,$A134,'Nursing Charges'!$C:$C,5))</f>
        <v/>
      </c>
      <c r="AY134" s="12" t="str">
        <f>IF($A134="","",AV134+(AX134-SUMIFS('Nursing Charges'!$J:$J,'Nursing Charges'!$A:$A,$A134,'Nursing Charges'!$C:$C,5))+(AW134-SUMIFS('Consumable Usage'!$F:$F,'Consumable Usage'!$A:$A,$A134,'Consumable Usage'!$D:$D,5)))</f>
        <v/>
      </c>
      <c r="AZ134" s="12" t="str">
        <f t="shared" si="13"/>
        <v/>
      </c>
      <c r="BA134" s="20"/>
      <c r="BB134" s="12" t="str">
        <f t="shared" si="14"/>
        <v/>
      </c>
      <c r="BC134" s="45" t="str">
        <f t="shared" si="15"/>
        <v/>
      </c>
      <c r="BD134" s="15"/>
      <c r="BE134" s="15"/>
      <c r="BF134" s="20"/>
      <c r="BG134" s="12" t="str">
        <f>IF($A134="","",SUMIFS('Consumable Usage'!$E:$E,'Consumable Usage'!$A:$A,$A134,'Consumable Usage'!$D:$D,6))</f>
        <v/>
      </c>
      <c r="BH134" s="12" t="str">
        <f>IF($A134="","",SUMIFS('Nursing Charges'!$I:$I,'Nursing Charges'!$A:$A,$A134,'Nursing Charges'!$C:$C,6))</f>
        <v/>
      </c>
      <c r="BI134" s="12" t="str">
        <f>IF($A134="","",BF134+(BH134-SUMIFS('Nursing Charges'!$J:$J,'Nursing Charges'!$A:$A,$A134,'Nursing Charges'!$C:$C,6))+(BG134-SUMIFS('Consumable Usage'!$F:$F,'Consumable Usage'!$A:$A,$A134,'Consumable Usage'!$D:$D,6)))</f>
        <v/>
      </c>
      <c r="BJ134" s="12" t="str">
        <f t="shared" si="16"/>
        <v/>
      </c>
      <c r="BK134" s="20"/>
      <c r="BL134" s="12" t="str">
        <f t="shared" si="17"/>
        <v/>
      </c>
      <c r="BM134" s="45" t="str">
        <f t="shared" si="18"/>
        <v/>
      </c>
      <c r="BN134" s="15"/>
      <c r="BO134" s="15"/>
      <c r="BP134" s="20"/>
      <c r="BQ134" s="12" t="str">
        <f>IF($A134="","",SUMIFS('Consumable Usage'!$E:$E,'Consumable Usage'!$A:$A,$A134,'Consumable Usage'!$D:$D,7))</f>
        <v/>
      </c>
      <c r="BR134" s="12" t="str">
        <f>IF($A134="","",SUMIFS('Nursing Charges'!$I:$I,'Nursing Charges'!$A:$A,$A134,'Nursing Charges'!$C:$C,7))</f>
        <v/>
      </c>
      <c r="BS134" s="12" t="str">
        <f>IF($A134="","",BP134+(BR134-SUMIFS('Nursing Charges'!$J:$J,'Nursing Charges'!$A:$A,$A134,'Nursing Charges'!$C:$C,7))+(BQ134-SUMIFS('Consumable Usage'!$F:$F,'Consumable Usage'!$A:$A,$A134,'Consumable Usage'!$D:$D,7)))</f>
        <v/>
      </c>
      <c r="BT134" s="12" t="str">
        <f t="shared" si="19"/>
        <v/>
      </c>
      <c r="BU134" s="20"/>
      <c r="BV134" s="12" t="str">
        <f t="shared" si="20"/>
        <v/>
      </c>
      <c r="BW134" s="45" t="str">
        <f t="shared" si="21"/>
        <v/>
      </c>
      <c r="BX134" s="15"/>
      <c r="BY134" s="15"/>
      <c r="BZ134" s="20"/>
      <c r="CA134" s="12" t="str">
        <f>IF($A134="","",SUMIFS('Consumable Usage'!$E:$E,'Consumable Usage'!$A:$A,$A134,'Consumable Usage'!$D:$D,8))</f>
        <v/>
      </c>
      <c r="CB134" s="12" t="str">
        <f>IF($A134="","",SUMIFS('Nursing Charges'!$I:$I,'Nursing Charges'!$A:$A,$A134,'Nursing Charges'!$C:$C,8))</f>
        <v/>
      </c>
      <c r="CC134" s="12" t="str">
        <f>IF($A134="","",BZ134+(CB134-SUMIFS('Nursing Charges'!$J:$J,'Nursing Charges'!$A:$A,$A134,'Nursing Charges'!$C:$C,8))+(CA134-SUMIFS('Consumable Usage'!$F:$F,'Consumable Usage'!$A:$A,$A134,'Consumable Usage'!$D:$D,8)))</f>
        <v/>
      </c>
      <c r="CD134" s="12" t="str">
        <f t="shared" si="22"/>
        <v/>
      </c>
      <c r="CE134" s="20"/>
      <c r="CF134" s="12" t="str">
        <f t="shared" si="23"/>
        <v/>
      </c>
      <c r="CG134" s="45" t="str">
        <f t="shared" si="24"/>
        <v/>
      </c>
      <c r="CH134" s="15"/>
      <c r="CI134" s="15"/>
      <c r="CJ134" s="20"/>
      <c r="CK134" s="12" t="str">
        <f>IF($A134="","",SUMIFS('Consumable Usage'!$E:$E,'Consumable Usage'!$A:$A,$A134,'Consumable Usage'!$D:$D,9))</f>
        <v/>
      </c>
      <c r="CL134" s="12" t="str">
        <f>IF($A134="","",SUMIFS('Nursing Charges'!$I:$I,'Nursing Charges'!$A:$A,$A134,'Nursing Charges'!$C:$C,9))</f>
        <v/>
      </c>
      <c r="CM134" s="12" t="str">
        <f>IF($A134="","",CJ134+(CL134-SUMIFS('Nursing Charges'!$J:$J,'Nursing Charges'!$A:$A,$A134,'Nursing Charges'!$C:$C,9))+(CK134-SUMIFS('Consumable Usage'!$F:$F,'Consumable Usage'!$A:$A,$A134,'Consumable Usage'!$D:$D,9)))</f>
        <v/>
      </c>
      <c r="CN134" s="12" t="str">
        <f t="shared" si="25"/>
        <v/>
      </c>
      <c r="CO134" s="20"/>
      <c r="CP134" s="12" t="str">
        <f t="shared" si="26"/>
        <v/>
      </c>
      <c r="CQ134" s="45" t="str">
        <f t="shared" si="27"/>
        <v/>
      </c>
      <c r="CR134" s="15"/>
      <c r="CS134" s="15"/>
      <c r="CT134" s="20"/>
      <c r="CU134" s="12" t="str">
        <f>IF($A134="","",SUMIFS('Consumable Usage'!$E:$E,'Consumable Usage'!$A:$A,$A134,'Consumable Usage'!$D:$D,10))</f>
        <v/>
      </c>
      <c r="CV134" s="12" t="str">
        <f>IF($A134="","",SUMIFS('Nursing Charges'!$I:$I,'Nursing Charges'!$A:$A,$A134,'Nursing Charges'!$C:$C,10))</f>
        <v/>
      </c>
      <c r="CW134" s="12" t="str">
        <f>IF($A134="","",CT134+(CV134-SUMIFS('Nursing Charges'!$J:$J,'Nursing Charges'!$A:$A,$A134,'Nursing Charges'!$C:$C,10))+(CU134-SUMIFS('Consumable Usage'!$F:$F,'Consumable Usage'!$A:$A,$A134,'Consumable Usage'!$D:$D,10)))</f>
        <v/>
      </c>
      <c r="CX134" s="12" t="str">
        <f t="shared" si="28"/>
        <v/>
      </c>
      <c r="CY134" s="20"/>
      <c r="CZ134" s="12" t="str">
        <f t="shared" si="29"/>
        <v/>
      </c>
      <c r="DA134" s="45" t="str">
        <f t="shared" si="30"/>
        <v/>
      </c>
      <c r="DB134" s="15"/>
      <c r="DC134" s="15"/>
      <c r="DD134" s="20"/>
      <c r="DE134" s="12" t="str">
        <f>IF($A134="","",SUMIFS('Consumable Usage'!$E:$E,'Consumable Usage'!$A:$A,$A134,'Consumable Usage'!$D:$D,11))</f>
        <v/>
      </c>
      <c r="DF134" s="12" t="str">
        <f>IF($A134="","",SUMIFS('Nursing Charges'!$I:$I,'Nursing Charges'!$A:$A,$A134,'Nursing Charges'!$C:$C,11))</f>
        <v/>
      </c>
      <c r="DG134" s="12" t="str">
        <f>IF($A134="","",DD134+(DF134-SUMIFS('Nursing Charges'!$J:$J,'Nursing Charges'!$A:$A,$A134,'Nursing Charges'!$C:$C,11))+(DE134-SUMIFS('Consumable Usage'!$F:$F,'Consumable Usage'!$A:$A,$A134,'Consumable Usage'!$D:$D,11)))</f>
        <v/>
      </c>
      <c r="DH134" s="12" t="str">
        <f t="shared" si="31"/>
        <v/>
      </c>
      <c r="DI134" s="20"/>
      <c r="DJ134" s="12" t="str">
        <f t="shared" si="32"/>
        <v/>
      </c>
      <c r="DK134" s="45" t="str">
        <f t="shared" si="33"/>
        <v/>
      </c>
      <c r="DL134" s="15"/>
      <c r="DM134" s="15"/>
      <c r="DN134" s="20"/>
      <c r="DO134" s="12" t="str">
        <f>IF($A134="","",SUMIFS('Consumable Usage'!$E:$E,'Consumable Usage'!$A:$A,$A134,'Consumable Usage'!$D:$D,12))</f>
        <v/>
      </c>
      <c r="DP134" s="12" t="str">
        <f>IF($A134="","",SUMIFS('Nursing Charges'!$I:$I,'Nursing Charges'!$A:$A,$A134,'Nursing Charges'!$C:$C,12))</f>
        <v/>
      </c>
      <c r="DQ134" s="12" t="str">
        <f>IF($A134="","",DN134+(DP134-SUMIFS('Nursing Charges'!$J:$J,'Nursing Charges'!$A:$A,$A134,'Nursing Charges'!$C:$C,12))+(DO134-SUMIFS('Consumable Usage'!$F:$F,'Consumable Usage'!$A:$A,$A134,'Consumable Usage'!$D:$D,12)))</f>
        <v/>
      </c>
      <c r="DR134" s="12" t="str">
        <f t="shared" si="34"/>
        <v/>
      </c>
      <c r="DS134" s="20"/>
      <c r="DT134" s="12" t="str">
        <f t="shared" si="35"/>
        <v/>
      </c>
      <c r="DU134" s="45" t="str">
        <f t="shared" si="36"/>
        <v/>
      </c>
      <c r="DV134" s="15"/>
      <c r="DW134" s="15"/>
      <c r="DX134" s="20"/>
      <c r="DY134" s="12" t="str">
        <f>IF($A134="","",SUMIFS('Consumable Usage'!$E:$E,'Consumable Usage'!$A:$A,$A134,'Consumable Usage'!$D:$D,13))</f>
        <v/>
      </c>
      <c r="DZ134" s="12" t="str">
        <f>IF($A134="","",SUMIFS('Nursing Charges'!$I:$I,'Nursing Charges'!$A:$A,$A134,'Nursing Charges'!$C:$C,13))</f>
        <v/>
      </c>
      <c r="EA134" s="12" t="str">
        <f>IF($A134="","",DX134+(DZ134-SUMIFS('Nursing Charges'!$J:$J,'Nursing Charges'!$A:$A,$A134,'Nursing Charges'!$C:$C,13))+(DY134-SUMIFS('Consumable Usage'!$F:$F,'Consumable Usage'!$A:$A,$A134,'Consumable Usage'!$D:$D,13)))</f>
        <v/>
      </c>
      <c r="EB134" s="12" t="str">
        <f t="shared" si="37"/>
        <v/>
      </c>
      <c r="EC134" s="20"/>
      <c r="ED134" s="12" t="str">
        <f t="shared" si="38"/>
        <v/>
      </c>
      <c r="EE134" s="45" t="str">
        <f t="shared" si="39"/>
        <v/>
      </c>
      <c r="EF134" s="15"/>
      <c r="EG134" s="15"/>
      <c r="EH134" s="20"/>
      <c r="EI134" s="12" t="str">
        <f>IF($A134="","",SUMIFS('Consumable Usage'!$E:$E,'Consumable Usage'!$A:$A,$A134,'Consumable Usage'!$D:$D,14))</f>
        <v/>
      </c>
      <c r="EJ134" s="12" t="str">
        <f>IF($A134="","",SUMIFS('Nursing Charges'!$I:$I,'Nursing Charges'!$A:$A,$A134,'Nursing Charges'!$C:$C,14))</f>
        <v/>
      </c>
      <c r="EK134" s="12" t="str">
        <f>IF($A134="","",EH134+(EJ134-SUMIFS('Nursing Charges'!$J:$J,'Nursing Charges'!$A:$A,$A134,'Nursing Charges'!$C:$C,14))+(EI134-SUMIFS('Consumable Usage'!$F:$F,'Consumable Usage'!$A:$A,$A134,'Consumable Usage'!$D:$D,14)))</f>
        <v/>
      </c>
      <c r="EL134" s="12" t="str">
        <f t="shared" si="40"/>
        <v/>
      </c>
      <c r="EM134" s="20"/>
      <c r="EN134" s="12" t="str">
        <f t="shared" si="41"/>
        <v/>
      </c>
      <c r="EO134" s="45" t="str">
        <f t="shared" si="42"/>
        <v/>
      </c>
      <c r="EP134" s="15"/>
      <c r="EQ134" s="15"/>
      <c r="ER134" s="20"/>
      <c r="ES134" s="12" t="str">
        <f>IF($A134="","",SUMIFS('Consumable Usage'!$E:$E,'Consumable Usage'!$A:$A,$A134,'Consumable Usage'!$D:$D,15))</f>
        <v/>
      </c>
      <c r="ET134" s="12" t="str">
        <f>IF($A134="","",SUMIFS('Nursing Charges'!$I:$I,'Nursing Charges'!$A:$A,$A134,'Nursing Charges'!$C:$C,15))</f>
        <v/>
      </c>
      <c r="EU134" s="12" t="str">
        <f>IF($A134="","",ER134+(ET134-SUMIFS('Nursing Charges'!$J:$J,'Nursing Charges'!$A:$A,$A134,'Nursing Charges'!$C:$C,15))+(ES134-SUMIFS('Consumable Usage'!$F:$F,'Consumable Usage'!$A:$A,$A134,'Consumable Usage'!$D:$D,15)))</f>
        <v/>
      </c>
      <c r="EV134" s="12" t="str">
        <f t="shared" si="43"/>
        <v/>
      </c>
      <c r="EW134" s="20"/>
      <c r="EX134" s="12" t="str">
        <f t="shared" si="44"/>
        <v/>
      </c>
      <c r="EY134" s="45" t="str">
        <f t="shared" si="45"/>
        <v/>
      </c>
      <c r="EZ134" s="15"/>
      <c r="FA134" s="15"/>
      <c r="FB134" s="20"/>
      <c r="FC134" s="12" t="str">
        <f>IF($A134="","",SUMIFS('Consumable Usage'!$E:$E,'Consumable Usage'!$A:$A,$A134,'Consumable Usage'!$D:$D,16))</f>
        <v/>
      </c>
      <c r="FD134" s="12" t="str">
        <f>IF($A134="","",SUMIFS('Nursing Charges'!$I:$I,'Nursing Charges'!$A:$A,$A134,'Nursing Charges'!$C:$C,16))</f>
        <v/>
      </c>
      <c r="FE134" s="12" t="str">
        <f>IF($A134="","",FB134+(FD134-SUMIFS('Nursing Charges'!$J:$J,'Nursing Charges'!$A:$A,$A134,'Nursing Charges'!$C:$C,16))+(FC134-SUMIFS('Consumable Usage'!$F:$F,'Consumable Usage'!$A:$A,$A134,'Consumable Usage'!$D:$D,16)))</f>
        <v/>
      </c>
      <c r="FF134" s="12" t="str">
        <f t="shared" si="46"/>
        <v/>
      </c>
      <c r="FG134" s="20"/>
      <c r="FH134" s="12" t="str">
        <f t="shared" si="47"/>
        <v/>
      </c>
      <c r="FI134" s="45" t="str">
        <f t="shared" si="48"/>
        <v/>
      </c>
      <c r="FJ134" s="53"/>
      <c r="FK134" s="53"/>
      <c r="FL134" s="63"/>
      <c r="FM134" s="63" t="str">
        <f>IF($A134="","",SUMIFS('Consumable Usage'!$E:$E,'Consumable Usage'!$A:$A,$A134,'Consumable Usage'!$D:$D,16))</f>
        <v/>
      </c>
      <c r="FN134" s="63" t="str">
        <f>IF($A134="","",SUMIFS('Nursing Charges'!$I:$I,'Nursing Charges'!$A:$A,$A134,'Nursing Charges'!$C:$C,16))</f>
        <v/>
      </c>
      <c r="FO134" s="63" t="str">
        <f>IF($A134="","",FL134+(FN134-SUMIFS('Nursing Charges'!$J:$J,'Nursing Charges'!$A:$A,$A134,'Nursing Charges'!$C:$C,16))+(FM134-SUMIFS('Consumable Usage'!$F:$F,'Consumable Usage'!$A:$A,$A134,'Consumable Usage'!$D:$D,16)))</f>
        <v/>
      </c>
      <c r="FP134" s="63" t="str">
        <f t="shared" si="49"/>
        <v/>
      </c>
      <c r="FQ134" s="63"/>
      <c r="FR134" s="63" t="str">
        <f t="shared" si="50"/>
        <v/>
      </c>
      <c r="FS134" s="53" t="str">
        <f t="shared" si="51"/>
        <v/>
      </c>
    </row>
    <row r="135" ht="15.0" customHeight="1">
      <c r="A135" s="15"/>
      <c r="B135" s="15"/>
      <c r="C135" s="15"/>
      <c r="D135" s="15"/>
      <c r="E135" s="15"/>
      <c r="F135" s="15"/>
      <c r="G135" s="15"/>
      <c r="H135" s="20"/>
      <c r="I135" s="12" t="str">
        <f>IF($A135="","",SUMIFS('Consumable Usage'!$E:$E,'Consumable Usage'!$A:$A,$A135,'Consumable Usage'!$D:$D,1))</f>
        <v/>
      </c>
      <c r="J135" s="12" t="str">
        <f>IF($A135="","",SUMIFS('Nursing Charges'!$I:$I,'Nursing Charges'!$A:$A,$A135,'Nursing Charges'!$C:$C,1))</f>
        <v/>
      </c>
      <c r="K135" s="12" t="str">
        <f>IF($A135="","",H135+(J135-SUMIFS('Nursing Charges'!$J:$J,'Nursing Charges'!$A:$A,$A135,'Nursing Charges'!$C:$C,1))+(I135-SUMIFS('Consumable Usage'!$F:$F,'Consumable Usage'!$A:$A,$A135,'Consumable Usage'!$D:$D,1)))</f>
        <v/>
      </c>
      <c r="L135" s="12" t="str">
        <f t="shared" si="1"/>
        <v/>
      </c>
      <c r="M135" s="20"/>
      <c r="N135" s="12" t="str">
        <f t="shared" si="2"/>
        <v/>
      </c>
      <c r="O135" s="45" t="str">
        <f t="shared" si="3"/>
        <v/>
      </c>
      <c r="P135" s="15"/>
      <c r="Q135" s="15"/>
      <c r="R135" s="20"/>
      <c r="S135" s="12" t="str">
        <f>IF($A135="","",SUMIFS('Consumable Usage'!$E:$E,'Consumable Usage'!$A:$A,$A135,'Consumable Usage'!$D:$D,2))</f>
        <v/>
      </c>
      <c r="T135" s="12" t="str">
        <f>IF($A135="","",SUMIFS('Nursing Charges'!$I:$I,'Nursing Charges'!$A:$A,$A135,'Nursing Charges'!$C:$C,2))</f>
        <v/>
      </c>
      <c r="U135" s="12" t="str">
        <f>IF($A135="","",R135+(T135-SUMIFS('Nursing Charges'!$J:$J,'Nursing Charges'!$A:$A,$A135,'Nursing Charges'!$C:$C,2))+(S135-SUMIFS('Consumable Usage'!$F:$F,'Consumable Usage'!$A:$A,$A135,'Consumable Usage'!$D:$D,2)))</f>
        <v/>
      </c>
      <c r="V135" s="12" t="str">
        <f t="shared" si="4"/>
        <v/>
      </c>
      <c r="W135" s="20"/>
      <c r="X135" s="12" t="str">
        <f t="shared" si="5"/>
        <v/>
      </c>
      <c r="Y135" s="45" t="str">
        <f t="shared" si="6"/>
        <v/>
      </c>
      <c r="Z135" s="15"/>
      <c r="AA135" s="15"/>
      <c r="AB135" s="20"/>
      <c r="AC135" s="12" t="str">
        <f>IF($A135="","",SUMIFS('Consumable Usage'!$E:$E,'Consumable Usage'!$A:$A,$A135,'Consumable Usage'!$D:$D,3))</f>
        <v/>
      </c>
      <c r="AD135" s="12" t="str">
        <f>IF($A135="","",SUMIFS('Nursing Charges'!$I:$I,'Nursing Charges'!$A:$A,$A135,'Nursing Charges'!$C:$C,3))</f>
        <v/>
      </c>
      <c r="AE135" s="12" t="str">
        <f>IF($A135="","",AB135+(AD135-SUMIFS('Nursing Charges'!$J:$J,'Nursing Charges'!$A:$A,$A135,'Nursing Charges'!$C:$C,3))+(AC135-SUMIFS('Consumable Usage'!$F:$F,'Consumable Usage'!$A:$A,$A135,'Consumable Usage'!$D:$D,3)))</f>
        <v/>
      </c>
      <c r="AF135" s="12" t="str">
        <f t="shared" si="7"/>
        <v/>
      </c>
      <c r="AG135" s="20"/>
      <c r="AH135" s="12" t="str">
        <f t="shared" si="8"/>
        <v/>
      </c>
      <c r="AI135" s="45" t="str">
        <f t="shared" si="9"/>
        <v/>
      </c>
      <c r="AJ135" s="15"/>
      <c r="AK135" s="15"/>
      <c r="AL135" s="20"/>
      <c r="AM135" s="12" t="str">
        <f>IF($A135="","",SUMIFS('Consumable Usage'!$E:$E,'Consumable Usage'!$A:$A,$A135,'Consumable Usage'!$D:$D,4))</f>
        <v/>
      </c>
      <c r="AN135" s="12" t="str">
        <f>IF($A135="","",SUMIFS('Nursing Charges'!$I:$I,'Nursing Charges'!$A:$A,$A135,'Nursing Charges'!$C:$C,4))</f>
        <v/>
      </c>
      <c r="AO135" s="12" t="str">
        <f>IF($A135="","",AL135+(AN135-SUMIFS('Nursing Charges'!$J:$J,'Nursing Charges'!$A:$A,$A135,'Nursing Charges'!$C:$C,4))+(AM135-SUMIFS('Consumable Usage'!$F:$F,'Consumable Usage'!$A:$A,$A135,'Consumable Usage'!$D:$D,4)))</f>
        <v/>
      </c>
      <c r="AP135" s="12" t="str">
        <f t="shared" si="10"/>
        <v/>
      </c>
      <c r="AQ135" s="20"/>
      <c r="AR135" s="12" t="str">
        <f t="shared" si="11"/>
        <v/>
      </c>
      <c r="AS135" s="45" t="str">
        <f t="shared" si="12"/>
        <v/>
      </c>
      <c r="AT135" s="15"/>
      <c r="AU135" s="15"/>
      <c r="AV135" s="20"/>
      <c r="AW135" s="12" t="str">
        <f>IF($A135="","",SUMIFS('Consumable Usage'!$E:$E,'Consumable Usage'!$A:$A,$A135,'Consumable Usage'!$D:$D,5))</f>
        <v/>
      </c>
      <c r="AX135" s="12" t="str">
        <f>IF($A135="","",SUMIFS('Nursing Charges'!$I:$I,'Nursing Charges'!$A:$A,$A135,'Nursing Charges'!$C:$C,5))</f>
        <v/>
      </c>
      <c r="AY135" s="12" t="str">
        <f>IF($A135="","",AV135+(AX135-SUMIFS('Nursing Charges'!$J:$J,'Nursing Charges'!$A:$A,$A135,'Nursing Charges'!$C:$C,5))+(AW135-SUMIFS('Consumable Usage'!$F:$F,'Consumable Usage'!$A:$A,$A135,'Consumable Usage'!$D:$D,5)))</f>
        <v/>
      </c>
      <c r="AZ135" s="12" t="str">
        <f t="shared" si="13"/>
        <v/>
      </c>
      <c r="BA135" s="20"/>
      <c r="BB135" s="12" t="str">
        <f t="shared" si="14"/>
        <v/>
      </c>
      <c r="BC135" s="45" t="str">
        <f t="shared" si="15"/>
        <v/>
      </c>
      <c r="BD135" s="15"/>
      <c r="BE135" s="15"/>
      <c r="BF135" s="20"/>
      <c r="BG135" s="12" t="str">
        <f>IF($A135="","",SUMIFS('Consumable Usage'!$E:$E,'Consumable Usage'!$A:$A,$A135,'Consumable Usage'!$D:$D,6))</f>
        <v/>
      </c>
      <c r="BH135" s="12" t="str">
        <f>IF($A135="","",SUMIFS('Nursing Charges'!$I:$I,'Nursing Charges'!$A:$A,$A135,'Nursing Charges'!$C:$C,6))</f>
        <v/>
      </c>
      <c r="BI135" s="12" t="str">
        <f>IF($A135="","",BF135+(BH135-SUMIFS('Nursing Charges'!$J:$J,'Nursing Charges'!$A:$A,$A135,'Nursing Charges'!$C:$C,6))+(BG135-SUMIFS('Consumable Usage'!$F:$F,'Consumable Usage'!$A:$A,$A135,'Consumable Usage'!$D:$D,6)))</f>
        <v/>
      </c>
      <c r="BJ135" s="12" t="str">
        <f t="shared" si="16"/>
        <v/>
      </c>
      <c r="BK135" s="20"/>
      <c r="BL135" s="12" t="str">
        <f t="shared" si="17"/>
        <v/>
      </c>
      <c r="BM135" s="45" t="str">
        <f t="shared" si="18"/>
        <v/>
      </c>
      <c r="BN135" s="15"/>
      <c r="BO135" s="15"/>
      <c r="BP135" s="20"/>
      <c r="BQ135" s="12" t="str">
        <f>IF($A135="","",SUMIFS('Consumable Usage'!$E:$E,'Consumable Usage'!$A:$A,$A135,'Consumable Usage'!$D:$D,7))</f>
        <v/>
      </c>
      <c r="BR135" s="12" t="str">
        <f>IF($A135="","",SUMIFS('Nursing Charges'!$I:$I,'Nursing Charges'!$A:$A,$A135,'Nursing Charges'!$C:$C,7))</f>
        <v/>
      </c>
      <c r="BS135" s="12" t="str">
        <f>IF($A135="","",BP135+(BR135-SUMIFS('Nursing Charges'!$J:$J,'Nursing Charges'!$A:$A,$A135,'Nursing Charges'!$C:$C,7))+(BQ135-SUMIFS('Consumable Usage'!$F:$F,'Consumable Usage'!$A:$A,$A135,'Consumable Usage'!$D:$D,7)))</f>
        <v/>
      </c>
      <c r="BT135" s="12" t="str">
        <f t="shared" si="19"/>
        <v/>
      </c>
      <c r="BU135" s="20"/>
      <c r="BV135" s="12" t="str">
        <f t="shared" si="20"/>
        <v/>
      </c>
      <c r="BW135" s="45" t="str">
        <f t="shared" si="21"/>
        <v/>
      </c>
      <c r="BX135" s="15"/>
      <c r="BY135" s="15"/>
      <c r="BZ135" s="20"/>
      <c r="CA135" s="12" t="str">
        <f>IF($A135="","",SUMIFS('Consumable Usage'!$E:$E,'Consumable Usage'!$A:$A,$A135,'Consumable Usage'!$D:$D,8))</f>
        <v/>
      </c>
      <c r="CB135" s="12" t="str">
        <f>IF($A135="","",SUMIFS('Nursing Charges'!$I:$I,'Nursing Charges'!$A:$A,$A135,'Nursing Charges'!$C:$C,8))</f>
        <v/>
      </c>
      <c r="CC135" s="12" t="str">
        <f>IF($A135="","",BZ135+(CB135-SUMIFS('Nursing Charges'!$J:$J,'Nursing Charges'!$A:$A,$A135,'Nursing Charges'!$C:$C,8))+(CA135-SUMIFS('Consumable Usage'!$F:$F,'Consumable Usage'!$A:$A,$A135,'Consumable Usage'!$D:$D,8)))</f>
        <v/>
      </c>
      <c r="CD135" s="12" t="str">
        <f t="shared" si="22"/>
        <v/>
      </c>
      <c r="CE135" s="20"/>
      <c r="CF135" s="12" t="str">
        <f t="shared" si="23"/>
        <v/>
      </c>
      <c r="CG135" s="45" t="str">
        <f t="shared" si="24"/>
        <v/>
      </c>
      <c r="CH135" s="15"/>
      <c r="CI135" s="15"/>
      <c r="CJ135" s="20"/>
      <c r="CK135" s="12" t="str">
        <f>IF($A135="","",SUMIFS('Consumable Usage'!$E:$E,'Consumable Usage'!$A:$A,$A135,'Consumable Usage'!$D:$D,9))</f>
        <v/>
      </c>
      <c r="CL135" s="12" t="str">
        <f>IF($A135="","",SUMIFS('Nursing Charges'!$I:$I,'Nursing Charges'!$A:$A,$A135,'Nursing Charges'!$C:$C,9))</f>
        <v/>
      </c>
      <c r="CM135" s="12" t="str">
        <f>IF($A135="","",CJ135+(CL135-SUMIFS('Nursing Charges'!$J:$J,'Nursing Charges'!$A:$A,$A135,'Nursing Charges'!$C:$C,9))+(CK135-SUMIFS('Consumable Usage'!$F:$F,'Consumable Usage'!$A:$A,$A135,'Consumable Usage'!$D:$D,9)))</f>
        <v/>
      </c>
      <c r="CN135" s="12" t="str">
        <f t="shared" si="25"/>
        <v/>
      </c>
      <c r="CO135" s="20"/>
      <c r="CP135" s="12" t="str">
        <f t="shared" si="26"/>
        <v/>
      </c>
      <c r="CQ135" s="45" t="str">
        <f t="shared" si="27"/>
        <v/>
      </c>
      <c r="CR135" s="15"/>
      <c r="CS135" s="15"/>
      <c r="CT135" s="20"/>
      <c r="CU135" s="12" t="str">
        <f>IF($A135="","",SUMIFS('Consumable Usage'!$E:$E,'Consumable Usage'!$A:$A,$A135,'Consumable Usage'!$D:$D,10))</f>
        <v/>
      </c>
      <c r="CV135" s="12" t="str">
        <f>IF($A135="","",SUMIFS('Nursing Charges'!$I:$I,'Nursing Charges'!$A:$A,$A135,'Nursing Charges'!$C:$C,10))</f>
        <v/>
      </c>
      <c r="CW135" s="12" t="str">
        <f>IF($A135="","",CT135+(CV135-SUMIFS('Nursing Charges'!$J:$J,'Nursing Charges'!$A:$A,$A135,'Nursing Charges'!$C:$C,10))+(CU135-SUMIFS('Consumable Usage'!$F:$F,'Consumable Usage'!$A:$A,$A135,'Consumable Usage'!$D:$D,10)))</f>
        <v/>
      </c>
      <c r="CX135" s="12" t="str">
        <f t="shared" si="28"/>
        <v/>
      </c>
      <c r="CY135" s="20"/>
      <c r="CZ135" s="12" t="str">
        <f t="shared" si="29"/>
        <v/>
      </c>
      <c r="DA135" s="45" t="str">
        <f t="shared" si="30"/>
        <v/>
      </c>
      <c r="DB135" s="15"/>
      <c r="DC135" s="15"/>
      <c r="DD135" s="20"/>
      <c r="DE135" s="12" t="str">
        <f>IF($A135="","",SUMIFS('Consumable Usage'!$E:$E,'Consumable Usage'!$A:$A,$A135,'Consumable Usage'!$D:$D,11))</f>
        <v/>
      </c>
      <c r="DF135" s="12" t="str">
        <f>IF($A135="","",SUMIFS('Nursing Charges'!$I:$I,'Nursing Charges'!$A:$A,$A135,'Nursing Charges'!$C:$C,11))</f>
        <v/>
      </c>
      <c r="DG135" s="12" t="str">
        <f>IF($A135="","",DD135+(DF135-SUMIFS('Nursing Charges'!$J:$J,'Nursing Charges'!$A:$A,$A135,'Nursing Charges'!$C:$C,11))+(DE135-SUMIFS('Consumable Usage'!$F:$F,'Consumable Usage'!$A:$A,$A135,'Consumable Usage'!$D:$D,11)))</f>
        <v/>
      </c>
      <c r="DH135" s="12" t="str">
        <f t="shared" si="31"/>
        <v/>
      </c>
      <c r="DI135" s="20"/>
      <c r="DJ135" s="12" t="str">
        <f t="shared" si="32"/>
        <v/>
      </c>
      <c r="DK135" s="45" t="str">
        <f t="shared" si="33"/>
        <v/>
      </c>
      <c r="DL135" s="15"/>
      <c r="DM135" s="15"/>
      <c r="DN135" s="20"/>
      <c r="DO135" s="12" t="str">
        <f>IF($A135="","",SUMIFS('Consumable Usage'!$E:$E,'Consumable Usage'!$A:$A,$A135,'Consumable Usage'!$D:$D,12))</f>
        <v/>
      </c>
      <c r="DP135" s="12" t="str">
        <f>IF($A135="","",SUMIFS('Nursing Charges'!$I:$I,'Nursing Charges'!$A:$A,$A135,'Nursing Charges'!$C:$C,12))</f>
        <v/>
      </c>
      <c r="DQ135" s="12" t="str">
        <f>IF($A135="","",DN135+(DP135-SUMIFS('Nursing Charges'!$J:$J,'Nursing Charges'!$A:$A,$A135,'Nursing Charges'!$C:$C,12))+(DO135-SUMIFS('Consumable Usage'!$F:$F,'Consumable Usage'!$A:$A,$A135,'Consumable Usage'!$D:$D,12)))</f>
        <v/>
      </c>
      <c r="DR135" s="12" t="str">
        <f t="shared" si="34"/>
        <v/>
      </c>
      <c r="DS135" s="20"/>
      <c r="DT135" s="12" t="str">
        <f t="shared" si="35"/>
        <v/>
      </c>
      <c r="DU135" s="45" t="str">
        <f t="shared" si="36"/>
        <v/>
      </c>
      <c r="DV135" s="15"/>
      <c r="DW135" s="15"/>
      <c r="DX135" s="20"/>
      <c r="DY135" s="12" t="str">
        <f>IF($A135="","",SUMIFS('Consumable Usage'!$E:$E,'Consumable Usage'!$A:$A,$A135,'Consumable Usage'!$D:$D,13))</f>
        <v/>
      </c>
      <c r="DZ135" s="12" t="str">
        <f>IF($A135="","",SUMIFS('Nursing Charges'!$I:$I,'Nursing Charges'!$A:$A,$A135,'Nursing Charges'!$C:$C,13))</f>
        <v/>
      </c>
      <c r="EA135" s="12" t="str">
        <f>IF($A135="","",DX135+(DZ135-SUMIFS('Nursing Charges'!$J:$J,'Nursing Charges'!$A:$A,$A135,'Nursing Charges'!$C:$C,13))+(DY135-SUMIFS('Consumable Usage'!$F:$F,'Consumable Usage'!$A:$A,$A135,'Consumable Usage'!$D:$D,13)))</f>
        <v/>
      </c>
      <c r="EB135" s="12" t="str">
        <f t="shared" si="37"/>
        <v/>
      </c>
      <c r="EC135" s="20"/>
      <c r="ED135" s="12" t="str">
        <f t="shared" si="38"/>
        <v/>
      </c>
      <c r="EE135" s="45" t="str">
        <f t="shared" si="39"/>
        <v/>
      </c>
      <c r="EF135" s="15"/>
      <c r="EG135" s="15"/>
      <c r="EH135" s="20"/>
      <c r="EI135" s="12" t="str">
        <f>IF($A135="","",SUMIFS('Consumable Usage'!$E:$E,'Consumable Usage'!$A:$A,$A135,'Consumable Usage'!$D:$D,14))</f>
        <v/>
      </c>
      <c r="EJ135" s="12" t="str">
        <f>IF($A135="","",SUMIFS('Nursing Charges'!$I:$I,'Nursing Charges'!$A:$A,$A135,'Nursing Charges'!$C:$C,14))</f>
        <v/>
      </c>
      <c r="EK135" s="12" t="str">
        <f>IF($A135="","",EH135+(EJ135-SUMIFS('Nursing Charges'!$J:$J,'Nursing Charges'!$A:$A,$A135,'Nursing Charges'!$C:$C,14))+(EI135-SUMIFS('Consumable Usage'!$F:$F,'Consumable Usage'!$A:$A,$A135,'Consumable Usage'!$D:$D,14)))</f>
        <v/>
      </c>
      <c r="EL135" s="12" t="str">
        <f t="shared" si="40"/>
        <v/>
      </c>
      <c r="EM135" s="20"/>
      <c r="EN135" s="12" t="str">
        <f t="shared" si="41"/>
        <v/>
      </c>
      <c r="EO135" s="45" t="str">
        <f t="shared" si="42"/>
        <v/>
      </c>
      <c r="EP135" s="15"/>
      <c r="EQ135" s="15"/>
      <c r="ER135" s="20"/>
      <c r="ES135" s="12" t="str">
        <f>IF($A135="","",SUMIFS('Consumable Usage'!$E:$E,'Consumable Usage'!$A:$A,$A135,'Consumable Usage'!$D:$D,15))</f>
        <v/>
      </c>
      <c r="ET135" s="12" t="str">
        <f>IF($A135="","",SUMIFS('Nursing Charges'!$I:$I,'Nursing Charges'!$A:$A,$A135,'Nursing Charges'!$C:$C,15))</f>
        <v/>
      </c>
      <c r="EU135" s="12" t="str">
        <f>IF($A135="","",ER135+(ET135-SUMIFS('Nursing Charges'!$J:$J,'Nursing Charges'!$A:$A,$A135,'Nursing Charges'!$C:$C,15))+(ES135-SUMIFS('Consumable Usage'!$F:$F,'Consumable Usage'!$A:$A,$A135,'Consumable Usage'!$D:$D,15)))</f>
        <v/>
      </c>
      <c r="EV135" s="12" t="str">
        <f t="shared" si="43"/>
        <v/>
      </c>
      <c r="EW135" s="20"/>
      <c r="EX135" s="12" t="str">
        <f t="shared" si="44"/>
        <v/>
      </c>
      <c r="EY135" s="45" t="str">
        <f t="shared" si="45"/>
        <v/>
      </c>
      <c r="EZ135" s="15"/>
      <c r="FA135" s="15"/>
      <c r="FB135" s="20"/>
      <c r="FC135" s="12" t="str">
        <f>IF($A135="","",SUMIFS('Consumable Usage'!$E:$E,'Consumable Usage'!$A:$A,$A135,'Consumable Usage'!$D:$D,16))</f>
        <v/>
      </c>
      <c r="FD135" s="12" t="str">
        <f>IF($A135="","",SUMIFS('Nursing Charges'!$I:$I,'Nursing Charges'!$A:$A,$A135,'Nursing Charges'!$C:$C,16))</f>
        <v/>
      </c>
      <c r="FE135" s="12" t="str">
        <f>IF($A135="","",FB135+(FD135-SUMIFS('Nursing Charges'!$J:$J,'Nursing Charges'!$A:$A,$A135,'Nursing Charges'!$C:$C,16))+(FC135-SUMIFS('Consumable Usage'!$F:$F,'Consumable Usage'!$A:$A,$A135,'Consumable Usage'!$D:$D,16)))</f>
        <v/>
      </c>
      <c r="FF135" s="12" t="str">
        <f t="shared" si="46"/>
        <v/>
      </c>
      <c r="FG135" s="20"/>
      <c r="FH135" s="12" t="str">
        <f t="shared" si="47"/>
        <v/>
      </c>
      <c r="FI135" s="45" t="str">
        <f t="shared" si="48"/>
        <v/>
      </c>
      <c r="FJ135" s="53"/>
      <c r="FK135" s="53"/>
      <c r="FL135" s="63"/>
      <c r="FM135" s="63" t="str">
        <f>IF($A135="","",SUMIFS('Consumable Usage'!$E:$E,'Consumable Usage'!$A:$A,$A135,'Consumable Usage'!$D:$D,16))</f>
        <v/>
      </c>
      <c r="FN135" s="63" t="str">
        <f>IF($A135="","",SUMIFS('Nursing Charges'!$I:$I,'Nursing Charges'!$A:$A,$A135,'Nursing Charges'!$C:$C,16))</f>
        <v/>
      </c>
      <c r="FO135" s="63" t="str">
        <f>IF($A135="","",FL135+(FN135-SUMIFS('Nursing Charges'!$J:$J,'Nursing Charges'!$A:$A,$A135,'Nursing Charges'!$C:$C,16))+(FM135-SUMIFS('Consumable Usage'!$F:$F,'Consumable Usage'!$A:$A,$A135,'Consumable Usage'!$D:$D,16)))</f>
        <v/>
      </c>
      <c r="FP135" s="63" t="str">
        <f t="shared" si="49"/>
        <v/>
      </c>
      <c r="FQ135" s="63"/>
      <c r="FR135" s="63" t="str">
        <f t="shared" si="50"/>
        <v/>
      </c>
      <c r="FS135" s="53" t="str">
        <f t="shared" si="51"/>
        <v/>
      </c>
    </row>
    <row r="136" ht="15.0" customHeight="1">
      <c r="A136" s="15"/>
      <c r="B136" s="15"/>
      <c r="C136" s="15"/>
      <c r="D136" s="15"/>
      <c r="E136" s="15"/>
      <c r="F136" s="15"/>
      <c r="G136" s="15"/>
      <c r="H136" s="20"/>
      <c r="I136" s="12" t="str">
        <f>IF($A136="","",SUMIFS('Consumable Usage'!$E:$E,'Consumable Usage'!$A:$A,$A136,'Consumable Usage'!$D:$D,1))</f>
        <v/>
      </c>
      <c r="J136" s="12" t="str">
        <f>IF($A136="","",SUMIFS('Nursing Charges'!$I:$I,'Nursing Charges'!$A:$A,$A136,'Nursing Charges'!$C:$C,1))</f>
        <v/>
      </c>
      <c r="K136" s="12" t="str">
        <f>IF($A136="","",H136+(J136-SUMIFS('Nursing Charges'!$J:$J,'Nursing Charges'!$A:$A,$A136,'Nursing Charges'!$C:$C,1))+(I136-SUMIFS('Consumable Usage'!$F:$F,'Consumable Usage'!$A:$A,$A136,'Consumable Usage'!$D:$D,1)))</f>
        <v/>
      </c>
      <c r="L136" s="12" t="str">
        <f t="shared" si="1"/>
        <v/>
      </c>
      <c r="M136" s="20"/>
      <c r="N136" s="12" t="str">
        <f t="shared" si="2"/>
        <v/>
      </c>
      <c r="O136" s="45" t="str">
        <f t="shared" si="3"/>
        <v/>
      </c>
      <c r="P136" s="15"/>
      <c r="Q136" s="15"/>
      <c r="R136" s="20"/>
      <c r="S136" s="12" t="str">
        <f>IF($A136="","",SUMIFS('Consumable Usage'!$E:$E,'Consumable Usage'!$A:$A,$A136,'Consumable Usage'!$D:$D,2))</f>
        <v/>
      </c>
      <c r="T136" s="12" t="str">
        <f>IF($A136="","",SUMIFS('Nursing Charges'!$I:$I,'Nursing Charges'!$A:$A,$A136,'Nursing Charges'!$C:$C,2))</f>
        <v/>
      </c>
      <c r="U136" s="12" t="str">
        <f>IF($A136="","",R136+(T136-SUMIFS('Nursing Charges'!$J:$J,'Nursing Charges'!$A:$A,$A136,'Nursing Charges'!$C:$C,2))+(S136-SUMIFS('Consumable Usage'!$F:$F,'Consumable Usage'!$A:$A,$A136,'Consumable Usage'!$D:$D,2)))</f>
        <v/>
      </c>
      <c r="V136" s="12" t="str">
        <f t="shared" si="4"/>
        <v/>
      </c>
      <c r="W136" s="20"/>
      <c r="X136" s="12" t="str">
        <f t="shared" si="5"/>
        <v/>
      </c>
      <c r="Y136" s="45" t="str">
        <f t="shared" si="6"/>
        <v/>
      </c>
      <c r="Z136" s="15"/>
      <c r="AA136" s="15"/>
      <c r="AB136" s="20"/>
      <c r="AC136" s="12" t="str">
        <f>IF($A136="","",SUMIFS('Consumable Usage'!$E:$E,'Consumable Usage'!$A:$A,$A136,'Consumable Usage'!$D:$D,3))</f>
        <v/>
      </c>
      <c r="AD136" s="12" t="str">
        <f>IF($A136="","",SUMIFS('Nursing Charges'!$I:$I,'Nursing Charges'!$A:$A,$A136,'Nursing Charges'!$C:$C,3))</f>
        <v/>
      </c>
      <c r="AE136" s="12" t="str">
        <f>IF($A136="","",AB136+(AD136-SUMIFS('Nursing Charges'!$J:$J,'Nursing Charges'!$A:$A,$A136,'Nursing Charges'!$C:$C,3))+(AC136-SUMIFS('Consumable Usage'!$F:$F,'Consumable Usage'!$A:$A,$A136,'Consumable Usage'!$D:$D,3)))</f>
        <v/>
      </c>
      <c r="AF136" s="12" t="str">
        <f t="shared" si="7"/>
        <v/>
      </c>
      <c r="AG136" s="20"/>
      <c r="AH136" s="12" t="str">
        <f t="shared" si="8"/>
        <v/>
      </c>
      <c r="AI136" s="45" t="str">
        <f t="shared" si="9"/>
        <v/>
      </c>
      <c r="AJ136" s="15"/>
      <c r="AK136" s="15"/>
      <c r="AL136" s="20"/>
      <c r="AM136" s="12" t="str">
        <f>IF($A136="","",SUMIFS('Consumable Usage'!$E:$E,'Consumable Usage'!$A:$A,$A136,'Consumable Usage'!$D:$D,4))</f>
        <v/>
      </c>
      <c r="AN136" s="12" t="str">
        <f>IF($A136="","",SUMIFS('Nursing Charges'!$I:$I,'Nursing Charges'!$A:$A,$A136,'Nursing Charges'!$C:$C,4))</f>
        <v/>
      </c>
      <c r="AO136" s="12" t="str">
        <f>IF($A136="","",AL136+(AN136-SUMIFS('Nursing Charges'!$J:$J,'Nursing Charges'!$A:$A,$A136,'Nursing Charges'!$C:$C,4))+(AM136-SUMIFS('Consumable Usage'!$F:$F,'Consumable Usage'!$A:$A,$A136,'Consumable Usage'!$D:$D,4)))</f>
        <v/>
      </c>
      <c r="AP136" s="12" t="str">
        <f t="shared" si="10"/>
        <v/>
      </c>
      <c r="AQ136" s="20"/>
      <c r="AR136" s="12" t="str">
        <f t="shared" si="11"/>
        <v/>
      </c>
      <c r="AS136" s="45" t="str">
        <f t="shared" si="12"/>
        <v/>
      </c>
      <c r="AT136" s="15"/>
      <c r="AU136" s="15"/>
      <c r="AV136" s="20"/>
      <c r="AW136" s="12" t="str">
        <f>IF($A136="","",SUMIFS('Consumable Usage'!$E:$E,'Consumable Usage'!$A:$A,$A136,'Consumable Usage'!$D:$D,5))</f>
        <v/>
      </c>
      <c r="AX136" s="12" t="str">
        <f>IF($A136="","",SUMIFS('Nursing Charges'!$I:$I,'Nursing Charges'!$A:$A,$A136,'Nursing Charges'!$C:$C,5))</f>
        <v/>
      </c>
      <c r="AY136" s="12" t="str">
        <f>IF($A136="","",AV136+(AX136-SUMIFS('Nursing Charges'!$J:$J,'Nursing Charges'!$A:$A,$A136,'Nursing Charges'!$C:$C,5))+(AW136-SUMIFS('Consumable Usage'!$F:$F,'Consumable Usage'!$A:$A,$A136,'Consumable Usage'!$D:$D,5)))</f>
        <v/>
      </c>
      <c r="AZ136" s="12" t="str">
        <f t="shared" si="13"/>
        <v/>
      </c>
      <c r="BA136" s="20"/>
      <c r="BB136" s="12" t="str">
        <f t="shared" si="14"/>
        <v/>
      </c>
      <c r="BC136" s="45" t="str">
        <f t="shared" si="15"/>
        <v/>
      </c>
      <c r="BD136" s="15"/>
      <c r="BE136" s="15"/>
      <c r="BF136" s="20"/>
      <c r="BG136" s="12" t="str">
        <f>IF($A136="","",SUMIFS('Consumable Usage'!$E:$E,'Consumable Usage'!$A:$A,$A136,'Consumable Usage'!$D:$D,6))</f>
        <v/>
      </c>
      <c r="BH136" s="12" t="str">
        <f>IF($A136="","",SUMIFS('Nursing Charges'!$I:$I,'Nursing Charges'!$A:$A,$A136,'Nursing Charges'!$C:$C,6))</f>
        <v/>
      </c>
      <c r="BI136" s="12" t="str">
        <f>IF($A136="","",BF136+(BH136-SUMIFS('Nursing Charges'!$J:$J,'Nursing Charges'!$A:$A,$A136,'Nursing Charges'!$C:$C,6))+(BG136-SUMIFS('Consumable Usage'!$F:$F,'Consumable Usage'!$A:$A,$A136,'Consumable Usage'!$D:$D,6)))</f>
        <v/>
      </c>
      <c r="BJ136" s="12" t="str">
        <f t="shared" si="16"/>
        <v/>
      </c>
      <c r="BK136" s="20"/>
      <c r="BL136" s="12" t="str">
        <f t="shared" si="17"/>
        <v/>
      </c>
      <c r="BM136" s="45" t="str">
        <f t="shared" si="18"/>
        <v/>
      </c>
      <c r="BN136" s="15"/>
      <c r="BO136" s="15"/>
      <c r="BP136" s="20"/>
      <c r="BQ136" s="12" t="str">
        <f>IF($A136="","",SUMIFS('Consumable Usage'!$E:$E,'Consumable Usage'!$A:$A,$A136,'Consumable Usage'!$D:$D,7))</f>
        <v/>
      </c>
      <c r="BR136" s="12" t="str">
        <f>IF($A136="","",SUMIFS('Nursing Charges'!$I:$I,'Nursing Charges'!$A:$A,$A136,'Nursing Charges'!$C:$C,7))</f>
        <v/>
      </c>
      <c r="BS136" s="12" t="str">
        <f>IF($A136="","",BP136+(BR136-SUMIFS('Nursing Charges'!$J:$J,'Nursing Charges'!$A:$A,$A136,'Nursing Charges'!$C:$C,7))+(BQ136-SUMIFS('Consumable Usage'!$F:$F,'Consumable Usage'!$A:$A,$A136,'Consumable Usage'!$D:$D,7)))</f>
        <v/>
      </c>
      <c r="BT136" s="12" t="str">
        <f t="shared" si="19"/>
        <v/>
      </c>
      <c r="BU136" s="20"/>
      <c r="BV136" s="12" t="str">
        <f t="shared" si="20"/>
        <v/>
      </c>
      <c r="BW136" s="45" t="str">
        <f t="shared" si="21"/>
        <v/>
      </c>
      <c r="BX136" s="15"/>
      <c r="BY136" s="15"/>
      <c r="BZ136" s="20"/>
      <c r="CA136" s="12" t="str">
        <f>IF($A136="","",SUMIFS('Consumable Usage'!$E:$E,'Consumable Usage'!$A:$A,$A136,'Consumable Usage'!$D:$D,8))</f>
        <v/>
      </c>
      <c r="CB136" s="12" t="str">
        <f>IF($A136="","",SUMIFS('Nursing Charges'!$I:$I,'Nursing Charges'!$A:$A,$A136,'Nursing Charges'!$C:$C,8))</f>
        <v/>
      </c>
      <c r="CC136" s="12" t="str">
        <f>IF($A136="","",BZ136+(CB136-SUMIFS('Nursing Charges'!$J:$J,'Nursing Charges'!$A:$A,$A136,'Nursing Charges'!$C:$C,8))+(CA136-SUMIFS('Consumable Usage'!$F:$F,'Consumable Usage'!$A:$A,$A136,'Consumable Usage'!$D:$D,8)))</f>
        <v/>
      </c>
      <c r="CD136" s="12" t="str">
        <f t="shared" si="22"/>
        <v/>
      </c>
      <c r="CE136" s="20"/>
      <c r="CF136" s="12" t="str">
        <f t="shared" si="23"/>
        <v/>
      </c>
      <c r="CG136" s="45" t="str">
        <f t="shared" si="24"/>
        <v/>
      </c>
      <c r="CH136" s="15"/>
      <c r="CI136" s="15"/>
      <c r="CJ136" s="20"/>
      <c r="CK136" s="12" t="str">
        <f>IF($A136="","",SUMIFS('Consumable Usage'!$E:$E,'Consumable Usage'!$A:$A,$A136,'Consumable Usage'!$D:$D,9))</f>
        <v/>
      </c>
      <c r="CL136" s="12" t="str">
        <f>IF($A136="","",SUMIFS('Nursing Charges'!$I:$I,'Nursing Charges'!$A:$A,$A136,'Nursing Charges'!$C:$C,9))</f>
        <v/>
      </c>
      <c r="CM136" s="12" t="str">
        <f>IF($A136="","",CJ136+(CL136-SUMIFS('Nursing Charges'!$J:$J,'Nursing Charges'!$A:$A,$A136,'Nursing Charges'!$C:$C,9))+(CK136-SUMIFS('Consumable Usage'!$F:$F,'Consumable Usage'!$A:$A,$A136,'Consumable Usage'!$D:$D,9)))</f>
        <v/>
      </c>
      <c r="CN136" s="12" t="str">
        <f t="shared" si="25"/>
        <v/>
      </c>
      <c r="CO136" s="20"/>
      <c r="CP136" s="12" t="str">
        <f t="shared" si="26"/>
        <v/>
      </c>
      <c r="CQ136" s="45" t="str">
        <f t="shared" si="27"/>
        <v/>
      </c>
      <c r="CR136" s="15"/>
      <c r="CS136" s="15"/>
      <c r="CT136" s="20"/>
      <c r="CU136" s="12" t="str">
        <f>IF($A136="","",SUMIFS('Consumable Usage'!$E:$E,'Consumable Usage'!$A:$A,$A136,'Consumable Usage'!$D:$D,10))</f>
        <v/>
      </c>
      <c r="CV136" s="12" t="str">
        <f>IF($A136="","",SUMIFS('Nursing Charges'!$I:$I,'Nursing Charges'!$A:$A,$A136,'Nursing Charges'!$C:$C,10))</f>
        <v/>
      </c>
      <c r="CW136" s="12" t="str">
        <f>IF($A136="","",CT136+(CV136-SUMIFS('Nursing Charges'!$J:$J,'Nursing Charges'!$A:$A,$A136,'Nursing Charges'!$C:$C,10))+(CU136-SUMIFS('Consumable Usage'!$F:$F,'Consumable Usage'!$A:$A,$A136,'Consumable Usage'!$D:$D,10)))</f>
        <v/>
      </c>
      <c r="CX136" s="12" t="str">
        <f t="shared" si="28"/>
        <v/>
      </c>
      <c r="CY136" s="20"/>
      <c r="CZ136" s="12" t="str">
        <f t="shared" si="29"/>
        <v/>
      </c>
      <c r="DA136" s="45" t="str">
        <f t="shared" si="30"/>
        <v/>
      </c>
      <c r="DB136" s="15"/>
      <c r="DC136" s="15"/>
      <c r="DD136" s="20"/>
      <c r="DE136" s="12" t="str">
        <f>IF($A136="","",SUMIFS('Consumable Usage'!$E:$E,'Consumable Usage'!$A:$A,$A136,'Consumable Usage'!$D:$D,11))</f>
        <v/>
      </c>
      <c r="DF136" s="12" t="str">
        <f>IF($A136="","",SUMIFS('Nursing Charges'!$I:$I,'Nursing Charges'!$A:$A,$A136,'Nursing Charges'!$C:$C,11))</f>
        <v/>
      </c>
      <c r="DG136" s="12" t="str">
        <f>IF($A136="","",DD136+(DF136-SUMIFS('Nursing Charges'!$J:$J,'Nursing Charges'!$A:$A,$A136,'Nursing Charges'!$C:$C,11))+(DE136-SUMIFS('Consumable Usage'!$F:$F,'Consumable Usage'!$A:$A,$A136,'Consumable Usage'!$D:$D,11)))</f>
        <v/>
      </c>
      <c r="DH136" s="12" t="str">
        <f t="shared" si="31"/>
        <v/>
      </c>
      <c r="DI136" s="20"/>
      <c r="DJ136" s="12" t="str">
        <f t="shared" si="32"/>
        <v/>
      </c>
      <c r="DK136" s="45" t="str">
        <f t="shared" si="33"/>
        <v/>
      </c>
      <c r="DL136" s="15"/>
      <c r="DM136" s="15"/>
      <c r="DN136" s="20"/>
      <c r="DO136" s="12" t="str">
        <f>IF($A136="","",SUMIFS('Consumable Usage'!$E:$E,'Consumable Usage'!$A:$A,$A136,'Consumable Usage'!$D:$D,12))</f>
        <v/>
      </c>
      <c r="DP136" s="12" t="str">
        <f>IF($A136="","",SUMIFS('Nursing Charges'!$I:$I,'Nursing Charges'!$A:$A,$A136,'Nursing Charges'!$C:$C,12))</f>
        <v/>
      </c>
      <c r="DQ136" s="12" t="str">
        <f>IF($A136="","",DN136+(DP136-SUMIFS('Nursing Charges'!$J:$J,'Nursing Charges'!$A:$A,$A136,'Nursing Charges'!$C:$C,12))+(DO136-SUMIFS('Consumable Usage'!$F:$F,'Consumable Usage'!$A:$A,$A136,'Consumable Usage'!$D:$D,12)))</f>
        <v/>
      </c>
      <c r="DR136" s="12" t="str">
        <f t="shared" si="34"/>
        <v/>
      </c>
      <c r="DS136" s="20"/>
      <c r="DT136" s="12" t="str">
        <f t="shared" si="35"/>
        <v/>
      </c>
      <c r="DU136" s="45" t="str">
        <f t="shared" si="36"/>
        <v/>
      </c>
      <c r="DV136" s="15"/>
      <c r="DW136" s="15"/>
      <c r="DX136" s="20"/>
      <c r="DY136" s="12" t="str">
        <f>IF($A136="","",SUMIFS('Consumable Usage'!$E:$E,'Consumable Usage'!$A:$A,$A136,'Consumable Usage'!$D:$D,13))</f>
        <v/>
      </c>
      <c r="DZ136" s="12" t="str">
        <f>IF($A136="","",SUMIFS('Nursing Charges'!$I:$I,'Nursing Charges'!$A:$A,$A136,'Nursing Charges'!$C:$C,13))</f>
        <v/>
      </c>
      <c r="EA136" s="12" t="str">
        <f>IF($A136="","",DX136+(DZ136-SUMIFS('Nursing Charges'!$J:$J,'Nursing Charges'!$A:$A,$A136,'Nursing Charges'!$C:$C,13))+(DY136-SUMIFS('Consumable Usage'!$F:$F,'Consumable Usage'!$A:$A,$A136,'Consumable Usage'!$D:$D,13)))</f>
        <v/>
      </c>
      <c r="EB136" s="12" t="str">
        <f t="shared" si="37"/>
        <v/>
      </c>
      <c r="EC136" s="20"/>
      <c r="ED136" s="12" t="str">
        <f t="shared" si="38"/>
        <v/>
      </c>
      <c r="EE136" s="45" t="str">
        <f t="shared" si="39"/>
        <v/>
      </c>
      <c r="EF136" s="15"/>
      <c r="EG136" s="15"/>
      <c r="EH136" s="20"/>
      <c r="EI136" s="12" t="str">
        <f>IF($A136="","",SUMIFS('Consumable Usage'!$E:$E,'Consumable Usage'!$A:$A,$A136,'Consumable Usage'!$D:$D,14))</f>
        <v/>
      </c>
      <c r="EJ136" s="12" t="str">
        <f>IF($A136="","",SUMIFS('Nursing Charges'!$I:$I,'Nursing Charges'!$A:$A,$A136,'Nursing Charges'!$C:$C,14))</f>
        <v/>
      </c>
      <c r="EK136" s="12" t="str">
        <f>IF($A136="","",EH136+(EJ136-SUMIFS('Nursing Charges'!$J:$J,'Nursing Charges'!$A:$A,$A136,'Nursing Charges'!$C:$C,14))+(EI136-SUMIFS('Consumable Usage'!$F:$F,'Consumable Usage'!$A:$A,$A136,'Consumable Usage'!$D:$D,14)))</f>
        <v/>
      </c>
      <c r="EL136" s="12" t="str">
        <f t="shared" si="40"/>
        <v/>
      </c>
      <c r="EM136" s="20"/>
      <c r="EN136" s="12" t="str">
        <f t="shared" si="41"/>
        <v/>
      </c>
      <c r="EO136" s="45" t="str">
        <f t="shared" si="42"/>
        <v/>
      </c>
      <c r="EP136" s="15"/>
      <c r="EQ136" s="15"/>
      <c r="ER136" s="20"/>
      <c r="ES136" s="12" t="str">
        <f>IF($A136="","",SUMIFS('Consumable Usage'!$E:$E,'Consumable Usage'!$A:$A,$A136,'Consumable Usage'!$D:$D,15))</f>
        <v/>
      </c>
      <c r="ET136" s="12" t="str">
        <f>IF($A136="","",SUMIFS('Nursing Charges'!$I:$I,'Nursing Charges'!$A:$A,$A136,'Nursing Charges'!$C:$C,15))</f>
        <v/>
      </c>
      <c r="EU136" s="12" t="str">
        <f>IF($A136="","",ER136+(ET136-SUMIFS('Nursing Charges'!$J:$J,'Nursing Charges'!$A:$A,$A136,'Nursing Charges'!$C:$C,15))+(ES136-SUMIFS('Consumable Usage'!$F:$F,'Consumable Usage'!$A:$A,$A136,'Consumable Usage'!$D:$D,15)))</f>
        <v/>
      </c>
      <c r="EV136" s="12" t="str">
        <f t="shared" si="43"/>
        <v/>
      </c>
      <c r="EW136" s="20"/>
      <c r="EX136" s="12" t="str">
        <f t="shared" si="44"/>
        <v/>
      </c>
      <c r="EY136" s="45" t="str">
        <f t="shared" si="45"/>
        <v/>
      </c>
      <c r="EZ136" s="15"/>
      <c r="FA136" s="15"/>
      <c r="FB136" s="20"/>
      <c r="FC136" s="12" t="str">
        <f>IF($A136="","",SUMIFS('Consumable Usage'!$E:$E,'Consumable Usage'!$A:$A,$A136,'Consumable Usage'!$D:$D,16))</f>
        <v/>
      </c>
      <c r="FD136" s="12" t="str">
        <f>IF($A136="","",SUMIFS('Nursing Charges'!$I:$I,'Nursing Charges'!$A:$A,$A136,'Nursing Charges'!$C:$C,16))</f>
        <v/>
      </c>
      <c r="FE136" s="12" t="str">
        <f>IF($A136="","",FB136+(FD136-SUMIFS('Nursing Charges'!$J:$J,'Nursing Charges'!$A:$A,$A136,'Nursing Charges'!$C:$C,16))+(FC136-SUMIFS('Consumable Usage'!$F:$F,'Consumable Usage'!$A:$A,$A136,'Consumable Usage'!$D:$D,16)))</f>
        <v/>
      </c>
      <c r="FF136" s="12" t="str">
        <f t="shared" si="46"/>
        <v/>
      </c>
      <c r="FG136" s="20"/>
      <c r="FH136" s="12" t="str">
        <f t="shared" si="47"/>
        <v/>
      </c>
      <c r="FI136" s="45" t="str">
        <f t="shared" si="48"/>
        <v/>
      </c>
      <c r="FJ136" s="53"/>
      <c r="FK136" s="53"/>
      <c r="FL136" s="63"/>
      <c r="FM136" s="63" t="str">
        <f>IF($A136="","",SUMIFS('Consumable Usage'!$E:$E,'Consumable Usage'!$A:$A,$A136,'Consumable Usage'!$D:$D,16))</f>
        <v/>
      </c>
      <c r="FN136" s="63" t="str">
        <f>IF($A136="","",SUMIFS('Nursing Charges'!$I:$I,'Nursing Charges'!$A:$A,$A136,'Nursing Charges'!$C:$C,16))</f>
        <v/>
      </c>
      <c r="FO136" s="63" t="str">
        <f>IF($A136="","",FL136+(FN136-SUMIFS('Nursing Charges'!$J:$J,'Nursing Charges'!$A:$A,$A136,'Nursing Charges'!$C:$C,16))+(FM136-SUMIFS('Consumable Usage'!$F:$F,'Consumable Usage'!$A:$A,$A136,'Consumable Usage'!$D:$D,16)))</f>
        <v/>
      </c>
      <c r="FP136" s="63" t="str">
        <f t="shared" si="49"/>
        <v/>
      </c>
      <c r="FQ136" s="63"/>
      <c r="FR136" s="63" t="str">
        <f t="shared" si="50"/>
        <v/>
      </c>
      <c r="FS136" s="53" t="str">
        <f t="shared" si="51"/>
        <v/>
      </c>
    </row>
    <row r="137" ht="15.0" customHeight="1">
      <c r="A137" s="15"/>
      <c r="B137" s="15"/>
      <c r="C137" s="15"/>
      <c r="D137" s="15"/>
      <c r="E137" s="15"/>
      <c r="F137" s="15"/>
      <c r="G137" s="15"/>
      <c r="H137" s="20"/>
      <c r="I137" s="12" t="str">
        <f>IF($A137="","",SUMIFS('Consumable Usage'!$E:$E,'Consumable Usage'!$A:$A,$A137,'Consumable Usage'!$D:$D,1))</f>
        <v/>
      </c>
      <c r="J137" s="12" t="str">
        <f>IF($A137="","",SUMIFS('Nursing Charges'!$I:$I,'Nursing Charges'!$A:$A,$A137,'Nursing Charges'!$C:$C,1))</f>
        <v/>
      </c>
      <c r="K137" s="12" t="str">
        <f>IF($A137="","",H137+(J137-SUMIFS('Nursing Charges'!$J:$J,'Nursing Charges'!$A:$A,$A137,'Nursing Charges'!$C:$C,1))+(I137-SUMIFS('Consumable Usage'!$F:$F,'Consumable Usage'!$A:$A,$A137,'Consumable Usage'!$D:$D,1)))</f>
        <v/>
      </c>
      <c r="L137" s="12" t="str">
        <f t="shared" si="1"/>
        <v/>
      </c>
      <c r="M137" s="20"/>
      <c r="N137" s="12" t="str">
        <f t="shared" si="2"/>
        <v/>
      </c>
      <c r="O137" s="45" t="str">
        <f t="shared" si="3"/>
        <v/>
      </c>
      <c r="P137" s="15"/>
      <c r="Q137" s="15"/>
      <c r="R137" s="20"/>
      <c r="S137" s="12" t="str">
        <f>IF($A137="","",SUMIFS('Consumable Usage'!$E:$E,'Consumable Usage'!$A:$A,$A137,'Consumable Usage'!$D:$D,2))</f>
        <v/>
      </c>
      <c r="T137" s="12" t="str">
        <f>IF($A137="","",SUMIFS('Nursing Charges'!$I:$I,'Nursing Charges'!$A:$A,$A137,'Nursing Charges'!$C:$C,2))</f>
        <v/>
      </c>
      <c r="U137" s="12" t="str">
        <f>IF($A137="","",R137+(T137-SUMIFS('Nursing Charges'!$J:$J,'Nursing Charges'!$A:$A,$A137,'Nursing Charges'!$C:$C,2))+(S137-SUMIFS('Consumable Usage'!$F:$F,'Consumable Usage'!$A:$A,$A137,'Consumable Usage'!$D:$D,2)))</f>
        <v/>
      </c>
      <c r="V137" s="12" t="str">
        <f t="shared" si="4"/>
        <v/>
      </c>
      <c r="W137" s="20"/>
      <c r="X137" s="12" t="str">
        <f t="shared" si="5"/>
        <v/>
      </c>
      <c r="Y137" s="45" t="str">
        <f t="shared" si="6"/>
        <v/>
      </c>
      <c r="Z137" s="15"/>
      <c r="AA137" s="15"/>
      <c r="AB137" s="20"/>
      <c r="AC137" s="12" t="str">
        <f>IF($A137="","",SUMIFS('Consumable Usage'!$E:$E,'Consumable Usage'!$A:$A,$A137,'Consumable Usage'!$D:$D,3))</f>
        <v/>
      </c>
      <c r="AD137" s="12" t="str">
        <f>IF($A137="","",SUMIFS('Nursing Charges'!$I:$I,'Nursing Charges'!$A:$A,$A137,'Nursing Charges'!$C:$C,3))</f>
        <v/>
      </c>
      <c r="AE137" s="12" t="str">
        <f>IF($A137="","",AB137+(AD137-SUMIFS('Nursing Charges'!$J:$J,'Nursing Charges'!$A:$A,$A137,'Nursing Charges'!$C:$C,3))+(AC137-SUMIFS('Consumable Usage'!$F:$F,'Consumable Usage'!$A:$A,$A137,'Consumable Usage'!$D:$D,3)))</f>
        <v/>
      </c>
      <c r="AF137" s="12" t="str">
        <f t="shared" si="7"/>
        <v/>
      </c>
      <c r="AG137" s="20"/>
      <c r="AH137" s="12" t="str">
        <f t="shared" si="8"/>
        <v/>
      </c>
      <c r="AI137" s="45" t="str">
        <f t="shared" si="9"/>
        <v/>
      </c>
      <c r="AJ137" s="15"/>
      <c r="AK137" s="15"/>
      <c r="AL137" s="20"/>
      <c r="AM137" s="12" t="str">
        <f>IF($A137="","",SUMIFS('Consumable Usage'!$E:$E,'Consumable Usage'!$A:$A,$A137,'Consumable Usage'!$D:$D,4))</f>
        <v/>
      </c>
      <c r="AN137" s="12" t="str">
        <f>IF($A137="","",SUMIFS('Nursing Charges'!$I:$I,'Nursing Charges'!$A:$A,$A137,'Nursing Charges'!$C:$C,4))</f>
        <v/>
      </c>
      <c r="AO137" s="12" t="str">
        <f>IF($A137="","",AL137+(AN137-SUMIFS('Nursing Charges'!$J:$J,'Nursing Charges'!$A:$A,$A137,'Nursing Charges'!$C:$C,4))+(AM137-SUMIFS('Consumable Usage'!$F:$F,'Consumable Usage'!$A:$A,$A137,'Consumable Usage'!$D:$D,4)))</f>
        <v/>
      </c>
      <c r="AP137" s="12" t="str">
        <f t="shared" si="10"/>
        <v/>
      </c>
      <c r="AQ137" s="20"/>
      <c r="AR137" s="12" t="str">
        <f t="shared" si="11"/>
        <v/>
      </c>
      <c r="AS137" s="45" t="str">
        <f t="shared" si="12"/>
        <v/>
      </c>
      <c r="AT137" s="15"/>
      <c r="AU137" s="15"/>
      <c r="AV137" s="20"/>
      <c r="AW137" s="12" t="str">
        <f>IF($A137="","",SUMIFS('Consumable Usage'!$E:$E,'Consumable Usage'!$A:$A,$A137,'Consumable Usage'!$D:$D,5))</f>
        <v/>
      </c>
      <c r="AX137" s="12" t="str">
        <f>IF($A137="","",SUMIFS('Nursing Charges'!$I:$I,'Nursing Charges'!$A:$A,$A137,'Nursing Charges'!$C:$C,5))</f>
        <v/>
      </c>
      <c r="AY137" s="12" t="str">
        <f>IF($A137="","",AV137+(AX137-SUMIFS('Nursing Charges'!$J:$J,'Nursing Charges'!$A:$A,$A137,'Nursing Charges'!$C:$C,5))+(AW137-SUMIFS('Consumable Usage'!$F:$F,'Consumable Usage'!$A:$A,$A137,'Consumable Usage'!$D:$D,5)))</f>
        <v/>
      </c>
      <c r="AZ137" s="12" t="str">
        <f t="shared" si="13"/>
        <v/>
      </c>
      <c r="BA137" s="20"/>
      <c r="BB137" s="12" t="str">
        <f t="shared" si="14"/>
        <v/>
      </c>
      <c r="BC137" s="45" t="str">
        <f t="shared" si="15"/>
        <v/>
      </c>
      <c r="BD137" s="15"/>
      <c r="BE137" s="15"/>
      <c r="BF137" s="20"/>
      <c r="BG137" s="12" t="str">
        <f>IF($A137="","",SUMIFS('Consumable Usage'!$E:$E,'Consumable Usage'!$A:$A,$A137,'Consumable Usage'!$D:$D,6))</f>
        <v/>
      </c>
      <c r="BH137" s="12" t="str">
        <f>IF($A137="","",SUMIFS('Nursing Charges'!$I:$I,'Nursing Charges'!$A:$A,$A137,'Nursing Charges'!$C:$C,6))</f>
        <v/>
      </c>
      <c r="BI137" s="12" t="str">
        <f>IF($A137="","",BF137+(BH137-SUMIFS('Nursing Charges'!$J:$J,'Nursing Charges'!$A:$A,$A137,'Nursing Charges'!$C:$C,6))+(BG137-SUMIFS('Consumable Usage'!$F:$F,'Consumable Usage'!$A:$A,$A137,'Consumable Usage'!$D:$D,6)))</f>
        <v/>
      </c>
      <c r="BJ137" s="12" t="str">
        <f t="shared" si="16"/>
        <v/>
      </c>
      <c r="BK137" s="20"/>
      <c r="BL137" s="12" t="str">
        <f t="shared" si="17"/>
        <v/>
      </c>
      <c r="BM137" s="45" t="str">
        <f t="shared" si="18"/>
        <v/>
      </c>
      <c r="BN137" s="15"/>
      <c r="BO137" s="15"/>
      <c r="BP137" s="20"/>
      <c r="BQ137" s="12" t="str">
        <f>IF($A137="","",SUMIFS('Consumable Usage'!$E:$E,'Consumable Usage'!$A:$A,$A137,'Consumable Usage'!$D:$D,7))</f>
        <v/>
      </c>
      <c r="BR137" s="12" t="str">
        <f>IF($A137="","",SUMIFS('Nursing Charges'!$I:$I,'Nursing Charges'!$A:$A,$A137,'Nursing Charges'!$C:$C,7))</f>
        <v/>
      </c>
      <c r="BS137" s="12" t="str">
        <f>IF($A137="","",BP137+(BR137-SUMIFS('Nursing Charges'!$J:$J,'Nursing Charges'!$A:$A,$A137,'Nursing Charges'!$C:$C,7))+(BQ137-SUMIFS('Consumable Usage'!$F:$F,'Consumable Usage'!$A:$A,$A137,'Consumable Usage'!$D:$D,7)))</f>
        <v/>
      </c>
      <c r="BT137" s="12" t="str">
        <f t="shared" si="19"/>
        <v/>
      </c>
      <c r="BU137" s="20"/>
      <c r="BV137" s="12" t="str">
        <f t="shared" si="20"/>
        <v/>
      </c>
      <c r="BW137" s="45" t="str">
        <f t="shared" si="21"/>
        <v/>
      </c>
      <c r="BX137" s="15"/>
      <c r="BY137" s="15"/>
      <c r="BZ137" s="20"/>
      <c r="CA137" s="12" t="str">
        <f>IF($A137="","",SUMIFS('Consumable Usage'!$E:$E,'Consumable Usage'!$A:$A,$A137,'Consumable Usage'!$D:$D,8))</f>
        <v/>
      </c>
      <c r="CB137" s="12" t="str">
        <f>IF($A137="","",SUMIFS('Nursing Charges'!$I:$I,'Nursing Charges'!$A:$A,$A137,'Nursing Charges'!$C:$C,8))</f>
        <v/>
      </c>
      <c r="CC137" s="12" t="str">
        <f>IF($A137="","",BZ137+(CB137-SUMIFS('Nursing Charges'!$J:$J,'Nursing Charges'!$A:$A,$A137,'Nursing Charges'!$C:$C,8))+(CA137-SUMIFS('Consumable Usage'!$F:$F,'Consumable Usage'!$A:$A,$A137,'Consumable Usage'!$D:$D,8)))</f>
        <v/>
      </c>
      <c r="CD137" s="12" t="str">
        <f t="shared" si="22"/>
        <v/>
      </c>
      <c r="CE137" s="20"/>
      <c r="CF137" s="12" t="str">
        <f t="shared" si="23"/>
        <v/>
      </c>
      <c r="CG137" s="45" t="str">
        <f t="shared" si="24"/>
        <v/>
      </c>
      <c r="CH137" s="15"/>
      <c r="CI137" s="15"/>
      <c r="CJ137" s="20"/>
      <c r="CK137" s="12" t="str">
        <f>IF($A137="","",SUMIFS('Consumable Usage'!$E:$E,'Consumable Usage'!$A:$A,$A137,'Consumable Usage'!$D:$D,9))</f>
        <v/>
      </c>
      <c r="CL137" s="12" t="str">
        <f>IF($A137="","",SUMIFS('Nursing Charges'!$I:$I,'Nursing Charges'!$A:$A,$A137,'Nursing Charges'!$C:$C,9))</f>
        <v/>
      </c>
      <c r="CM137" s="12" t="str">
        <f>IF($A137="","",CJ137+(CL137-SUMIFS('Nursing Charges'!$J:$J,'Nursing Charges'!$A:$A,$A137,'Nursing Charges'!$C:$C,9))+(CK137-SUMIFS('Consumable Usage'!$F:$F,'Consumable Usage'!$A:$A,$A137,'Consumable Usage'!$D:$D,9)))</f>
        <v/>
      </c>
      <c r="CN137" s="12" t="str">
        <f t="shared" si="25"/>
        <v/>
      </c>
      <c r="CO137" s="20"/>
      <c r="CP137" s="12" t="str">
        <f t="shared" si="26"/>
        <v/>
      </c>
      <c r="CQ137" s="45" t="str">
        <f t="shared" si="27"/>
        <v/>
      </c>
      <c r="CR137" s="15"/>
      <c r="CS137" s="15"/>
      <c r="CT137" s="20"/>
      <c r="CU137" s="12" t="str">
        <f>IF($A137="","",SUMIFS('Consumable Usage'!$E:$E,'Consumable Usage'!$A:$A,$A137,'Consumable Usage'!$D:$D,10))</f>
        <v/>
      </c>
      <c r="CV137" s="12" t="str">
        <f>IF($A137="","",SUMIFS('Nursing Charges'!$I:$I,'Nursing Charges'!$A:$A,$A137,'Nursing Charges'!$C:$C,10))</f>
        <v/>
      </c>
      <c r="CW137" s="12" t="str">
        <f>IF($A137="","",CT137+(CV137-SUMIFS('Nursing Charges'!$J:$J,'Nursing Charges'!$A:$A,$A137,'Nursing Charges'!$C:$C,10))+(CU137-SUMIFS('Consumable Usage'!$F:$F,'Consumable Usage'!$A:$A,$A137,'Consumable Usage'!$D:$D,10)))</f>
        <v/>
      </c>
      <c r="CX137" s="12" t="str">
        <f t="shared" si="28"/>
        <v/>
      </c>
      <c r="CY137" s="20"/>
      <c r="CZ137" s="12" t="str">
        <f t="shared" si="29"/>
        <v/>
      </c>
      <c r="DA137" s="45" t="str">
        <f t="shared" si="30"/>
        <v/>
      </c>
      <c r="DB137" s="15"/>
      <c r="DC137" s="15"/>
      <c r="DD137" s="20"/>
      <c r="DE137" s="12" t="str">
        <f>IF($A137="","",SUMIFS('Consumable Usage'!$E:$E,'Consumable Usage'!$A:$A,$A137,'Consumable Usage'!$D:$D,11))</f>
        <v/>
      </c>
      <c r="DF137" s="12" t="str">
        <f>IF($A137="","",SUMIFS('Nursing Charges'!$I:$I,'Nursing Charges'!$A:$A,$A137,'Nursing Charges'!$C:$C,11))</f>
        <v/>
      </c>
      <c r="DG137" s="12" t="str">
        <f>IF($A137="","",DD137+(DF137-SUMIFS('Nursing Charges'!$J:$J,'Nursing Charges'!$A:$A,$A137,'Nursing Charges'!$C:$C,11))+(DE137-SUMIFS('Consumable Usage'!$F:$F,'Consumable Usage'!$A:$A,$A137,'Consumable Usage'!$D:$D,11)))</f>
        <v/>
      </c>
      <c r="DH137" s="12" t="str">
        <f t="shared" si="31"/>
        <v/>
      </c>
      <c r="DI137" s="20"/>
      <c r="DJ137" s="12" t="str">
        <f t="shared" si="32"/>
        <v/>
      </c>
      <c r="DK137" s="45" t="str">
        <f t="shared" si="33"/>
        <v/>
      </c>
      <c r="DL137" s="15"/>
      <c r="DM137" s="15"/>
      <c r="DN137" s="20"/>
      <c r="DO137" s="12" t="str">
        <f>IF($A137="","",SUMIFS('Consumable Usage'!$E:$E,'Consumable Usage'!$A:$A,$A137,'Consumable Usage'!$D:$D,12))</f>
        <v/>
      </c>
      <c r="DP137" s="12" t="str">
        <f>IF($A137="","",SUMIFS('Nursing Charges'!$I:$I,'Nursing Charges'!$A:$A,$A137,'Nursing Charges'!$C:$C,12))</f>
        <v/>
      </c>
      <c r="DQ137" s="12" t="str">
        <f>IF($A137="","",DN137+(DP137-SUMIFS('Nursing Charges'!$J:$J,'Nursing Charges'!$A:$A,$A137,'Nursing Charges'!$C:$C,12))+(DO137-SUMIFS('Consumable Usage'!$F:$F,'Consumable Usage'!$A:$A,$A137,'Consumable Usage'!$D:$D,12)))</f>
        <v/>
      </c>
      <c r="DR137" s="12" t="str">
        <f t="shared" si="34"/>
        <v/>
      </c>
      <c r="DS137" s="20"/>
      <c r="DT137" s="12" t="str">
        <f t="shared" si="35"/>
        <v/>
      </c>
      <c r="DU137" s="45" t="str">
        <f t="shared" si="36"/>
        <v/>
      </c>
      <c r="DV137" s="15"/>
      <c r="DW137" s="15"/>
      <c r="DX137" s="20"/>
      <c r="DY137" s="12" t="str">
        <f>IF($A137="","",SUMIFS('Consumable Usage'!$E:$E,'Consumable Usage'!$A:$A,$A137,'Consumable Usage'!$D:$D,13))</f>
        <v/>
      </c>
      <c r="DZ137" s="12" t="str">
        <f>IF($A137="","",SUMIFS('Nursing Charges'!$I:$I,'Nursing Charges'!$A:$A,$A137,'Nursing Charges'!$C:$C,13))</f>
        <v/>
      </c>
      <c r="EA137" s="12" t="str">
        <f>IF($A137="","",DX137+(DZ137-SUMIFS('Nursing Charges'!$J:$J,'Nursing Charges'!$A:$A,$A137,'Nursing Charges'!$C:$C,13))+(DY137-SUMIFS('Consumable Usage'!$F:$F,'Consumable Usage'!$A:$A,$A137,'Consumable Usage'!$D:$D,13)))</f>
        <v/>
      </c>
      <c r="EB137" s="12" t="str">
        <f t="shared" si="37"/>
        <v/>
      </c>
      <c r="EC137" s="20"/>
      <c r="ED137" s="12" t="str">
        <f t="shared" si="38"/>
        <v/>
      </c>
      <c r="EE137" s="45" t="str">
        <f t="shared" si="39"/>
        <v/>
      </c>
      <c r="EF137" s="15"/>
      <c r="EG137" s="15"/>
      <c r="EH137" s="20"/>
      <c r="EI137" s="12" t="str">
        <f>IF($A137="","",SUMIFS('Consumable Usage'!$E:$E,'Consumable Usage'!$A:$A,$A137,'Consumable Usage'!$D:$D,14))</f>
        <v/>
      </c>
      <c r="EJ137" s="12" t="str">
        <f>IF($A137="","",SUMIFS('Nursing Charges'!$I:$I,'Nursing Charges'!$A:$A,$A137,'Nursing Charges'!$C:$C,14))</f>
        <v/>
      </c>
      <c r="EK137" s="12" t="str">
        <f>IF($A137="","",EH137+(EJ137-SUMIFS('Nursing Charges'!$J:$J,'Nursing Charges'!$A:$A,$A137,'Nursing Charges'!$C:$C,14))+(EI137-SUMIFS('Consumable Usage'!$F:$F,'Consumable Usage'!$A:$A,$A137,'Consumable Usage'!$D:$D,14)))</f>
        <v/>
      </c>
      <c r="EL137" s="12" t="str">
        <f t="shared" si="40"/>
        <v/>
      </c>
      <c r="EM137" s="20"/>
      <c r="EN137" s="12" t="str">
        <f t="shared" si="41"/>
        <v/>
      </c>
      <c r="EO137" s="45" t="str">
        <f t="shared" si="42"/>
        <v/>
      </c>
      <c r="EP137" s="15"/>
      <c r="EQ137" s="15"/>
      <c r="ER137" s="20"/>
      <c r="ES137" s="12" t="str">
        <f>IF($A137="","",SUMIFS('Consumable Usage'!$E:$E,'Consumable Usage'!$A:$A,$A137,'Consumable Usage'!$D:$D,15))</f>
        <v/>
      </c>
      <c r="ET137" s="12" t="str">
        <f>IF($A137="","",SUMIFS('Nursing Charges'!$I:$I,'Nursing Charges'!$A:$A,$A137,'Nursing Charges'!$C:$C,15))</f>
        <v/>
      </c>
      <c r="EU137" s="12" t="str">
        <f>IF($A137="","",ER137+(ET137-SUMIFS('Nursing Charges'!$J:$J,'Nursing Charges'!$A:$A,$A137,'Nursing Charges'!$C:$C,15))+(ES137-SUMIFS('Consumable Usage'!$F:$F,'Consumable Usage'!$A:$A,$A137,'Consumable Usage'!$D:$D,15)))</f>
        <v/>
      </c>
      <c r="EV137" s="12" t="str">
        <f t="shared" si="43"/>
        <v/>
      </c>
      <c r="EW137" s="20"/>
      <c r="EX137" s="12" t="str">
        <f t="shared" si="44"/>
        <v/>
      </c>
      <c r="EY137" s="45" t="str">
        <f t="shared" si="45"/>
        <v/>
      </c>
      <c r="EZ137" s="15"/>
      <c r="FA137" s="15"/>
      <c r="FB137" s="20"/>
      <c r="FC137" s="12" t="str">
        <f>IF($A137="","",SUMIFS('Consumable Usage'!$E:$E,'Consumable Usage'!$A:$A,$A137,'Consumable Usage'!$D:$D,16))</f>
        <v/>
      </c>
      <c r="FD137" s="12" t="str">
        <f>IF($A137="","",SUMIFS('Nursing Charges'!$I:$I,'Nursing Charges'!$A:$A,$A137,'Nursing Charges'!$C:$C,16))</f>
        <v/>
      </c>
      <c r="FE137" s="12" t="str">
        <f>IF($A137="","",FB137+(FD137-SUMIFS('Nursing Charges'!$J:$J,'Nursing Charges'!$A:$A,$A137,'Nursing Charges'!$C:$C,16))+(FC137-SUMIFS('Consumable Usage'!$F:$F,'Consumable Usage'!$A:$A,$A137,'Consumable Usage'!$D:$D,16)))</f>
        <v/>
      </c>
      <c r="FF137" s="12" t="str">
        <f t="shared" si="46"/>
        <v/>
      </c>
      <c r="FG137" s="20"/>
      <c r="FH137" s="12" t="str">
        <f t="shared" si="47"/>
        <v/>
      </c>
      <c r="FI137" s="45" t="str">
        <f t="shared" si="48"/>
        <v/>
      </c>
      <c r="FJ137" s="53"/>
      <c r="FK137" s="53"/>
      <c r="FL137" s="63"/>
      <c r="FM137" s="63" t="str">
        <f>IF($A137="","",SUMIFS('Consumable Usage'!$E:$E,'Consumable Usage'!$A:$A,$A137,'Consumable Usage'!$D:$D,16))</f>
        <v/>
      </c>
      <c r="FN137" s="63" t="str">
        <f>IF($A137="","",SUMIFS('Nursing Charges'!$I:$I,'Nursing Charges'!$A:$A,$A137,'Nursing Charges'!$C:$C,16))</f>
        <v/>
      </c>
      <c r="FO137" s="63" t="str">
        <f>IF($A137="","",FL137+(FN137-SUMIFS('Nursing Charges'!$J:$J,'Nursing Charges'!$A:$A,$A137,'Nursing Charges'!$C:$C,16))+(FM137-SUMIFS('Consumable Usage'!$F:$F,'Consumable Usage'!$A:$A,$A137,'Consumable Usage'!$D:$D,16)))</f>
        <v/>
      </c>
      <c r="FP137" s="63" t="str">
        <f t="shared" si="49"/>
        <v/>
      </c>
      <c r="FQ137" s="63"/>
      <c r="FR137" s="63" t="str">
        <f t="shared" si="50"/>
        <v/>
      </c>
      <c r="FS137" s="53" t="str">
        <f t="shared" si="51"/>
        <v/>
      </c>
    </row>
    <row r="138" ht="15.0" customHeight="1">
      <c r="A138" s="15"/>
      <c r="B138" s="15"/>
      <c r="C138" s="15"/>
      <c r="D138" s="15"/>
      <c r="E138" s="15"/>
      <c r="F138" s="15"/>
      <c r="G138" s="15"/>
      <c r="H138" s="20"/>
      <c r="I138" s="12" t="str">
        <f>IF($A138="","",SUMIFS('Consumable Usage'!$E:$E,'Consumable Usage'!$A:$A,$A138,'Consumable Usage'!$D:$D,1))</f>
        <v/>
      </c>
      <c r="J138" s="12" t="str">
        <f>IF($A138="","",SUMIFS('Nursing Charges'!$I:$I,'Nursing Charges'!$A:$A,$A138,'Nursing Charges'!$C:$C,1))</f>
        <v/>
      </c>
      <c r="K138" s="12" t="str">
        <f>IF($A138="","",H138+(J138-SUMIFS('Nursing Charges'!$J:$J,'Nursing Charges'!$A:$A,$A138,'Nursing Charges'!$C:$C,1))+(I138-SUMIFS('Consumable Usage'!$F:$F,'Consumable Usage'!$A:$A,$A138,'Consumable Usage'!$D:$D,1)))</f>
        <v/>
      </c>
      <c r="L138" s="12" t="str">
        <f t="shared" si="1"/>
        <v/>
      </c>
      <c r="M138" s="20"/>
      <c r="N138" s="12" t="str">
        <f t="shared" si="2"/>
        <v/>
      </c>
      <c r="O138" s="45" t="str">
        <f t="shared" si="3"/>
        <v/>
      </c>
      <c r="P138" s="15"/>
      <c r="Q138" s="15"/>
      <c r="R138" s="20"/>
      <c r="S138" s="12" t="str">
        <f>IF($A138="","",SUMIFS('Consumable Usage'!$E:$E,'Consumable Usage'!$A:$A,$A138,'Consumable Usage'!$D:$D,2))</f>
        <v/>
      </c>
      <c r="T138" s="12" t="str">
        <f>IF($A138="","",SUMIFS('Nursing Charges'!$I:$I,'Nursing Charges'!$A:$A,$A138,'Nursing Charges'!$C:$C,2))</f>
        <v/>
      </c>
      <c r="U138" s="12" t="str">
        <f>IF($A138="","",R138+(T138-SUMIFS('Nursing Charges'!$J:$J,'Nursing Charges'!$A:$A,$A138,'Nursing Charges'!$C:$C,2))+(S138-SUMIFS('Consumable Usage'!$F:$F,'Consumable Usage'!$A:$A,$A138,'Consumable Usage'!$D:$D,2)))</f>
        <v/>
      </c>
      <c r="V138" s="12" t="str">
        <f t="shared" si="4"/>
        <v/>
      </c>
      <c r="W138" s="20"/>
      <c r="X138" s="12" t="str">
        <f t="shared" si="5"/>
        <v/>
      </c>
      <c r="Y138" s="45" t="str">
        <f t="shared" si="6"/>
        <v/>
      </c>
      <c r="Z138" s="15"/>
      <c r="AA138" s="15"/>
      <c r="AB138" s="20"/>
      <c r="AC138" s="12" t="str">
        <f>IF($A138="","",SUMIFS('Consumable Usage'!$E:$E,'Consumable Usage'!$A:$A,$A138,'Consumable Usage'!$D:$D,3))</f>
        <v/>
      </c>
      <c r="AD138" s="12" t="str">
        <f>IF($A138="","",SUMIFS('Nursing Charges'!$I:$I,'Nursing Charges'!$A:$A,$A138,'Nursing Charges'!$C:$C,3))</f>
        <v/>
      </c>
      <c r="AE138" s="12" t="str">
        <f>IF($A138="","",AB138+(AD138-SUMIFS('Nursing Charges'!$J:$J,'Nursing Charges'!$A:$A,$A138,'Nursing Charges'!$C:$C,3))+(AC138-SUMIFS('Consumable Usage'!$F:$F,'Consumable Usage'!$A:$A,$A138,'Consumable Usage'!$D:$D,3)))</f>
        <v/>
      </c>
      <c r="AF138" s="12" t="str">
        <f t="shared" si="7"/>
        <v/>
      </c>
      <c r="AG138" s="20"/>
      <c r="AH138" s="12" t="str">
        <f t="shared" si="8"/>
        <v/>
      </c>
      <c r="AI138" s="45" t="str">
        <f t="shared" si="9"/>
        <v/>
      </c>
      <c r="AJ138" s="15"/>
      <c r="AK138" s="15"/>
      <c r="AL138" s="20"/>
      <c r="AM138" s="12" t="str">
        <f>IF($A138="","",SUMIFS('Consumable Usage'!$E:$E,'Consumable Usage'!$A:$A,$A138,'Consumable Usage'!$D:$D,4))</f>
        <v/>
      </c>
      <c r="AN138" s="12" t="str">
        <f>IF($A138="","",SUMIFS('Nursing Charges'!$I:$I,'Nursing Charges'!$A:$A,$A138,'Nursing Charges'!$C:$C,4))</f>
        <v/>
      </c>
      <c r="AO138" s="12" t="str">
        <f>IF($A138="","",AL138+(AN138-SUMIFS('Nursing Charges'!$J:$J,'Nursing Charges'!$A:$A,$A138,'Nursing Charges'!$C:$C,4))+(AM138-SUMIFS('Consumable Usage'!$F:$F,'Consumable Usage'!$A:$A,$A138,'Consumable Usage'!$D:$D,4)))</f>
        <v/>
      </c>
      <c r="AP138" s="12" t="str">
        <f t="shared" si="10"/>
        <v/>
      </c>
      <c r="AQ138" s="20"/>
      <c r="AR138" s="12" t="str">
        <f t="shared" si="11"/>
        <v/>
      </c>
      <c r="AS138" s="45" t="str">
        <f t="shared" si="12"/>
        <v/>
      </c>
      <c r="AT138" s="15"/>
      <c r="AU138" s="15"/>
      <c r="AV138" s="20"/>
      <c r="AW138" s="12" t="str">
        <f>IF($A138="","",SUMIFS('Consumable Usage'!$E:$E,'Consumable Usage'!$A:$A,$A138,'Consumable Usage'!$D:$D,5))</f>
        <v/>
      </c>
      <c r="AX138" s="12" t="str">
        <f>IF($A138="","",SUMIFS('Nursing Charges'!$I:$I,'Nursing Charges'!$A:$A,$A138,'Nursing Charges'!$C:$C,5))</f>
        <v/>
      </c>
      <c r="AY138" s="12" t="str">
        <f>IF($A138="","",AV138+(AX138-SUMIFS('Nursing Charges'!$J:$J,'Nursing Charges'!$A:$A,$A138,'Nursing Charges'!$C:$C,5))+(AW138-SUMIFS('Consumable Usage'!$F:$F,'Consumable Usage'!$A:$A,$A138,'Consumable Usage'!$D:$D,5)))</f>
        <v/>
      </c>
      <c r="AZ138" s="12" t="str">
        <f t="shared" si="13"/>
        <v/>
      </c>
      <c r="BA138" s="20"/>
      <c r="BB138" s="12" t="str">
        <f t="shared" si="14"/>
        <v/>
      </c>
      <c r="BC138" s="45" t="str">
        <f t="shared" si="15"/>
        <v/>
      </c>
      <c r="BD138" s="15"/>
      <c r="BE138" s="15"/>
      <c r="BF138" s="20"/>
      <c r="BG138" s="12" t="str">
        <f>IF($A138="","",SUMIFS('Consumable Usage'!$E:$E,'Consumable Usage'!$A:$A,$A138,'Consumable Usage'!$D:$D,6))</f>
        <v/>
      </c>
      <c r="BH138" s="12" t="str">
        <f>IF($A138="","",SUMIFS('Nursing Charges'!$I:$I,'Nursing Charges'!$A:$A,$A138,'Nursing Charges'!$C:$C,6))</f>
        <v/>
      </c>
      <c r="BI138" s="12" t="str">
        <f>IF($A138="","",BF138+(BH138-SUMIFS('Nursing Charges'!$J:$J,'Nursing Charges'!$A:$A,$A138,'Nursing Charges'!$C:$C,6))+(BG138-SUMIFS('Consumable Usage'!$F:$F,'Consumable Usage'!$A:$A,$A138,'Consumable Usage'!$D:$D,6)))</f>
        <v/>
      </c>
      <c r="BJ138" s="12" t="str">
        <f t="shared" si="16"/>
        <v/>
      </c>
      <c r="BK138" s="20"/>
      <c r="BL138" s="12" t="str">
        <f t="shared" si="17"/>
        <v/>
      </c>
      <c r="BM138" s="45" t="str">
        <f t="shared" si="18"/>
        <v/>
      </c>
      <c r="BN138" s="15"/>
      <c r="BO138" s="15"/>
      <c r="BP138" s="20"/>
      <c r="BQ138" s="12" t="str">
        <f>IF($A138="","",SUMIFS('Consumable Usage'!$E:$E,'Consumable Usage'!$A:$A,$A138,'Consumable Usage'!$D:$D,7))</f>
        <v/>
      </c>
      <c r="BR138" s="12" t="str">
        <f>IF($A138="","",SUMIFS('Nursing Charges'!$I:$I,'Nursing Charges'!$A:$A,$A138,'Nursing Charges'!$C:$C,7))</f>
        <v/>
      </c>
      <c r="BS138" s="12" t="str">
        <f>IF($A138="","",BP138+(BR138-SUMIFS('Nursing Charges'!$J:$J,'Nursing Charges'!$A:$A,$A138,'Nursing Charges'!$C:$C,7))+(BQ138-SUMIFS('Consumable Usage'!$F:$F,'Consumable Usage'!$A:$A,$A138,'Consumable Usage'!$D:$D,7)))</f>
        <v/>
      </c>
      <c r="BT138" s="12" t="str">
        <f t="shared" si="19"/>
        <v/>
      </c>
      <c r="BU138" s="20"/>
      <c r="BV138" s="12" t="str">
        <f t="shared" si="20"/>
        <v/>
      </c>
      <c r="BW138" s="45" t="str">
        <f t="shared" si="21"/>
        <v/>
      </c>
      <c r="BX138" s="15"/>
      <c r="BY138" s="15"/>
      <c r="BZ138" s="20"/>
      <c r="CA138" s="12" t="str">
        <f>IF($A138="","",SUMIFS('Consumable Usage'!$E:$E,'Consumable Usage'!$A:$A,$A138,'Consumable Usage'!$D:$D,8))</f>
        <v/>
      </c>
      <c r="CB138" s="12" t="str">
        <f>IF($A138="","",SUMIFS('Nursing Charges'!$I:$I,'Nursing Charges'!$A:$A,$A138,'Nursing Charges'!$C:$C,8))</f>
        <v/>
      </c>
      <c r="CC138" s="12" t="str">
        <f>IF($A138="","",BZ138+(CB138-SUMIFS('Nursing Charges'!$J:$J,'Nursing Charges'!$A:$A,$A138,'Nursing Charges'!$C:$C,8))+(CA138-SUMIFS('Consumable Usage'!$F:$F,'Consumable Usage'!$A:$A,$A138,'Consumable Usage'!$D:$D,8)))</f>
        <v/>
      </c>
      <c r="CD138" s="12" t="str">
        <f t="shared" si="22"/>
        <v/>
      </c>
      <c r="CE138" s="20"/>
      <c r="CF138" s="12" t="str">
        <f t="shared" si="23"/>
        <v/>
      </c>
      <c r="CG138" s="45" t="str">
        <f t="shared" si="24"/>
        <v/>
      </c>
      <c r="CH138" s="15"/>
      <c r="CI138" s="15"/>
      <c r="CJ138" s="20"/>
      <c r="CK138" s="12" t="str">
        <f>IF($A138="","",SUMIFS('Consumable Usage'!$E:$E,'Consumable Usage'!$A:$A,$A138,'Consumable Usage'!$D:$D,9))</f>
        <v/>
      </c>
      <c r="CL138" s="12" t="str">
        <f>IF($A138="","",SUMIFS('Nursing Charges'!$I:$I,'Nursing Charges'!$A:$A,$A138,'Nursing Charges'!$C:$C,9))</f>
        <v/>
      </c>
      <c r="CM138" s="12" t="str">
        <f>IF($A138="","",CJ138+(CL138-SUMIFS('Nursing Charges'!$J:$J,'Nursing Charges'!$A:$A,$A138,'Nursing Charges'!$C:$C,9))+(CK138-SUMIFS('Consumable Usage'!$F:$F,'Consumable Usage'!$A:$A,$A138,'Consumable Usage'!$D:$D,9)))</f>
        <v/>
      </c>
      <c r="CN138" s="12" t="str">
        <f t="shared" si="25"/>
        <v/>
      </c>
      <c r="CO138" s="20"/>
      <c r="CP138" s="12" t="str">
        <f t="shared" si="26"/>
        <v/>
      </c>
      <c r="CQ138" s="45" t="str">
        <f t="shared" si="27"/>
        <v/>
      </c>
      <c r="CR138" s="15"/>
      <c r="CS138" s="15"/>
      <c r="CT138" s="20"/>
      <c r="CU138" s="12" t="str">
        <f>IF($A138="","",SUMIFS('Consumable Usage'!$E:$E,'Consumable Usage'!$A:$A,$A138,'Consumable Usage'!$D:$D,10))</f>
        <v/>
      </c>
      <c r="CV138" s="12" t="str">
        <f>IF($A138="","",SUMIFS('Nursing Charges'!$I:$I,'Nursing Charges'!$A:$A,$A138,'Nursing Charges'!$C:$C,10))</f>
        <v/>
      </c>
      <c r="CW138" s="12" t="str">
        <f>IF($A138="","",CT138+(CV138-SUMIFS('Nursing Charges'!$J:$J,'Nursing Charges'!$A:$A,$A138,'Nursing Charges'!$C:$C,10))+(CU138-SUMIFS('Consumable Usage'!$F:$F,'Consumable Usage'!$A:$A,$A138,'Consumable Usage'!$D:$D,10)))</f>
        <v/>
      </c>
      <c r="CX138" s="12" t="str">
        <f t="shared" si="28"/>
        <v/>
      </c>
      <c r="CY138" s="20"/>
      <c r="CZ138" s="12" t="str">
        <f t="shared" si="29"/>
        <v/>
      </c>
      <c r="DA138" s="45" t="str">
        <f t="shared" si="30"/>
        <v/>
      </c>
      <c r="DB138" s="15"/>
      <c r="DC138" s="15"/>
      <c r="DD138" s="20"/>
      <c r="DE138" s="12" t="str">
        <f>IF($A138="","",SUMIFS('Consumable Usage'!$E:$E,'Consumable Usage'!$A:$A,$A138,'Consumable Usage'!$D:$D,11))</f>
        <v/>
      </c>
      <c r="DF138" s="12" t="str">
        <f>IF($A138="","",SUMIFS('Nursing Charges'!$I:$I,'Nursing Charges'!$A:$A,$A138,'Nursing Charges'!$C:$C,11))</f>
        <v/>
      </c>
      <c r="DG138" s="12" t="str">
        <f>IF($A138="","",DD138+(DF138-SUMIFS('Nursing Charges'!$J:$J,'Nursing Charges'!$A:$A,$A138,'Nursing Charges'!$C:$C,11))+(DE138-SUMIFS('Consumable Usage'!$F:$F,'Consumable Usage'!$A:$A,$A138,'Consumable Usage'!$D:$D,11)))</f>
        <v/>
      </c>
      <c r="DH138" s="12" t="str">
        <f t="shared" si="31"/>
        <v/>
      </c>
      <c r="DI138" s="20"/>
      <c r="DJ138" s="12" t="str">
        <f t="shared" si="32"/>
        <v/>
      </c>
      <c r="DK138" s="45" t="str">
        <f t="shared" si="33"/>
        <v/>
      </c>
      <c r="DL138" s="15"/>
      <c r="DM138" s="15"/>
      <c r="DN138" s="20"/>
      <c r="DO138" s="12" t="str">
        <f>IF($A138="","",SUMIFS('Consumable Usage'!$E:$E,'Consumable Usage'!$A:$A,$A138,'Consumable Usage'!$D:$D,12))</f>
        <v/>
      </c>
      <c r="DP138" s="12" t="str">
        <f>IF($A138="","",SUMIFS('Nursing Charges'!$I:$I,'Nursing Charges'!$A:$A,$A138,'Nursing Charges'!$C:$C,12))</f>
        <v/>
      </c>
      <c r="DQ138" s="12" t="str">
        <f>IF($A138="","",DN138+(DP138-SUMIFS('Nursing Charges'!$J:$J,'Nursing Charges'!$A:$A,$A138,'Nursing Charges'!$C:$C,12))+(DO138-SUMIFS('Consumable Usage'!$F:$F,'Consumable Usage'!$A:$A,$A138,'Consumable Usage'!$D:$D,12)))</f>
        <v/>
      </c>
      <c r="DR138" s="12" t="str">
        <f t="shared" si="34"/>
        <v/>
      </c>
      <c r="DS138" s="20"/>
      <c r="DT138" s="12" t="str">
        <f t="shared" si="35"/>
        <v/>
      </c>
      <c r="DU138" s="45" t="str">
        <f t="shared" si="36"/>
        <v/>
      </c>
      <c r="DV138" s="15"/>
      <c r="DW138" s="15"/>
      <c r="DX138" s="20"/>
      <c r="DY138" s="12" t="str">
        <f>IF($A138="","",SUMIFS('Consumable Usage'!$E:$E,'Consumable Usage'!$A:$A,$A138,'Consumable Usage'!$D:$D,13))</f>
        <v/>
      </c>
      <c r="DZ138" s="12" t="str">
        <f>IF($A138="","",SUMIFS('Nursing Charges'!$I:$I,'Nursing Charges'!$A:$A,$A138,'Nursing Charges'!$C:$C,13))</f>
        <v/>
      </c>
      <c r="EA138" s="12" t="str">
        <f>IF($A138="","",DX138+(DZ138-SUMIFS('Nursing Charges'!$J:$J,'Nursing Charges'!$A:$A,$A138,'Nursing Charges'!$C:$C,13))+(DY138-SUMIFS('Consumable Usage'!$F:$F,'Consumable Usage'!$A:$A,$A138,'Consumable Usage'!$D:$D,13)))</f>
        <v/>
      </c>
      <c r="EB138" s="12" t="str">
        <f t="shared" si="37"/>
        <v/>
      </c>
      <c r="EC138" s="20"/>
      <c r="ED138" s="12" t="str">
        <f t="shared" si="38"/>
        <v/>
      </c>
      <c r="EE138" s="45" t="str">
        <f t="shared" si="39"/>
        <v/>
      </c>
      <c r="EF138" s="15"/>
      <c r="EG138" s="15"/>
      <c r="EH138" s="20"/>
      <c r="EI138" s="12" t="str">
        <f>IF($A138="","",SUMIFS('Consumable Usage'!$E:$E,'Consumable Usage'!$A:$A,$A138,'Consumable Usage'!$D:$D,14))</f>
        <v/>
      </c>
      <c r="EJ138" s="12" t="str">
        <f>IF($A138="","",SUMIFS('Nursing Charges'!$I:$I,'Nursing Charges'!$A:$A,$A138,'Nursing Charges'!$C:$C,14))</f>
        <v/>
      </c>
      <c r="EK138" s="12" t="str">
        <f>IF($A138="","",EH138+(EJ138-SUMIFS('Nursing Charges'!$J:$J,'Nursing Charges'!$A:$A,$A138,'Nursing Charges'!$C:$C,14))+(EI138-SUMIFS('Consumable Usage'!$F:$F,'Consumable Usage'!$A:$A,$A138,'Consumable Usage'!$D:$D,14)))</f>
        <v/>
      </c>
      <c r="EL138" s="12" t="str">
        <f t="shared" si="40"/>
        <v/>
      </c>
      <c r="EM138" s="20"/>
      <c r="EN138" s="12" t="str">
        <f t="shared" si="41"/>
        <v/>
      </c>
      <c r="EO138" s="45" t="str">
        <f t="shared" si="42"/>
        <v/>
      </c>
      <c r="EP138" s="15"/>
      <c r="EQ138" s="15"/>
      <c r="ER138" s="20"/>
      <c r="ES138" s="12" t="str">
        <f>IF($A138="","",SUMIFS('Consumable Usage'!$E:$E,'Consumable Usage'!$A:$A,$A138,'Consumable Usage'!$D:$D,15))</f>
        <v/>
      </c>
      <c r="ET138" s="12" t="str">
        <f>IF($A138="","",SUMIFS('Nursing Charges'!$I:$I,'Nursing Charges'!$A:$A,$A138,'Nursing Charges'!$C:$C,15))</f>
        <v/>
      </c>
      <c r="EU138" s="12" t="str">
        <f>IF($A138="","",ER138+(ET138-SUMIFS('Nursing Charges'!$J:$J,'Nursing Charges'!$A:$A,$A138,'Nursing Charges'!$C:$C,15))+(ES138-SUMIFS('Consumable Usage'!$F:$F,'Consumable Usage'!$A:$A,$A138,'Consumable Usage'!$D:$D,15)))</f>
        <v/>
      </c>
      <c r="EV138" s="12" t="str">
        <f t="shared" si="43"/>
        <v/>
      </c>
      <c r="EW138" s="20"/>
      <c r="EX138" s="12" t="str">
        <f t="shared" si="44"/>
        <v/>
      </c>
      <c r="EY138" s="45" t="str">
        <f t="shared" si="45"/>
        <v/>
      </c>
      <c r="EZ138" s="15"/>
      <c r="FA138" s="15"/>
      <c r="FB138" s="20"/>
      <c r="FC138" s="12" t="str">
        <f>IF($A138="","",SUMIFS('Consumable Usage'!$E:$E,'Consumable Usage'!$A:$A,$A138,'Consumable Usage'!$D:$D,16))</f>
        <v/>
      </c>
      <c r="FD138" s="12" t="str">
        <f>IF($A138="","",SUMIFS('Nursing Charges'!$I:$I,'Nursing Charges'!$A:$A,$A138,'Nursing Charges'!$C:$C,16))</f>
        <v/>
      </c>
      <c r="FE138" s="12" t="str">
        <f>IF($A138="","",FB138+(FD138-SUMIFS('Nursing Charges'!$J:$J,'Nursing Charges'!$A:$A,$A138,'Nursing Charges'!$C:$C,16))+(FC138-SUMIFS('Consumable Usage'!$F:$F,'Consumable Usage'!$A:$A,$A138,'Consumable Usage'!$D:$D,16)))</f>
        <v/>
      </c>
      <c r="FF138" s="12" t="str">
        <f t="shared" si="46"/>
        <v/>
      </c>
      <c r="FG138" s="20"/>
      <c r="FH138" s="12" t="str">
        <f t="shared" si="47"/>
        <v/>
      </c>
      <c r="FI138" s="45" t="str">
        <f t="shared" si="48"/>
        <v/>
      </c>
      <c r="FJ138" s="53"/>
      <c r="FK138" s="53"/>
      <c r="FL138" s="63"/>
      <c r="FM138" s="63" t="str">
        <f>IF($A138="","",SUMIFS('Consumable Usage'!$E:$E,'Consumable Usage'!$A:$A,$A138,'Consumable Usage'!$D:$D,16))</f>
        <v/>
      </c>
      <c r="FN138" s="63" t="str">
        <f>IF($A138="","",SUMIFS('Nursing Charges'!$I:$I,'Nursing Charges'!$A:$A,$A138,'Nursing Charges'!$C:$C,16))</f>
        <v/>
      </c>
      <c r="FO138" s="63" t="str">
        <f>IF($A138="","",FL138+(FN138-SUMIFS('Nursing Charges'!$J:$J,'Nursing Charges'!$A:$A,$A138,'Nursing Charges'!$C:$C,16))+(FM138-SUMIFS('Consumable Usage'!$F:$F,'Consumable Usage'!$A:$A,$A138,'Consumable Usage'!$D:$D,16)))</f>
        <v/>
      </c>
      <c r="FP138" s="63" t="str">
        <f t="shared" si="49"/>
        <v/>
      </c>
      <c r="FQ138" s="63"/>
      <c r="FR138" s="63" t="str">
        <f t="shared" si="50"/>
        <v/>
      </c>
      <c r="FS138" s="53" t="str">
        <f t="shared" si="51"/>
        <v/>
      </c>
    </row>
    <row r="139" ht="15.0" customHeight="1">
      <c r="A139" s="15"/>
      <c r="B139" s="15"/>
      <c r="C139" s="15"/>
      <c r="D139" s="15"/>
      <c r="E139" s="15"/>
      <c r="F139" s="15"/>
      <c r="G139" s="15"/>
      <c r="H139" s="20"/>
      <c r="I139" s="12" t="str">
        <f>IF($A139="","",SUMIFS('Consumable Usage'!$E:$E,'Consumable Usage'!$A:$A,$A139,'Consumable Usage'!$D:$D,1))</f>
        <v/>
      </c>
      <c r="J139" s="12" t="str">
        <f>IF($A139="","",SUMIFS('Nursing Charges'!$I:$I,'Nursing Charges'!$A:$A,$A139,'Nursing Charges'!$C:$C,1))</f>
        <v/>
      </c>
      <c r="K139" s="12" t="str">
        <f>IF($A139="","",H139+(J139-SUMIFS('Nursing Charges'!$J:$J,'Nursing Charges'!$A:$A,$A139,'Nursing Charges'!$C:$C,1))+(I139-SUMIFS('Consumable Usage'!$F:$F,'Consumable Usage'!$A:$A,$A139,'Consumable Usage'!$D:$D,1)))</f>
        <v/>
      </c>
      <c r="L139" s="12" t="str">
        <f t="shared" si="1"/>
        <v/>
      </c>
      <c r="M139" s="20"/>
      <c r="N139" s="12" t="str">
        <f t="shared" si="2"/>
        <v/>
      </c>
      <c r="O139" s="45" t="str">
        <f t="shared" si="3"/>
        <v/>
      </c>
      <c r="P139" s="15"/>
      <c r="Q139" s="15"/>
      <c r="R139" s="20"/>
      <c r="S139" s="12" t="str">
        <f>IF($A139="","",SUMIFS('Consumable Usage'!$E:$E,'Consumable Usage'!$A:$A,$A139,'Consumable Usage'!$D:$D,2))</f>
        <v/>
      </c>
      <c r="T139" s="12" t="str">
        <f>IF($A139="","",SUMIFS('Nursing Charges'!$I:$I,'Nursing Charges'!$A:$A,$A139,'Nursing Charges'!$C:$C,2))</f>
        <v/>
      </c>
      <c r="U139" s="12" t="str">
        <f>IF($A139="","",R139+(T139-SUMIFS('Nursing Charges'!$J:$J,'Nursing Charges'!$A:$A,$A139,'Nursing Charges'!$C:$C,2))+(S139-SUMIFS('Consumable Usage'!$F:$F,'Consumable Usage'!$A:$A,$A139,'Consumable Usage'!$D:$D,2)))</f>
        <v/>
      </c>
      <c r="V139" s="12" t="str">
        <f t="shared" si="4"/>
        <v/>
      </c>
      <c r="W139" s="20"/>
      <c r="X139" s="12" t="str">
        <f t="shared" si="5"/>
        <v/>
      </c>
      <c r="Y139" s="45" t="str">
        <f t="shared" si="6"/>
        <v/>
      </c>
      <c r="Z139" s="15"/>
      <c r="AA139" s="15"/>
      <c r="AB139" s="20"/>
      <c r="AC139" s="12" t="str">
        <f>IF($A139="","",SUMIFS('Consumable Usage'!$E:$E,'Consumable Usage'!$A:$A,$A139,'Consumable Usage'!$D:$D,3))</f>
        <v/>
      </c>
      <c r="AD139" s="12" t="str">
        <f>IF($A139="","",SUMIFS('Nursing Charges'!$I:$I,'Nursing Charges'!$A:$A,$A139,'Nursing Charges'!$C:$C,3))</f>
        <v/>
      </c>
      <c r="AE139" s="12" t="str">
        <f>IF($A139="","",AB139+(AD139-SUMIFS('Nursing Charges'!$J:$J,'Nursing Charges'!$A:$A,$A139,'Nursing Charges'!$C:$C,3))+(AC139-SUMIFS('Consumable Usage'!$F:$F,'Consumable Usage'!$A:$A,$A139,'Consumable Usage'!$D:$D,3)))</f>
        <v/>
      </c>
      <c r="AF139" s="12" t="str">
        <f t="shared" si="7"/>
        <v/>
      </c>
      <c r="AG139" s="20"/>
      <c r="AH139" s="12" t="str">
        <f t="shared" si="8"/>
        <v/>
      </c>
      <c r="AI139" s="45" t="str">
        <f t="shared" si="9"/>
        <v/>
      </c>
      <c r="AJ139" s="15"/>
      <c r="AK139" s="15"/>
      <c r="AL139" s="20"/>
      <c r="AM139" s="12" t="str">
        <f>IF($A139="","",SUMIFS('Consumable Usage'!$E:$E,'Consumable Usage'!$A:$A,$A139,'Consumable Usage'!$D:$D,4))</f>
        <v/>
      </c>
      <c r="AN139" s="12" t="str">
        <f>IF($A139="","",SUMIFS('Nursing Charges'!$I:$I,'Nursing Charges'!$A:$A,$A139,'Nursing Charges'!$C:$C,4))</f>
        <v/>
      </c>
      <c r="AO139" s="12" t="str">
        <f>IF($A139="","",AL139+(AN139-SUMIFS('Nursing Charges'!$J:$J,'Nursing Charges'!$A:$A,$A139,'Nursing Charges'!$C:$C,4))+(AM139-SUMIFS('Consumable Usage'!$F:$F,'Consumable Usage'!$A:$A,$A139,'Consumable Usage'!$D:$D,4)))</f>
        <v/>
      </c>
      <c r="AP139" s="12" t="str">
        <f t="shared" si="10"/>
        <v/>
      </c>
      <c r="AQ139" s="20"/>
      <c r="AR139" s="12" t="str">
        <f t="shared" si="11"/>
        <v/>
      </c>
      <c r="AS139" s="45" t="str">
        <f t="shared" si="12"/>
        <v/>
      </c>
      <c r="AT139" s="15"/>
      <c r="AU139" s="15"/>
      <c r="AV139" s="20"/>
      <c r="AW139" s="12" t="str">
        <f>IF($A139="","",SUMIFS('Consumable Usage'!$E:$E,'Consumable Usage'!$A:$A,$A139,'Consumable Usage'!$D:$D,5))</f>
        <v/>
      </c>
      <c r="AX139" s="12" t="str">
        <f>IF($A139="","",SUMIFS('Nursing Charges'!$I:$I,'Nursing Charges'!$A:$A,$A139,'Nursing Charges'!$C:$C,5))</f>
        <v/>
      </c>
      <c r="AY139" s="12" t="str">
        <f>IF($A139="","",AV139+(AX139-SUMIFS('Nursing Charges'!$J:$J,'Nursing Charges'!$A:$A,$A139,'Nursing Charges'!$C:$C,5))+(AW139-SUMIFS('Consumable Usage'!$F:$F,'Consumable Usage'!$A:$A,$A139,'Consumable Usage'!$D:$D,5)))</f>
        <v/>
      </c>
      <c r="AZ139" s="12" t="str">
        <f t="shared" si="13"/>
        <v/>
      </c>
      <c r="BA139" s="20"/>
      <c r="BB139" s="12" t="str">
        <f t="shared" si="14"/>
        <v/>
      </c>
      <c r="BC139" s="45" t="str">
        <f t="shared" si="15"/>
        <v/>
      </c>
      <c r="BD139" s="15"/>
      <c r="BE139" s="15"/>
      <c r="BF139" s="20"/>
      <c r="BG139" s="12" t="str">
        <f>IF($A139="","",SUMIFS('Consumable Usage'!$E:$E,'Consumable Usage'!$A:$A,$A139,'Consumable Usage'!$D:$D,6))</f>
        <v/>
      </c>
      <c r="BH139" s="12" t="str">
        <f>IF($A139="","",SUMIFS('Nursing Charges'!$I:$I,'Nursing Charges'!$A:$A,$A139,'Nursing Charges'!$C:$C,6))</f>
        <v/>
      </c>
      <c r="BI139" s="12" t="str">
        <f>IF($A139="","",BF139+(BH139-SUMIFS('Nursing Charges'!$J:$J,'Nursing Charges'!$A:$A,$A139,'Nursing Charges'!$C:$C,6))+(BG139-SUMIFS('Consumable Usage'!$F:$F,'Consumable Usage'!$A:$A,$A139,'Consumable Usage'!$D:$D,6)))</f>
        <v/>
      </c>
      <c r="BJ139" s="12" t="str">
        <f t="shared" si="16"/>
        <v/>
      </c>
      <c r="BK139" s="20"/>
      <c r="BL139" s="12" t="str">
        <f t="shared" si="17"/>
        <v/>
      </c>
      <c r="BM139" s="45" t="str">
        <f t="shared" si="18"/>
        <v/>
      </c>
      <c r="BN139" s="15"/>
      <c r="BO139" s="15"/>
      <c r="BP139" s="20"/>
      <c r="BQ139" s="12" t="str">
        <f>IF($A139="","",SUMIFS('Consumable Usage'!$E:$E,'Consumable Usage'!$A:$A,$A139,'Consumable Usage'!$D:$D,7))</f>
        <v/>
      </c>
      <c r="BR139" s="12" t="str">
        <f>IF($A139="","",SUMIFS('Nursing Charges'!$I:$I,'Nursing Charges'!$A:$A,$A139,'Nursing Charges'!$C:$C,7))</f>
        <v/>
      </c>
      <c r="BS139" s="12" t="str">
        <f>IF($A139="","",BP139+(BR139-SUMIFS('Nursing Charges'!$J:$J,'Nursing Charges'!$A:$A,$A139,'Nursing Charges'!$C:$C,7))+(BQ139-SUMIFS('Consumable Usage'!$F:$F,'Consumable Usage'!$A:$A,$A139,'Consumable Usage'!$D:$D,7)))</f>
        <v/>
      </c>
      <c r="BT139" s="12" t="str">
        <f t="shared" si="19"/>
        <v/>
      </c>
      <c r="BU139" s="20"/>
      <c r="BV139" s="12" t="str">
        <f t="shared" si="20"/>
        <v/>
      </c>
      <c r="BW139" s="45" t="str">
        <f t="shared" si="21"/>
        <v/>
      </c>
      <c r="BX139" s="15"/>
      <c r="BY139" s="15"/>
      <c r="BZ139" s="20"/>
      <c r="CA139" s="12" t="str">
        <f>IF($A139="","",SUMIFS('Consumable Usage'!$E:$E,'Consumable Usage'!$A:$A,$A139,'Consumable Usage'!$D:$D,8))</f>
        <v/>
      </c>
      <c r="CB139" s="12" t="str">
        <f>IF($A139="","",SUMIFS('Nursing Charges'!$I:$I,'Nursing Charges'!$A:$A,$A139,'Nursing Charges'!$C:$C,8))</f>
        <v/>
      </c>
      <c r="CC139" s="12" t="str">
        <f>IF($A139="","",BZ139+(CB139-SUMIFS('Nursing Charges'!$J:$J,'Nursing Charges'!$A:$A,$A139,'Nursing Charges'!$C:$C,8))+(CA139-SUMIFS('Consumable Usage'!$F:$F,'Consumable Usage'!$A:$A,$A139,'Consumable Usage'!$D:$D,8)))</f>
        <v/>
      </c>
      <c r="CD139" s="12" t="str">
        <f t="shared" si="22"/>
        <v/>
      </c>
      <c r="CE139" s="20"/>
      <c r="CF139" s="12" t="str">
        <f t="shared" si="23"/>
        <v/>
      </c>
      <c r="CG139" s="45" t="str">
        <f t="shared" si="24"/>
        <v/>
      </c>
      <c r="CH139" s="15"/>
      <c r="CI139" s="15"/>
      <c r="CJ139" s="20"/>
      <c r="CK139" s="12" t="str">
        <f>IF($A139="","",SUMIFS('Consumable Usage'!$E:$E,'Consumable Usage'!$A:$A,$A139,'Consumable Usage'!$D:$D,9))</f>
        <v/>
      </c>
      <c r="CL139" s="12" t="str">
        <f>IF($A139="","",SUMIFS('Nursing Charges'!$I:$I,'Nursing Charges'!$A:$A,$A139,'Nursing Charges'!$C:$C,9))</f>
        <v/>
      </c>
      <c r="CM139" s="12" t="str">
        <f>IF($A139="","",CJ139+(CL139-SUMIFS('Nursing Charges'!$J:$J,'Nursing Charges'!$A:$A,$A139,'Nursing Charges'!$C:$C,9))+(CK139-SUMIFS('Consumable Usage'!$F:$F,'Consumable Usage'!$A:$A,$A139,'Consumable Usage'!$D:$D,9)))</f>
        <v/>
      </c>
      <c r="CN139" s="12" t="str">
        <f t="shared" si="25"/>
        <v/>
      </c>
      <c r="CO139" s="20"/>
      <c r="CP139" s="12" t="str">
        <f t="shared" si="26"/>
        <v/>
      </c>
      <c r="CQ139" s="45" t="str">
        <f t="shared" si="27"/>
        <v/>
      </c>
      <c r="CR139" s="15"/>
      <c r="CS139" s="15"/>
      <c r="CT139" s="20"/>
      <c r="CU139" s="12" t="str">
        <f>IF($A139="","",SUMIFS('Consumable Usage'!$E:$E,'Consumable Usage'!$A:$A,$A139,'Consumable Usage'!$D:$D,10))</f>
        <v/>
      </c>
      <c r="CV139" s="12" t="str">
        <f>IF($A139="","",SUMIFS('Nursing Charges'!$I:$I,'Nursing Charges'!$A:$A,$A139,'Nursing Charges'!$C:$C,10))</f>
        <v/>
      </c>
      <c r="CW139" s="12" t="str">
        <f>IF($A139="","",CT139+(CV139-SUMIFS('Nursing Charges'!$J:$J,'Nursing Charges'!$A:$A,$A139,'Nursing Charges'!$C:$C,10))+(CU139-SUMIFS('Consumable Usage'!$F:$F,'Consumable Usage'!$A:$A,$A139,'Consumable Usage'!$D:$D,10)))</f>
        <v/>
      </c>
      <c r="CX139" s="12" t="str">
        <f t="shared" si="28"/>
        <v/>
      </c>
      <c r="CY139" s="20"/>
      <c r="CZ139" s="12" t="str">
        <f t="shared" si="29"/>
        <v/>
      </c>
      <c r="DA139" s="45" t="str">
        <f t="shared" si="30"/>
        <v/>
      </c>
      <c r="DB139" s="15"/>
      <c r="DC139" s="15"/>
      <c r="DD139" s="20"/>
      <c r="DE139" s="12" t="str">
        <f>IF($A139="","",SUMIFS('Consumable Usage'!$E:$E,'Consumable Usage'!$A:$A,$A139,'Consumable Usage'!$D:$D,11))</f>
        <v/>
      </c>
      <c r="DF139" s="12" t="str">
        <f>IF($A139="","",SUMIFS('Nursing Charges'!$I:$I,'Nursing Charges'!$A:$A,$A139,'Nursing Charges'!$C:$C,11))</f>
        <v/>
      </c>
      <c r="DG139" s="12" t="str">
        <f>IF($A139="","",DD139+(DF139-SUMIFS('Nursing Charges'!$J:$J,'Nursing Charges'!$A:$A,$A139,'Nursing Charges'!$C:$C,11))+(DE139-SUMIFS('Consumable Usage'!$F:$F,'Consumable Usage'!$A:$A,$A139,'Consumable Usage'!$D:$D,11)))</f>
        <v/>
      </c>
      <c r="DH139" s="12" t="str">
        <f t="shared" si="31"/>
        <v/>
      </c>
      <c r="DI139" s="20"/>
      <c r="DJ139" s="12" t="str">
        <f t="shared" si="32"/>
        <v/>
      </c>
      <c r="DK139" s="45" t="str">
        <f t="shared" si="33"/>
        <v/>
      </c>
      <c r="DL139" s="15"/>
      <c r="DM139" s="15"/>
      <c r="DN139" s="20"/>
      <c r="DO139" s="12" t="str">
        <f>IF($A139="","",SUMIFS('Consumable Usage'!$E:$E,'Consumable Usage'!$A:$A,$A139,'Consumable Usage'!$D:$D,12))</f>
        <v/>
      </c>
      <c r="DP139" s="12" t="str">
        <f>IF($A139="","",SUMIFS('Nursing Charges'!$I:$I,'Nursing Charges'!$A:$A,$A139,'Nursing Charges'!$C:$C,12))</f>
        <v/>
      </c>
      <c r="DQ139" s="12" t="str">
        <f>IF($A139="","",DN139+(DP139-SUMIFS('Nursing Charges'!$J:$J,'Nursing Charges'!$A:$A,$A139,'Nursing Charges'!$C:$C,12))+(DO139-SUMIFS('Consumable Usage'!$F:$F,'Consumable Usage'!$A:$A,$A139,'Consumable Usage'!$D:$D,12)))</f>
        <v/>
      </c>
      <c r="DR139" s="12" t="str">
        <f t="shared" si="34"/>
        <v/>
      </c>
      <c r="DS139" s="20"/>
      <c r="DT139" s="12" t="str">
        <f t="shared" si="35"/>
        <v/>
      </c>
      <c r="DU139" s="45" t="str">
        <f t="shared" si="36"/>
        <v/>
      </c>
      <c r="DV139" s="15"/>
      <c r="DW139" s="15"/>
      <c r="DX139" s="20"/>
      <c r="DY139" s="12" t="str">
        <f>IF($A139="","",SUMIFS('Consumable Usage'!$E:$E,'Consumable Usage'!$A:$A,$A139,'Consumable Usage'!$D:$D,13))</f>
        <v/>
      </c>
      <c r="DZ139" s="12" t="str">
        <f>IF($A139="","",SUMIFS('Nursing Charges'!$I:$I,'Nursing Charges'!$A:$A,$A139,'Nursing Charges'!$C:$C,13))</f>
        <v/>
      </c>
      <c r="EA139" s="12" t="str">
        <f>IF($A139="","",DX139+(DZ139-SUMIFS('Nursing Charges'!$J:$J,'Nursing Charges'!$A:$A,$A139,'Nursing Charges'!$C:$C,13))+(DY139-SUMIFS('Consumable Usage'!$F:$F,'Consumable Usage'!$A:$A,$A139,'Consumable Usage'!$D:$D,13)))</f>
        <v/>
      </c>
      <c r="EB139" s="12" t="str">
        <f t="shared" si="37"/>
        <v/>
      </c>
      <c r="EC139" s="20"/>
      <c r="ED139" s="12" t="str">
        <f t="shared" si="38"/>
        <v/>
      </c>
      <c r="EE139" s="45" t="str">
        <f t="shared" si="39"/>
        <v/>
      </c>
      <c r="EF139" s="15"/>
      <c r="EG139" s="15"/>
      <c r="EH139" s="20"/>
      <c r="EI139" s="12" t="str">
        <f>IF($A139="","",SUMIFS('Consumable Usage'!$E:$E,'Consumable Usage'!$A:$A,$A139,'Consumable Usage'!$D:$D,14))</f>
        <v/>
      </c>
      <c r="EJ139" s="12" t="str">
        <f>IF($A139="","",SUMIFS('Nursing Charges'!$I:$I,'Nursing Charges'!$A:$A,$A139,'Nursing Charges'!$C:$C,14))</f>
        <v/>
      </c>
      <c r="EK139" s="12" t="str">
        <f>IF($A139="","",EH139+(EJ139-SUMIFS('Nursing Charges'!$J:$J,'Nursing Charges'!$A:$A,$A139,'Nursing Charges'!$C:$C,14))+(EI139-SUMIFS('Consumable Usage'!$F:$F,'Consumable Usage'!$A:$A,$A139,'Consumable Usage'!$D:$D,14)))</f>
        <v/>
      </c>
      <c r="EL139" s="12" t="str">
        <f t="shared" si="40"/>
        <v/>
      </c>
      <c r="EM139" s="20"/>
      <c r="EN139" s="12" t="str">
        <f t="shared" si="41"/>
        <v/>
      </c>
      <c r="EO139" s="45" t="str">
        <f t="shared" si="42"/>
        <v/>
      </c>
      <c r="EP139" s="15"/>
      <c r="EQ139" s="15"/>
      <c r="ER139" s="20"/>
      <c r="ES139" s="12" t="str">
        <f>IF($A139="","",SUMIFS('Consumable Usage'!$E:$E,'Consumable Usage'!$A:$A,$A139,'Consumable Usage'!$D:$D,15))</f>
        <v/>
      </c>
      <c r="ET139" s="12" t="str">
        <f>IF($A139="","",SUMIFS('Nursing Charges'!$I:$I,'Nursing Charges'!$A:$A,$A139,'Nursing Charges'!$C:$C,15))</f>
        <v/>
      </c>
      <c r="EU139" s="12" t="str">
        <f>IF($A139="","",ER139+(ET139-SUMIFS('Nursing Charges'!$J:$J,'Nursing Charges'!$A:$A,$A139,'Nursing Charges'!$C:$C,15))+(ES139-SUMIFS('Consumable Usage'!$F:$F,'Consumable Usage'!$A:$A,$A139,'Consumable Usage'!$D:$D,15)))</f>
        <v/>
      </c>
      <c r="EV139" s="12" t="str">
        <f t="shared" si="43"/>
        <v/>
      </c>
      <c r="EW139" s="20"/>
      <c r="EX139" s="12" t="str">
        <f t="shared" si="44"/>
        <v/>
      </c>
      <c r="EY139" s="45" t="str">
        <f t="shared" si="45"/>
        <v/>
      </c>
      <c r="EZ139" s="15"/>
      <c r="FA139" s="15"/>
      <c r="FB139" s="20"/>
      <c r="FC139" s="12" t="str">
        <f>IF($A139="","",SUMIFS('Consumable Usage'!$E:$E,'Consumable Usage'!$A:$A,$A139,'Consumable Usage'!$D:$D,16))</f>
        <v/>
      </c>
      <c r="FD139" s="12" t="str">
        <f>IF($A139="","",SUMIFS('Nursing Charges'!$I:$I,'Nursing Charges'!$A:$A,$A139,'Nursing Charges'!$C:$C,16))</f>
        <v/>
      </c>
      <c r="FE139" s="12" t="str">
        <f>IF($A139="","",FB139+(FD139-SUMIFS('Nursing Charges'!$J:$J,'Nursing Charges'!$A:$A,$A139,'Nursing Charges'!$C:$C,16))+(FC139-SUMIFS('Consumable Usage'!$F:$F,'Consumable Usage'!$A:$A,$A139,'Consumable Usage'!$D:$D,16)))</f>
        <v/>
      </c>
      <c r="FF139" s="12" t="str">
        <f t="shared" si="46"/>
        <v/>
      </c>
      <c r="FG139" s="20"/>
      <c r="FH139" s="12" t="str">
        <f t="shared" si="47"/>
        <v/>
      </c>
      <c r="FI139" s="45" t="str">
        <f t="shared" si="48"/>
        <v/>
      </c>
      <c r="FJ139" s="53"/>
      <c r="FK139" s="53"/>
      <c r="FL139" s="63"/>
      <c r="FM139" s="63" t="str">
        <f>IF($A139="","",SUMIFS('Consumable Usage'!$E:$E,'Consumable Usage'!$A:$A,$A139,'Consumable Usage'!$D:$D,16))</f>
        <v/>
      </c>
      <c r="FN139" s="63" t="str">
        <f>IF($A139="","",SUMIFS('Nursing Charges'!$I:$I,'Nursing Charges'!$A:$A,$A139,'Nursing Charges'!$C:$C,16))</f>
        <v/>
      </c>
      <c r="FO139" s="63" t="str">
        <f>IF($A139="","",FL139+(FN139-SUMIFS('Nursing Charges'!$J:$J,'Nursing Charges'!$A:$A,$A139,'Nursing Charges'!$C:$C,16))+(FM139-SUMIFS('Consumable Usage'!$F:$F,'Consumable Usage'!$A:$A,$A139,'Consumable Usage'!$D:$D,16)))</f>
        <v/>
      </c>
      <c r="FP139" s="63" t="str">
        <f t="shared" si="49"/>
        <v/>
      </c>
      <c r="FQ139" s="63"/>
      <c r="FR139" s="63" t="str">
        <f t="shared" si="50"/>
        <v/>
      </c>
      <c r="FS139" s="53" t="str">
        <f t="shared" si="51"/>
        <v/>
      </c>
    </row>
    <row r="140" ht="15.0" customHeight="1">
      <c r="A140" s="15"/>
      <c r="B140" s="15"/>
      <c r="C140" s="15"/>
      <c r="D140" s="15"/>
      <c r="E140" s="15"/>
      <c r="F140" s="15"/>
      <c r="G140" s="15"/>
      <c r="H140" s="20"/>
      <c r="I140" s="12" t="str">
        <f>IF($A140="","",SUMIFS('Consumable Usage'!$E:$E,'Consumable Usage'!$A:$A,$A140,'Consumable Usage'!$D:$D,1))</f>
        <v/>
      </c>
      <c r="J140" s="12" t="str">
        <f>IF($A140="","",SUMIFS('Nursing Charges'!$I:$I,'Nursing Charges'!$A:$A,$A140,'Nursing Charges'!$C:$C,1))</f>
        <v/>
      </c>
      <c r="K140" s="12" t="str">
        <f>IF($A140="","",H140+(J140-SUMIFS('Nursing Charges'!$J:$J,'Nursing Charges'!$A:$A,$A140,'Nursing Charges'!$C:$C,1))+(I140-SUMIFS('Consumable Usage'!$F:$F,'Consumable Usage'!$A:$A,$A140,'Consumable Usage'!$D:$D,1)))</f>
        <v/>
      </c>
      <c r="L140" s="12" t="str">
        <f t="shared" si="1"/>
        <v/>
      </c>
      <c r="M140" s="20"/>
      <c r="N140" s="12" t="str">
        <f t="shared" si="2"/>
        <v/>
      </c>
      <c r="O140" s="45" t="str">
        <f t="shared" si="3"/>
        <v/>
      </c>
      <c r="P140" s="15"/>
      <c r="Q140" s="15"/>
      <c r="R140" s="20"/>
      <c r="S140" s="12" t="str">
        <f>IF($A140="","",SUMIFS('Consumable Usage'!$E:$E,'Consumable Usage'!$A:$A,$A140,'Consumable Usage'!$D:$D,2))</f>
        <v/>
      </c>
      <c r="T140" s="12" t="str">
        <f>IF($A140="","",SUMIFS('Nursing Charges'!$I:$I,'Nursing Charges'!$A:$A,$A140,'Nursing Charges'!$C:$C,2))</f>
        <v/>
      </c>
      <c r="U140" s="12" t="str">
        <f>IF($A140="","",R140+(T140-SUMIFS('Nursing Charges'!$J:$J,'Nursing Charges'!$A:$A,$A140,'Nursing Charges'!$C:$C,2))+(S140-SUMIFS('Consumable Usage'!$F:$F,'Consumable Usage'!$A:$A,$A140,'Consumable Usage'!$D:$D,2)))</f>
        <v/>
      </c>
      <c r="V140" s="12" t="str">
        <f t="shared" si="4"/>
        <v/>
      </c>
      <c r="W140" s="20"/>
      <c r="X140" s="12" t="str">
        <f t="shared" si="5"/>
        <v/>
      </c>
      <c r="Y140" s="45" t="str">
        <f t="shared" si="6"/>
        <v/>
      </c>
      <c r="Z140" s="15"/>
      <c r="AA140" s="15"/>
      <c r="AB140" s="20"/>
      <c r="AC140" s="12" t="str">
        <f>IF($A140="","",SUMIFS('Consumable Usage'!$E:$E,'Consumable Usage'!$A:$A,$A140,'Consumable Usage'!$D:$D,3))</f>
        <v/>
      </c>
      <c r="AD140" s="12" t="str">
        <f>IF($A140="","",SUMIFS('Nursing Charges'!$I:$I,'Nursing Charges'!$A:$A,$A140,'Nursing Charges'!$C:$C,3))</f>
        <v/>
      </c>
      <c r="AE140" s="12" t="str">
        <f>IF($A140="","",AB140+(AD140-SUMIFS('Nursing Charges'!$J:$J,'Nursing Charges'!$A:$A,$A140,'Nursing Charges'!$C:$C,3))+(AC140-SUMIFS('Consumable Usage'!$F:$F,'Consumable Usage'!$A:$A,$A140,'Consumable Usage'!$D:$D,3)))</f>
        <v/>
      </c>
      <c r="AF140" s="12" t="str">
        <f t="shared" si="7"/>
        <v/>
      </c>
      <c r="AG140" s="20"/>
      <c r="AH140" s="12" t="str">
        <f t="shared" si="8"/>
        <v/>
      </c>
      <c r="AI140" s="45" t="str">
        <f t="shared" si="9"/>
        <v/>
      </c>
      <c r="AJ140" s="15"/>
      <c r="AK140" s="15"/>
      <c r="AL140" s="20"/>
      <c r="AM140" s="12" t="str">
        <f>IF($A140="","",SUMIFS('Consumable Usage'!$E:$E,'Consumable Usage'!$A:$A,$A140,'Consumable Usage'!$D:$D,4))</f>
        <v/>
      </c>
      <c r="AN140" s="12" t="str">
        <f>IF($A140="","",SUMIFS('Nursing Charges'!$I:$I,'Nursing Charges'!$A:$A,$A140,'Nursing Charges'!$C:$C,4))</f>
        <v/>
      </c>
      <c r="AO140" s="12" t="str">
        <f>IF($A140="","",AL140+(AN140-SUMIFS('Nursing Charges'!$J:$J,'Nursing Charges'!$A:$A,$A140,'Nursing Charges'!$C:$C,4))+(AM140-SUMIFS('Consumable Usage'!$F:$F,'Consumable Usage'!$A:$A,$A140,'Consumable Usage'!$D:$D,4)))</f>
        <v/>
      </c>
      <c r="AP140" s="12" t="str">
        <f t="shared" si="10"/>
        <v/>
      </c>
      <c r="AQ140" s="20"/>
      <c r="AR140" s="12" t="str">
        <f t="shared" si="11"/>
        <v/>
      </c>
      <c r="AS140" s="45" t="str">
        <f t="shared" si="12"/>
        <v/>
      </c>
      <c r="AT140" s="15"/>
      <c r="AU140" s="15"/>
      <c r="AV140" s="20"/>
      <c r="AW140" s="12" t="str">
        <f>IF($A140="","",SUMIFS('Consumable Usage'!$E:$E,'Consumable Usage'!$A:$A,$A140,'Consumable Usage'!$D:$D,5))</f>
        <v/>
      </c>
      <c r="AX140" s="12" t="str">
        <f>IF($A140="","",SUMIFS('Nursing Charges'!$I:$I,'Nursing Charges'!$A:$A,$A140,'Nursing Charges'!$C:$C,5))</f>
        <v/>
      </c>
      <c r="AY140" s="12" t="str">
        <f>IF($A140="","",AV140+(AX140-SUMIFS('Nursing Charges'!$J:$J,'Nursing Charges'!$A:$A,$A140,'Nursing Charges'!$C:$C,5))+(AW140-SUMIFS('Consumable Usage'!$F:$F,'Consumable Usage'!$A:$A,$A140,'Consumable Usage'!$D:$D,5)))</f>
        <v/>
      </c>
      <c r="AZ140" s="12" t="str">
        <f t="shared" si="13"/>
        <v/>
      </c>
      <c r="BA140" s="20"/>
      <c r="BB140" s="12" t="str">
        <f t="shared" si="14"/>
        <v/>
      </c>
      <c r="BC140" s="45" t="str">
        <f t="shared" si="15"/>
        <v/>
      </c>
      <c r="BD140" s="15"/>
      <c r="BE140" s="15"/>
      <c r="BF140" s="20"/>
      <c r="BG140" s="12" t="str">
        <f>IF($A140="","",SUMIFS('Consumable Usage'!$E:$E,'Consumable Usage'!$A:$A,$A140,'Consumable Usage'!$D:$D,6))</f>
        <v/>
      </c>
      <c r="BH140" s="12" t="str">
        <f>IF($A140="","",SUMIFS('Nursing Charges'!$I:$I,'Nursing Charges'!$A:$A,$A140,'Nursing Charges'!$C:$C,6))</f>
        <v/>
      </c>
      <c r="BI140" s="12" t="str">
        <f>IF($A140="","",BF140+(BH140-SUMIFS('Nursing Charges'!$J:$J,'Nursing Charges'!$A:$A,$A140,'Nursing Charges'!$C:$C,6))+(BG140-SUMIFS('Consumable Usage'!$F:$F,'Consumable Usage'!$A:$A,$A140,'Consumable Usage'!$D:$D,6)))</f>
        <v/>
      </c>
      <c r="BJ140" s="12" t="str">
        <f t="shared" si="16"/>
        <v/>
      </c>
      <c r="BK140" s="20"/>
      <c r="BL140" s="12" t="str">
        <f t="shared" si="17"/>
        <v/>
      </c>
      <c r="BM140" s="45" t="str">
        <f t="shared" si="18"/>
        <v/>
      </c>
      <c r="BN140" s="15"/>
      <c r="BO140" s="15"/>
      <c r="BP140" s="20"/>
      <c r="BQ140" s="12" t="str">
        <f>IF($A140="","",SUMIFS('Consumable Usage'!$E:$E,'Consumable Usage'!$A:$A,$A140,'Consumable Usage'!$D:$D,7))</f>
        <v/>
      </c>
      <c r="BR140" s="12" t="str">
        <f>IF($A140="","",SUMIFS('Nursing Charges'!$I:$I,'Nursing Charges'!$A:$A,$A140,'Nursing Charges'!$C:$C,7))</f>
        <v/>
      </c>
      <c r="BS140" s="12" t="str">
        <f>IF($A140="","",BP140+(BR140-SUMIFS('Nursing Charges'!$J:$J,'Nursing Charges'!$A:$A,$A140,'Nursing Charges'!$C:$C,7))+(BQ140-SUMIFS('Consumable Usage'!$F:$F,'Consumable Usage'!$A:$A,$A140,'Consumable Usage'!$D:$D,7)))</f>
        <v/>
      </c>
      <c r="BT140" s="12" t="str">
        <f t="shared" si="19"/>
        <v/>
      </c>
      <c r="BU140" s="20"/>
      <c r="BV140" s="12" t="str">
        <f t="shared" si="20"/>
        <v/>
      </c>
      <c r="BW140" s="45" t="str">
        <f t="shared" si="21"/>
        <v/>
      </c>
      <c r="BX140" s="15"/>
      <c r="BY140" s="15"/>
      <c r="BZ140" s="20"/>
      <c r="CA140" s="12" t="str">
        <f>IF($A140="","",SUMIFS('Consumable Usage'!$E:$E,'Consumable Usage'!$A:$A,$A140,'Consumable Usage'!$D:$D,8))</f>
        <v/>
      </c>
      <c r="CB140" s="12" t="str">
        <f>IF($A140="","",SUMIFS('Nursing Charges'!$I:$I,'Nursing Charges'!$A:$A,$A140,'Nursing Charges'!$C:$C,8))</f>
        <v/>
      </c>
      <c r="CC140" s="12" t="str">
        <f>IF($A140="","",BZ140+(CB140-SUMIFS('Nursing Charges'!$J:$J,'Nursing Charges'!$A:$A,$A140,'Nursing Charges'!$C:$C,8))+(CA140-SUMIFS('Consumable Usage'!$F:$F,'Consumable Usage'!$A:$A,$A140,'Consumable Usage'!$D:$D,8)))</f>
        <v/>
      </c>
      <c r="CD140" s="12" t="str">
        <f t="shared" si="22"/>
        <v/>
      </c>
      <c r="CE140" s="20"/>
      <c r="CF140" s="12" t="str">
        <f t="shared" si="23"/>
        <v/>
      </c>
      <c r="CG140" s="45" t="str">
        <f t="shared" si="24"/>
        <v/>
      </c>
      <c r="CH140" s="15"/>
      <c r="CI140" s="15"/>
      <c r="CJ140" s="20"/>
      <c r="CK140" s="12" t="str">
        <f>IF($A140="","",SUMIFS('Consumable Usage'!$E:$E,'Consumable Usage'!$A:$A,$A140,'Consumable Usage'!$D:$D,9))</f>
        <v/>
      </c>
      <c r="CL140" s="12" t="str">
        <f>IF($A140="","",SUMIFS('Nursing Charges'!$I:$I,'Nursing Charges'!$A:$A,$A140,'Nursing Charges'!$C:$C,9))</f>
        <v/>
      </c>
      <c r="CM140" s="12" t="str">
        <f>IF($A140="","",CJ140+(CL140-SUMIFS('Nursing Charges'!$J:$J,'Nursing Charges'!$A:$A,$A140,'Nursing Charges'!$C:$C,9))+(CK140-SUMIFS('Consumable Usage'!$F:$F,'Consumable Usage'!$A:$A,$A140,'Consumable Usage'!$D:$D,9)))</f>
        <v/>
      </c>
      <c r="CN140" s="12" t="str">
        <f t="shared" si="25"/>
        <v/>
      </c>
      <c r="CO140" s="20"/>
      <c r="CP140" s="12" t="str">
        <f t="shared" si="26"/>
        <v/>
      </c>
      <c r="CQ140" s="45" t="str">
        <f t="shared" si="27"/>
        <v/>
      </c>
      <c r="CR140" s="15"/>
      <c r="CS140" s="15"/>
      <c r="CT140" s="20"/>
      <c r="CU140" s="12" t="str">
        <f>IF($A140="","",SUMIFS('Consumable Usage'!$E:$E,'Consumable Usage'!$A:$A,$A140,'Consumable Usage'!$D:$D,10))</f>
        <v/>
      </c>
      <c r="CV140" s="12" t="str">
        <f>IF($A140="","",SUMIFS('Nursing Charges'!$I:$I,'Nursing Charges'!$A:$A,$A140,'Nursing Charges'!$C:$C,10))</f>
        <v/>
      </c>
      <c r="CW140" s="12" t="str">
        <f>IF($A140="","",CT140+(CV140-SUMIFS('Nursing Charges'!$J:$J,'Nursing Charges'!$A:$A,$A140,'Nursing Charges'!$C:$C,10))+(CU140-SUMIFS('Consumable Usage'!$F:$F,'Consumable Usage'!$A:$A,$A140,'Consumable Usage'!$D:$D,10)))</f>
        <v/>
      </c>
      <c r="CX140" s="12" t="str">
        <f t="shared" si="28"/>
        <v/>
      </c>
      <c r="CY140" s="20"/>
      <c r="CZ140" s="12" t="str">
        <f t="shared" si="29"/>
        <v/>
      </c>
      <c r="DA140" s="45" t="str">
        <f t="shared" si="30"/>
        <v/>
      </c>
      <c r="DB140" s="15"/>
      <c r="DC140" s="15"/>
      <c r="DD140" s="20"/>
      <c r="DE140" s="12" t="str">
        <f>IF($A140="","",SUMIFS('Consumable Usage'!$E:$E,'Consumable Usage'!$A:$A,$A140,'Consumable Usage'!$D:$D,11))</f>
        <v/>
      </c>
      <c r="DF140" s="12" t="str">
        <f>IF($A140="","",SUMIFS('Nursing Charges'!$I:$I,'Nursing Charges'!$A:$A,$A140,'Nursing Charges'!$C:$C,11))</f>
        <v/>
      </c>
      <c r="DG140" s="12" t="str">
        <f>IF($A140="","",DD140+(DF140-SUMIFS('Nursing Charges'!$J:$J,'Nursing Charges'!$A:$A,$A140,'Nursing Charges'!$C:$C,11))+(DE140-SUMIFS('Consumable Usage'!$F:$F,'Consumable Usage'!$A:$A,$A140,'Consumable Usage'!$D:$D,11)))</f>
        <v/>
      </c>
      <c r="DH140" s="12" t="str">
        <f t="shared" si="31"/>
        <v/>
      </c>
      <c r="DI140" s="20"/>
      <c r="DJ140" s="12" t="str">
        <f t="shared" si="32"/>
        <v/>
      </c>
      <c r="DK140" s="45" t="str">
        <f t="shared" si="33"/>
        <v/>
      </c>
      <c r="DL140" s="15"/>
      <c r="DM140" s="15"/>
      <c r="DN140" s="20"/>
      <c r="DO140" s="12" t="str">
        <f>IF($A140="","",SUMIFS('Consumable Usage'!$E:$E,'Consumable Usage'!$A:$A,$A140,'Consumable Usage'!$D:$D,12))</f>
        <v/>
      </c>
      <c r="DP140" s="12" t="str">
        <f>IF($A140="","",SUMIFS('Nursing Charges'!$I:$I,'Nursing Charges'!$A:$A,$A140,'Nursing Charges'!$C:$C,12))</f>
        <v/>
      </c>
      <c r="DQ140" s="12" t="str">
        <f>IF($A140="","",DN140+(DP140-SUMIFS('Nursing Charges'!$J:$J,'Nursing Charges'!$A:$A,$A140,'Nursing Charges'!$C:$C,12))+(DO140-SUMIFS('Consumable Usage'!$F:$F,'Consumable Usage'!$A:$A,$A140,'Consumable Usage'!$D:$D,12)))</f>
        <v/>
      </c>
      <c r="DR140" s="12" t="str">
        <f t="shared" si="34"/>
        <v/>
      </c>
      <c r="DS140" s="20"/>
      <c r="DT140" s="12" t="str">
        <f t="shared" si="35"/>
        <v/>
      </c>
      <c r="DU140" s="45" t="str">
        <f t="shared" si="36"/>
        <v/>
      </c>
      <c r="DV140" s="15"/>
      <c r="DW140" s="15"/>
      <c r="DX140" s="20"/>
      <c r="DY140" s="12" t="str">
        <f>IF($A140="","",SUMIFS('Consumable Usage'!$E:$E,'Consumable Usage'!$A:$A,$A140,'Consumable Usage'!$D:$D,13))</f>
        <v/>
      </c>
      <c r="DZ140" s="12" t="str">
        <f>IF($A140="","",SUMIFS('Nursing Charges'!$I:$I,'Nursing Charges'!$A:$A,$A140,'Nursing Charges'!$C:$C,13))</f>
        <v/>
      </c>
      <c r="EA140" s="12" t="str">
        <f>IF($A140="","",DX140+(DZ140-SUMIFS('Nursing Charges'!$J:$J,'Nursing Charges'!$A:$A,$A140,'Nursing Charges'!$C:$C,13))+(DY140-SUMIFS('Consumable Usage'!$F:$F,'Consumable Usage'!$A:$A,$A140,'Consumable Usage'!$D:$D,13)))</f>
        <v/>
      </c>
      <c r="EB140" s="12" t="str">
        <f t="shared" si="37"/>
        <v/>
      </c>
      <c r="EC140" s="20"/>
      <c r="ED140" s="12" t="str">
        <f t="shared" si="38"/>
        <v/>
      </c>
      <c r="EE140" s="45" t="str">
        <f t="shared" si="39"/>
        <v/>
      </c>
      <c r="EF140" s="15"/>
      <c r="EG140" s="15"/>
      <c r="EH140" s="20"/>
      <c r="EI140" s="12" t="str">
        <f>IF($A140="","",SUMIFS('Consumable Usage'!$E:$E,'Consumable Usage'!$A:$A,$A140,'Consumable Usage'!$D:$D,14))</f>
        <v/>
      </c>
      <c r="EJ140" s="12" t="str">
        <f>IF($A140="","",SUMIFS('Nursing Charges'!$I:$I,'Nursing Charges'!$A:$A,$A140,'Nursing Charges'!$C:$C,14))</f>
        <v/>
      </c>
      <c r="EK140" s="12" t="str">
        <f>IF($A140="","",EH140+(EJ140-SUMIFS('Nursing Charges'!$J:$J,'Nursing Charges'!$A:$A,$A140,'Nursing Charges'!$C:$C,14))+(EI140-SUMIFS('Consumable Usage'!$F:$F,'Consumable Usage'!$A:$A,$A140,'Consumable Usage'!$D:$D,14)))</f>
        <v/>
      </c>
      <c r="EL140" s="12" t="str">
        <f t="shared" si="40"/>
        <v/>
      </c>
      <c r="EM140" s="20"/>
      <c r="EN140" s="12" t="str">
        <f t="shared" si="41"/>
        <v/>
      </c>
      <c r="EO140" s="45" t="str">
        <f t="shared" si="42"/>
        <v/>
      </c>
      <c r="EP140" s="15"/>
      <c r="EQ140" s="15"/>
      <c r="ER140" s="20"/>
      <c r="ES140" s="12" t="str">
        <f>IF($A140="","",SUMIFS('Consumable Usage'!$E:$E,'Consumable Usage'!$A:$A,$A140,'Consumable Usage'!$D:$D,15))</f>
        <v/>
      </c>
      <c r="ET140" s="12" t="str">
        <f>IF($A140="","",SUMIFS('Nursing Charges'!$I:$I,'Nursing Charges'!$A:$A,$A140,'Nursing Charges'!$C:$C,15))</f>
        <v/>
      </c>
      <c r="EU140" s="12" t="str">
        <f>IF($A140="","",ER140+(ET140-SUMIFS('Nursing Charges'!$J:$J,'Nursing Charges'!$A:$A,$A140,'Nursing Charges'!$C:$C,15))+(ES140-SUMIFS('Consumable Usage'!$F:$F,'Consumable Usage'!$A:$A,$A140,'Consumable Usage'!$D:$D,15)))</f>
        <v/>
      </c>
      <c r="EV140" s="12" t="str">
        <f t="shared" si="43"/>
        <v/>
      </c>
      <c r="EW140" s="20"/>
      <c r="EX140" s="12" t="str">
        <f t="shared" si="44"/>
        <v/>
      </c>
      <c r="EY140" s="45" t="str">
        <f t="shared" si="45"/>
        <v/>
      </c>
      <c r="EZ140" s="15"/>
      <c r="FA140" s="15"/>
      <c r="FB140" s="20"/>
      <c r="FC140" s="12" t="str">
        <f>IF($A140="","",SUMIFS('Consumable Usage'!$E:$E,'Consumable Usage'!$A:$A,$A140,'Consumable Usage'!$D:$D,16))</f>
        <v/>
      </c>
      <c r="FD140" s="12" t="str">
        <f>IF($A140="","",SUMIFS('Nursing Charges'!$I:$I,'Nursing Charges'!$A:$A,$A140,'Nursing Charges'!$C:$C,16))</f>
        <v/>
      </c>
      <c r="FE140" s="12" t="str">
        <f>IF($A140="","",FB140+(FD140-SUMIFS('Nursing Charges'!$J:$J,'Nursing Charges'!$A:$A,$A140,'Nursing Charges'!$C:$C,16))+(FC140-SUMIFS('Consumable Usage'!$F:$F,'Consumable Usage'!$A:$A,$A140,'Consumable Usage'!$D:$D,16)))</f>
        <v/>
      </c>
      <c r="FF140" s="12" t="str">
        <f t="shared" si="46"/>
        <v/>
      </c>
      <c r="FG140" s="20"/>
      <c r="FH140" s="12" t="str">
        <f t="shared" si="47"/>
        <v/>
      </c>
      <c r="FI140" s="45" t="str">
        <f t="shared" si="48"/>
        <v/>
      </c>
      <c r="FJ140" s="53"/>
      <c r="FK140" s="53"/>
      <c r="FL140" s="63"/>
      <c r="FM140" s="63" t="str">
        <f>IF($A140="","",SUMIFS('Consumable Usage'!$E:$E,'Consumable Usage'!$A:$A,$A140,'Consumable Usage'!$D:$D,16))</f>
        <v/>
      </c>
      <c r="FN140" s="63" t="str">
        <f>IF($A140="","",SUMIFS('Nursing Charges'!$I:$I,'Nursing Charges'!$A:$A,$A140,'Nursing Charges'!$C:$C,16))</f>
        <v/>
      </c>
      <c r="FO140" s="63" t="str">
        <f>IF($A140="","",FL140+(FN140-SUMIFS('Nursing Charges'!$J:$J,'Nursing Charges'!$A:$A,$A140,'Nursing Charges'!$C:$C,16))+(FM140-SUMIFS('Consumable Usage'!$F:$F,'Consumable Usage'!$A:$A,$A140,'Consumable Usage'!$D:$D,16)))</f>
        <v/>
      </c>
      <c r="FP140" s="63" t="str">
        <f t="shared" si="49"/>
        <v/>
      </c>
      <c r="FQ140" s="63"/>
      <c r="FR140" s="63" t="str">
        <f t="shared" si="50"/>
        <v/>
      </c>
      <c r="FS140" s="53" t="str">
        <f t="shared" si="51"/>
        <v/>
      </c>
    </row>
    <row r="141" ht="15.0" customHeight="1">
      <c r="A141" s="15"/>
      <c r="B141" s="15"/>
      <c r="C141" s="15"/>
      <c r="D141" s="15"/>
      <c r="E141" s="15"/>
      <c r="F141" s="15"/>
      <c r="G141" s="15"/>
      <c r="H141" s="20"/>
      <c r="I141" s="12" t="str">
        <f>IF($A141="","",SUMIFS('Consumable Usage'!$E:$E,'Consumable Usage'!$A:$A,$A141,'Consumable Usage'!$D:$D,1))</f>
        <v/>
      </c>
      <c r="J141" s="12" t="str">
        <f>IF($A141="","",SUMIFS('Nursing Charges'!$I:$I,'Nursing Charges'!$A:$A,$A141,'Nursing Charges'!$C:$C,1))</f>
        <v/>
      </c>
      <c r="K141" s="12" t="str">
        <f>IF($A141="","",H141+(J141-SUMIFS('Nursing Charges'!$J:$J,'Nursing Charges'!$A:$A,$A141,'Nursing Charges'!$C:$C,1))+(I141-SUMIFS('Consumable Usage'!$F:$F,'Consumable Usage'!$A:$A,$A141,'Consumable Usage'!$D:$D,1)))</f>
        <v/>
      </c>
      <c r="L141" s="12" t="str">
        <f t="shared" si="1"/>
        <v/>
      </c>
      <c r="M141" s="20"/>
      <c r="N141" s="12" t="str">
        <f t="shared" si="2"/>
        <v/>
      </c>
      <c r="O141" s="45" t="str">
        <f t="shared" si="3"/>
        <v/>
      </c>
      <c r="P141" s="15"/>
      <c r="Q141" s="15"/>
      <c r="R141" s="20"/>
      <c r="S141" s="12" t="str">
        <f>IF($A141="","",SUMIFS('Consumable Usage'!$E:$E,'Consumable Usage'!$A:$A,$A141,'Consumable Usage'!$D:$D,2))</f>
        <v/>
      </c>
      <c r="T141" s="12" t="str">
        <f>IF($A141="","",SUMIFS('Nursing Charges'!$I:$I,'Nursing Charges'!$A:$A,$A141,'Nursing Charges'!$C:$C,2))</f>
        <v/>
      </c>
      <c r="U141" s="12" t="str">
        <f>IF($A141="","",R141+(T141-SUMIFS('Nursing Charges'!$J:$J,'Nursing Charges'!$A:$A,$A141,'Nursing Charges'!$C:$C,2))+(S141-SUMIFS('Consumable Usage'!$F:$F,'Consumable Usage'!$A:$A,$A141,'Consumable Usage'!$D:$D,2)))</f>
        <v/>
      </c>
      <c r="V141" s="12" t="str">
        <f t="shared" si="4"/>
        <v/>
      </c>
      <c r="W141" s="20"/>
      <c r="X141" s="12" t="str">
        <f t="shared" si="5"/>
        <v/>
      </c>
      <c r="Y141" s="45" t="str">
        <f t="shared" si="6"/>
        <v/>
      </c>
      <c r="Z141" s="15"/>
      <c r="AA141" s="15"/>
      <c r="AB141" s="20"/>
      <c r="AC141" s="12" t="str">
        <f>IF($A141="","",SUMIFS('Consumable Usage'!$E:$E,'Consumable Usage'!$A:$A,$A141,'Consumable Usage'!$D:$D,3))</f>
        <v/>
      </c>
      <c r="AD141" s="12" t="str">
        <f>IF($A141="","",SUMIFS('Nursing Charges'!$I:$I,'Nursing Charges'!$A:$A,$A141,'Nursing Charges'!$C:$C,3))</f>
        <v/>
      </c>
      <c r="AE141" s="12" t="str">
        <f>IF($A141="","",AB141+(AD141-SUMIFS('Nursing Charges'!$J:$J,'Nursing Charges'!$A:$A,$A141,'Nursing Charges'!$C:$C,3))+(AC141-SUMIFS('Consumable Usage'!$F:$F,'Consumable Usage'!$A:$A,$A141,'Consumable Usage'!$D:$D,3)))</f>
        <v/>
      </c>
      <c r="AF141" s="12" t="str">
        <f t="shared" si="7"/>
        <v/>
      </c>
      <c r="AG141" s="20"/>
      <c r="AH141" s="12" t="str">
        <f t="shared" si="8"/>
        <v/>
      </c>
      <c r="AI141" s="45" t="str">
        <f t="shared" si="9"/>
        <v/>
      </c>
      <c r="AJ141" s="15"/>
      <c r="AK141" s="15"/>
      <c r="AL141" s="20"/>
      <c r="AM141" s="12" t="str">
        <f>IF($A141="","",SUMIFS('Consumable Usage'!$E:$E,'Consumable Usage'!$A:$A,$A141,'Consumable Usage'!$D:$D,4))</f>
        <v/>
      </c>
      <c r="AN141" s="12" t="str">
        <f>IF($A141="","",SUMIFS('Nursing Charges'!$I:$I,'Nursing Charges'!$A:$A,$A141,'Nursing Charges'!$C:$C,4))</f>
        <v/>
      </c>
      <c r="AO141" s="12" t="str">
        <f>IF($A141="","",AL141+(AN141-SUMIFS('Nursing Charges'!$J:$J,'Nursing Charges'!$A:$A,$A141,'Nursing Charges'!$C:$C,4))+(AM141-SUMIFS('Consumable Usage'!$F:$F,'Consumable Usage'!$A:$A,$A141,'Consumable Usage'!$D:$D,4)))</f>
        <v/>
      </c>
      <c r="AP141" s="12" t="str">
        <f t="shared" si="10"/>
        <v/>
      </c>
      <c r="AQ141" s="20"/>
      <c r="AR141" s="12" t="str">
        <f t="shared" si="11"/>
        <v/>
      </c>
      <c r="AS141" s="45" t="str">
        <f t="shared" si="12"/>
        <v/>
      </c>
      <c r="AT141" s="15"/>
      <c r="AU141" s="15"/>
      <c r="AV141" s="20"/>
      <c r="AW141" s="12" t="str">
        <f>IF($A141="","",SUMIFS('Consumable Usage'!$E:$E,'Consumable Usage'!$A:$A,$A141,'Consumable Usage'!$D:$D,5))</f>
        <v/>
      </c>
      <c r="AX141" s="12" t="str">
        <f>IF($A141="","",SUMIFS('Nursing Charges'!$I:$I,'Nursing Charges'!$A:$A,$A141,'Nursing Charges'!$C:$C,5))</f>
        <v/>
      </c>
      <c r="AY141" s="12" t="str">
        <f>IF($A141="","",AV141+(AX141-SUMIFS('Nursing Charges'!$J:$J,'Nursing Charges'!$A:$A,$A141,'Nursing Charges'!$C:$C,5))+(AW141-SUMIFS('Consumable Usage'!$F:$F,'Consumable Usage'!$A:$A,$A141,'Consumable Usage'!$D:$D,5)))</f>
        <v/>
      </c>
      <c r="AZ141" s="12" t="str">
        <f t="shared" si="13"/>
        <v/>
      </c>
      <c r="BA141" s="20"/>
      <c r="BB141" s="12" t="str">
        <f t="shared" si="14"/>
        <v/>
      </c>
      <c r="BC141" s="45" t="str">
        <f t="shared" si="15"/>
        <v/>
      </c>
      <c r="BD141" s="15"/>
      <c r="BE141" s="15"/>
      <c r="BF141" s="20"/>
      <c r="BG141" s="12" t="str">
        <f>IF($A141="","",SUMIFS('Consumable Usage'!$E:$E,'Consumable Usage'!$A:$A,$A141,'Consumable Usage'!$D:$D,6))</f>
        <v/>
      </c>
      <c r="BH141" s="12" t="str">
        <f>IF($A141="","",SUMIFS('Nursing Charges'!$I:$I,'Nursing Charges'!$A:$A,$A141,'Nursing Charges'!$C:$C,6))</f>
        <v/>
      </c>
      <c r="BI141" s="12" t="str">
        <f>IF($A141="","",BF141+(BH141-SUMIFS('Nursing Charges'!$J:$J,'Nursing Charges'!$A:$A,$A141,'Nursing Charges'!$C:$C,6))+(BG141-SUMIFS('Consumable Usage'!$F:$F,'Consumable Usage'!$A:$A,$A141,'Consumable Usage'!$D:$D,6)))</f>
        <v/>
      </c>
      <c r="BJ141" s="12" t="str">
        <f t="shared" si="16"/>
        <v/>
      </c>
      <c r="BK141" s="20"/>
      <c r="BL141" s="12" t="str">
        <f t="shared" si="17"/>
        <v/>
      </c>
      <c r="BM141" s="45" t="str">
        <f t="shared" si="18"/>
        <v/>
      </c>
      <c r="BN141" s="15"/>
      <c r="BO141" s="15"/>
      <c r="BP141" s="20"/>
      <c r="BQ141" s="12" t="str">
        <f>IF($A141="","",SUMIFS('Consumable Usage'!$E:$E,'Consumable Usage'!$A:$A,$A141,'Consumable Usage'!$D:$D,7))</f>
        <v/>
      </c>
      <c r="BR141" s="12" t="str">
        <f>IF($A141="","",SUMIFS('Nursing Charges'!$I:$I,'Nursing Charges'!$A:$A,$A141,'Nursing Charges'!$C:$C,7))</f>
        <v/>
      </c>
      <c r="BS141" s="12" t="str">
        <f>IF($A141="","",BP141+(BR141-SUMIFS('Nursing Charges'!$J:$J,'Nursing Charges'!$A:$A,$A141,'Nursing Charges'!$C:$C,7))+(BQ141-SUMIFS('Consumable Usage'!$F:$F,'Consumable Usage'!$A:$A,$A141,'Consumable Usage'!$D:$D,7)))</f>
        <v/>
      </c>
      <c r="BT141" s="12" t="str">
        <f t="shared" si="19"/>
        <v/>
      </c>
      <c r="BU141" s="20"/>
      <c r="BV141" s="12" t="str">
        <f t="shared" si="20"/>
        <v/>
      </c>
      <c r="BW141" s="45" t="str">
        <f t="shared" si="21"/>
        <v/>
      </c>
      <c r="BX141" s="15"/>
      <c r="BY141" s="15"/>
      <c r="BZ141" s="20"/>
      <c r="CA141" s="12" t="str">
        <f>IF($A141="","",SUMIFS('Consumable Usage'!$E:$E,'Consumable Usage'!$A:$A,$A141,'Consumable Usage'!$D:$D,8))</f>
        <v/>
      </c>
      <c r="CB141" s="12" t="str">
        <f>IF($A141="","",SUMIFS('Nursing Charges'!$I:$I,'Nursing Charges'!$A:$A,$A141,'Nursing Charges'!$C:$C,8))</f>
        <v/>
      </c>
      <c r="CC141" s="12" t="str">
        <f>IF($A141="","",BZ141+(CB141-SUMIFS('Nursing Charges'!$J:$J,'Nursing Charges'!$A:$A,$A141,'Nursing Charges'!$C:$C,8))+(CA141-SUMIFS('Consumable Usage'!$F:$F,'Consumable Usage'!$A:$A,$A141,'Consumable Usage'!$D:$D,8)))</f>
        <v/>
      </c>
      <c r="CD141" s="12" t="str">
        <f t="shared" si="22"/>
        <v/>
      </c>
      <c r="CE141" s="20"/>
      <c r="CF141" s="12" t="str">
        <f t="shared" si="23"/>
        <v/>
      </c>
      <c r="CG141" s="45" t="str">
        <f t="shared" si="24"/>
        <v/>
      </c>
      <c r="CH141" s="15"/>
      <c r="CI141" s="15"/>
      <c r="CJ141" s="20"/>
      <c r="CK141" s="12" t="str">
        <f>IF($A141="","",SUMIFS('Consumable Usage'!$E:$E,'Consumable Usage'!$A:$A,$A141,'Consumable Usage'!$D:$D,9))</f>
        <v/>
      </c>
      <c r="CL141" s="12" t="str">
        <f>IF($A141="","",SUMIFS('Nursing Charges'!$I:$I,'Nursing Charges'!$A:$A,$A141,'Nursing Charges'!$C:$C,9))</f>
        <v/>
      </c>
      <c r="CM141" s="12" t="str">
        <f>IF($A141="","",CJ141+(CL141-SUMIFS('Nursing Charges'!$J:$J,'Nursing Charges'!$A:$A,$A141,'Nursing Charges'!$C:$C,9))+(CK141-SUMIFS('Consumable Usage'!$F:$F,'Consumable Usage'!$A:$A,$A141,'Consumable Usage'!$D:$D,9)))</f>
        <v/>
      </c>
      <c r="CN141" s="12" t="str">
        <f t="shared" si="25"/>
        <v/>
      </c>
      <c r="CO141" s="20"/>
      <c r="CP141" s="12" t="str">
        <f t="shared" si="26"/>
        <v/>
      </c>
      <c r="CQ141" s="45" t="str">
        <f t="shared" si="27"/>
        <v/>
      </c>
      <c r="CR141" s="15"/>
      <c r="CS141" s="15"/>
      <c r="CT141" s="20"/>
      <c r="CU141" s="12" t="str">
        <f>IF($A141="","",SUMIFS('Consumable Usage'!$E:$E,'Consumable Usage'!$A:$A,$A141,'Consumable Usage'!$D:$D,10))</f>
        <v/>
      </c>
      <c r="CV141" s="12" t="str">
        <f>IF($A141="","",SUMIFS('Nursing Charges'!$I:$I,'Nursing Charges'!$A:$A,$A141,'Nursing Charges'!$C:$C,10))</f>
        <v/>
      </c>
      <c r="CW141" s="12" t="str">
        <f>IF($A141="","",CT141+(CV141-SUMIFS('Nursing Charges'!$J:$J,'Nursing Charges'!$A:$A,$A141,'Nursing Charges'!$C:$C,10))+(CU141-SUMIFS('Consumable Usage'!$F:$F,'Consumable Usage'!$A:$A,$A141,'Consumable Usage'!$D:$D,10)))</f>
        <v/>
      </c>
      <c r="CX141" s="12" t="str">
        <f t="shared" si="28"/>
        <v/>
      </c>
      <c r="CY141" s="20"/>
      <c r="CZ141" s="12" t="str">
        <f t="shared" si="29"/>
        <v/>
      </c>
      <c r="DA141" s="45" t="str">
        <f t="shared" si="30"/>
        <v/>
      </c>
      <c r="DB141" s="15"/>
      <c r="DC141" s="15"/>
      <c r="DD141" s="20"/>
      <c r="DE141" s="12" t="str">
        <f>IF($A141="","",SUMIFS('Consumable Usage'!$E:$E,'Consumable Usage'!$A:$A,$A141,'Consumable Usage'!$D:$D,11))</f>
        <v/>
      </c>
      <c r="DF141" s="12" t="str">
        <f>IF($A141="","",SUMIFS('Nursing Charges'!$I:$I,'Nursing Charges'!$A:$A,$A141,'Nursing Charges'!$C:$C,11))</f>
        <v/>
      </c>
      <c r="DG141" s="12" t="str">
        <f>IF($A141="","",DD141+(DF141-SUMIFS('Nursing Charges'!$J:$J,'Nursing Charges'!$A:$A,$A141,'Nursing Charges'!$C:$C,11))+(DE141-SUMIFS('Consumable Usage'!$F:$F,'Consumable Usage'!$A:$A,$A141,'Consumable Usage'!$D:$D,11)))</f>
        <v/>
      </c>
      <c r="DH141" s="12" t="str">
        <f t="shared" si="31"/>
        <v/>
      </c>
      <c r="DI141" s="20"/>
      <c r="DJ141" s="12" t="str">
        <f t="shared" si="32"/>
        <v/>
      </c>
      <c r="DK141" s="45" t="str">
        <f t="shared" si="33"/>
        <v/>
      </c>
      <c r="DL141" s="15"/>
      <c r="DM141" s="15"/>
      <c r="DN141" s="20"/>
      <c r="DO141" s="12" t="str">
        <f>IF($A141="","",SUMIFS('Consumable Usage'!$E:$E,'Consumable Usage'!$A:$A,$A141,'Consumable Usage'!$D:$D,12))</f>
        <v/>
      </c>
      <c r="DP141" s="12" t="str">
        <f>IF($A141="","",SUMIFS('Nursing Charges'!$I:$I,'Nursing Charges'!$A:$A,$A141,'Nursing Charges'!$C:$C,12))</f>
        <v/>
      </c>
      <c r="DQ141" s="12" t="str">
        <f>IF($A141="","",DN141+(DP141-SUMIFS('Nursing Charges'!$J:$J,'Nursing Charges'!$A:$A,$A141,'Nursing Charges'!$C:$C,12))+(DO141-SUMIFS('Consumable Usage'!$F:$F,'Consumable Usage'!$A:$A,$A141,'Consumable Usage'!$D:$D,12)))</f>
        <v/>
      </c>
      <c r="DR141" s="12" t="str">
        <f t="shared" si="34"/>
        <v/>
      </c>
      <c r="DS141" s="20"/>
      <c r="DT141" s="12" t="str">
        <f t="shared" si="35"/>
        <v/>
      </c>
      <c r="DU141" s="45" t="str">
        <f t="shared" si="36"/>
        <v/>
      </c>
      <c r="DV141" s="15"/>
      <c r="DW141" s="15"/>
      <c r="DX141" s="20"/>
      <c r="DY141" s="12" t="str">
        <f>IF($A141="","",SUMIFS('Consumable Usage'!$E:$E,'Consumable Usage'!$A:$A,$A141,'Consumable Usage'!$D:$D,13))</f>
        <v/>
      </c>
      <c r="DZ141" s="12" t="str">
        <f>IF($A141="","",SUMIFS('Nursing Charges'!$I:$I,'Nursing Charges'!$A:$A,$A141,'Nursing Charges'!$C:$C,13))</f>
        <v/>
      </c>
      <c r="EA141" s="12" t="str">
        <f>IF($A141="","",DX141+(DZ141-SUMIFS('Nursing Charges'!$J:$J,'Nursing Charges'!$A:$A,$A141,'Nursing Charges'!$C:$C,13))+(DY141-SUMIFS('Consumable Usage'!$F:$F,'Consumable Usage'!$A:$A,$A141,'Consumable Usage'!$D:$D,13)))</f>
        <v/>
      </c>
      <c r="EB141" s="12" t="str">
        <f t="shared" si="37"/>
        <v/>
      </c>
      <c r="EC141" s="20"/>
      <c r="ED141" s="12" t="str">
        <f t="shared" si="38"/>
        <v/>
      </c>
      <c r="EE141" s="45" t="str">
        <f t="shared" si="39"/>
        <v/>
      </c>
      <c r="EF141" s="15"/>
      <c r="EG141" s="15"/>
      <c r="EH141" s="20"/>
      <c r="EI141" s="12" t="str">
        <f>IF($A141="","",SUMIFS('Consumable Usage'!$E:$E,'Consumable Usage'!$A:$A,$A141,'Consumable Usage'!$D:$D,14))</f>
        <v/>
      </c>
      <c r="EJ141" s="12" t="str">
        <f>IF($A141="","",SUMIFS('Nursing Charges'!$I:$I,'Nursing Charges'!$A:$A,$A141,'Nursing Charges'!$C:$C,14))</f>
        <v/>
      </c>
      <c r="EK141" s="12" t="str">
        <f>IF($A141="","",EH141+(EJ141-SUMIFS('Nursing Charges'!$J:$J,'Nursing Charges'!$A:$A,$A141,'Nursing Charges'!$C:$C,14))+(EI141-SUMIFS('Consumable Usage'!$F:$F,'Consumable Usage'!$A:$A,$A141,'Consumable Usage'!$D:$D,14)))</f>
        <v/>
      </c>
      <c r="EL141" s="12" t="str">
        <f t="shared" si="40"/>
        <v/>
      </c>
      <c r="EM141" s="20"/>
      <c r="EN141" s="12" t="str">
        <f t="shared" si="41"/>
        <v/>
      </c>
      <c r="EO141" s="45" t="str">
        <f t="shared" si="42"/>
        <v/>
      </c>
      <c r="EP141" s="15"/>
      <c r="EQ141" s="15"/>
      <c r="ER141" s="20"/>
      <c r="ES141" s="12" t="str">
        <f>IF($A141="","",SUMIFS('Consumable Usage'!$E:$E,'Consumable Usage'!$A:$A,$A141,'Consumable Usage'!$D:$D,15))</f>
        <v/>
      </c>
      <c r="ET141" s="12" t="str">
        <f>IF($A141="","",SUMIFS('Nursing Charges'!$I:$I,'Nursing Charges'!$A:$A,$A141,'Nursing Charges'!$C:$C,15))</f>
        <v/>
      </c>
      <c r="EU141" s="12" t="str">
        <f>IF($A141="","",ER141+(ET141-SUMIFS('Nursing Charges'!$J:$J,'Nursing Charges'!$A:$A,$A141,'Nursing Charges'!$C:$C,15))+(ES141-SUMIFS('Consumable Usage'!$F:$F,'Consumable Usage'!$A:$A,$A141,'Consumable Usage'!$D:$D,15)))</f>
        <v/>
      </c>
      <c r="EV141" s="12" t="str">
        <f t="shared" si="43"/>
        <v/>
      </c>
      <c r="EW141" s="20"/>
      <c r="EX141" s="12" t="str">
        <f t="shared" si="44"/>
        <v/>
      </c>
      <c r="EY141" s="45" t="str">
        <f t="shared" si="45"/>
        <v/>
      </c>
      <c r="EZ141" s="15"/>
      <c r="FA141" s="15"/>
      <c r="FB141" s="20"/>
      <c r="FC141" s="12" t="str">
        <f>IF($A141="","",SUMIFS('Consumable Usage'!$E:$E,'Consumable Usage'!$A:$A,$A141,'Consumable Usage'!$D:$D,16))</f>
        <v/>
      </c>
      <c r="FD141" s="12" t="str">
        <f>IF($A141="","",SUMIFS('Nursing Charges'!$I:$I,'Nursing Charges'!$A:$A,$A141,'Nursing Charges'!$C:$C,16))</f>
        <v/>
      </c>
      <c r="FE141" s="12" t="str">
        <f>IF($A141="","",FB141+(FD141-SUMIFS('Nursing Charges'!$J:$J,'Nursing Charges'!$A:$A,$A141,'Nursing Charges'!$C:$C,16))+(FC141-SUMIFS('Consumable Usage'!$F:$F,'Consumable Usage'!$A:$A,$A141,'Consumable Usage'!$D:$D,16)))</f>
        <v/>
      </c>
      <c r="FF141" s="12" t="str">
        <f t="shared" si="46"/>
        <v/>
      </c>
      <c r="FG141" s="20"/>
      <c r="FH141" s="12" t="str">
        <f t="shared" si="47"/>
        <v/>
      </c>
      <c r="FI141" s="45" t="str">
        <f t="shared" si="48"/>
        <v/>
      </c>
      <c r="FJ141" s="53"/>
      <c r="FK141" s="53"/>
      <c r="FL141" s="63"/>
      <c r="FM141" s="63" t="str">
        <f>IF($A141="","",SUMIFS('Consumable Usage'!$E:$E,'Consumable Usage'!$A:$A,$A141,'Consumable Usage'!$D:$D,16))</f>
        <v/>
      </c>
      <c r="FN141" s="63" t="str">
        <f>IF($A141="","",SUMIFS('Nursing Charges'!$I:$I,'Nursing Charges'!$A:$A,$A141,'Nursing Charges'!$C:$C,16))</f>
        <v/>
      </c>
      <c r="FO141" s="63" t="str">
        <f>IF($A141="","",FL141+(FN141-SUMIFS('Nursing Charges'!$J:$J,'Nursing Charges'!$A:$A,$A141,'Nursing Charges'!$C:$C,16))+(FM141-SUMIFS('Consumable Usage'!$F:$F,'Consumable Usage'!$A:$A,$A141,'Consumable Usage'!$D:$D,16)))</f>
        <v/>
      </c>
      <c r="FP141" s="63" t="str">
        <f t="shared" si="49"/>
        <v/>
      </c>
      <c r="FQ141" s="63"/>
      <c r="FR141" s="63" t="str">
        <f t="shared" si="50"/>
        <v/>
      </c>
      <c r="FS141" s="53" t="str">
        <f t="shared" si="51"/>
        <v/>
      </c>
    </row>
    <row r="142" ht="15.0" customHeight="1">
      <c r="A142" s="15"/>
      <c r="B142" s="15"/>
      <c r="C142" s="15"/>
      <c r="D142" s="15"/>
      <c r="E142" s="15"/>
      <c r="F142" s="15"/>
      <c r="G142" s="15"/>
      <c r="H142" s="20"/>
      <c r="I142" s="12" t="str">
        <f>IF($A142="","",SUMIFS('Consumable Usage'!$E:$E,'Consumable Usage'!$A:$A,$A142,'Consumable Usage'!$D:$D,1))</f>
        <v/>
      </c>
      <c r="J142" s="12" t="str">
        <f>IF($A142="","",SUMIFS('Nursing Charges'!$I:$I,'Nursing Charges'!$A:$A,$A142,'Nursing Charges'!$C:$C,1))</f>
        <v/>
      </c>
      <c r="K142" s="12" t="str">
        <f>IF($A142="","",H142+(J142-SUMIFS('Nursing Charges'!$J:$J,'Nursing Charges'!$A:$A,$A142,'Nursing Charges'!$C:$C,1))+(I142-SUMIFS('Consumable Usage'!$F:$F,'Consumable Usage'!$A:$A,$A142,'Consumable Usage'!$D:$D,1)))</f>
        <v/>
      </c>
      <c r="L142" s="12" t="str">
        <f t="shared" si="1"/>
        <v/>
      </c>
      <c r="M142" s="20"/>
      <c r="N142" s="12" t="str">
        <f t="shared" si="2"/>
        <v/>
      </c>
      <c r="O142" s="45" t="str">
        <f t="shared" si="3"/>
        <v/>
      </c>
      <c r="P142" s="15"/>
      <c r="Q142" s="15"/>
      <c r="R142" s="20"/>
      <c r="S142" s="12" t="str">
        <f>IF($A142="","",SUMIFS('Consumable Usage'!$E:$E,'Consumable Usage'!$A:$A,$A142,'Consumable Usage'!$D:$D,2))</f>
        <v/>
      </c>
      <c r="T142" s="12" t="str">
        <f>IF($A142="","",SUMIFS('Nursing Charges'!$I:$I,'Nursing Charges'!$A:$A,$A142,'Nursing Charges'!$C:$C,2))</f>
        <v/>
      </c>
      <c r="U142" s="12" t="str">
        <f>IF($A142="","",R142+(T142-SUMIFS('Nursing Charges'!$J:$J,'Nursing Charges'!$A:$A,$A142,'Nursing Charges'!$C:$C,2))+(S142-SUMIFS('Consumable Usage'!$F:$F,'Consumable Usage'!$A:$A,$A142,'Consumable Usage'!$D:$D,2)))</f>
        <v/>
      </c>
      <c r="V142" s="12" t="str">
        <f t="shared" si="4"/>
        <v/>
      </c>
      <c r="W142" s="20"/>
      <c r="X142" s="12" t="str">
        <f t="shared" si="5"/>
        <v/>
      </c>
      <c r="Y142" s="45" t="str">
        <f t="shared" si="6"/>
        <v/>
      </c>
      <c r="Z142" s="15"/>
      <c r="AA142" s="15"/>
      <c r="AB142" s="20"/>
      <c r="AC142" s="12" t="str">
        <f>IF($A142="","",SUMIFS('Consumable Usage'!$E:$E,'Consumable Usage'!$A:$A,$A142,'Consumable Usage'!$D:$D,3))</f>
        <v/>
      </c>
      <c r="AD142" s="12" t="str">
        <f>IF($A142="","",SUMIFS('Nursing Charges'!$I:$I,'Nursing Charges'!$A:$A,$A142,'Nursing Charges'!$C:$C,3))</f>
        <v/>
      </c>
      <c r="AE142" s="12" t="str">
        <f>IF($A142="","",AB142+(AD142-SUMIFS('Nursing Charges'!$J:$J,'Nursing Charges'!$A:$A,$A142,'Nursing Charges'!$C:$C,3))+(AC142-SUMIFS('Consumable Usage'!$F:$F,'Consumable Usage'!$A:$A,$A142,'Consumable Usage'!$D:$D,3)))</f>
        <v/>
      </c>
      <c r="AF142" s="12" t="str">
        <f t="shared" si="7"/>
        <v/>
      </c>
      <c r="AG142" s="20"/>
      <c r="AH142" s="12" t="str">
        <f t="shared" si="8"/>
        <v/>
      </c>
      <c r="AI142" s="45" t="str">
        <f t="shared" si="9"/>
        <v/>
      </c>
      <c r="AJ142" s="15"/>
      <c r="AK142" s="15"/>
      <c r="AL142" s="20"/>
      <c r="AM142" s="12" t="str">
        <f>IF($A142="","",SUMIFS('Consumable Usage'!$E:$E,'Consumable Usage'!$A:$A,$A142,'Consumable Usage'!$D:$D,4))</f>
        <v/>
      </c>
      <c r="AN142" s="12" t="str">
        <f>IF($A142="","",SUMIFS('Nursing Charges'!$I:$I,'Nursing Charges'!$A:$A,$A142,'Nursing Charges'!$C:$C,4))</f>
        <v/>
      </c>
      <c r="AO142" s="12" t="str">
        <f>IF($A142="","",AL142+(AN142-SUMIFS('Nursing Charges'!$J:$J,'Nursing Charges'!$A:$A,$A142,'Nursing Charges'!$C:$C,4))+(AM142-SUMIFS('Consumable Usage'!$F:$F,'Consumable Usage'!$A:$A,$A142,'Consumable Usage'!$D:$D,4)))</f>
        <v/>
      </c>
      <c r="AP142" s="12" t="str">
        <f t="shared" si="10"/>
        <v/>
      </c>
      <c r="AQ142" s="20"/>
      <c r="AR142" s="12" t="str">
        <f t="shared" si="11"/>
        <v/>
      </c>
      <c r="AS142" s="45" t="str">
        <f t="shared" si="12"/>
        <v/>
      </c>
      <c r="AT142" s="15"/>
      <c r="AU142" s="15"/>
      <c r="AV142" s="20"/>
      <c r="AW142" s="12" t="str">
        <f>IF($A142="","",SUMIFS('Consumable Usage'!$E:$E,'Consumable Usage'!$A:$A,$A142,'Consumable Usage'!$D:$D,5))</f>
        <v/>
      </c>
      <c r="AX142" s="12" t="str">
        <f>IF($A142="","",SUMIFS('Nursing Charges'!$I:$I,'Nursing Charges'!$A:$A,$A142,'Nursing Charges'!$C:$C,5))</f>
        <v/>
      </c>
      <c r="AY142" s="12" t="str">
        <f>IF($A142="","",AV142+(AX142-SUMIFS('Nursing Charges'!$J:$J,'Nursing Charges'!$A:$A,$A142,'Nursing Charges'!$C:$C,5))+(AW142-SUMIFS('Consumable Usage'!$F:$F,'Consumable Usage'!$A:$A,$A142,'Consumable Usage'!$D:$D,5)))</f>
        <v/>
      </c>
      <c r="AZ142" s="12" t="str">
        <f t="shared" si="13"/>
        <v/>
      </c>
      <c r="BA142" s="20"/>
      <c r="BB142" s="12" t="str">
        <f t="shared" si="14"/>
        <v/>
      </c>
      <c r="BC142" s="45" t="str">
        <f t="shared" si="15"/>
        <v/>
      </c>
      <c r="BD142" s="15"/>
      <c r="BE142" s="15"/>
      <c r="BF142" s="20"/>
      <c r="BG142" s="12" t="str">
        <f>IF($A142="","",SUMIFS('Consumable Usage'!$E:$E,'Consumable Usage'!$A:$A,$A142,'Consumable Usage'!$D:$D,6))</f>
        <v/>
      </c>
      <c r="BH142" s="12" t="str">
        <f>IF($A142="","",SUMIFS('Nursing Charges'!$I:$I,'Nursing Charges'!$A:$A,$A142,'Nursing Charges'!$C:$C,6))</f>
        <v/>
      </c>
      <c r="BI142" s="12" t="str">
        <f>IF($A142="","",BF142+(BH142-SUMIFS('Nursing Charges'!$J:$J,'Nursing Charges'!$A:$A,$A142,'Nursing Charges'!$C:$C,6))+(BG142-SUMIFS('Consumable Usage'!$F:$F,'Consumable Usage'!$A:$A,$A142,'Consumable Usage'!$D:$D,6)))</f>
        <v/>
      </c>
      <c r="BJ142" s="12" t="str">
        <f t="shared" si="16"/>
        <v/>
      </c>
      <c r="BK142" s="20"/>
      <c r="BL142" s="12" t="str">
        <f t="shared" si="17"/>
        <v/>
      </c>
      <c r="BM142" s="45" t="str">
        <f t="shared" si="18"/>
        <v/>
      </c>
      <c r="BN142" s="15"/>
      <c r="BO142" s="15"/>
      <c r="BP142" s="20"/>
      <c r="BQ142" s="12" t="str">
        <f>IF($A142="","",SUMIFS('Consumable Usage'!$E:$E,'Consumable Usage'!$A:$A,$A142,'Consumable Usage'!$D:$D,7))</f>
        <v/>
      </c>
      <c r="BR142" s="12" t="str">
        <f>IF($A142="","",SUMIFS('Nursing Charges'!$I:$I,'Nursing Charges'!$A:$A,$A142,'Nursing Charges'!$C:$C,7))</f>
        <v/>
      </c>
      <c r="BS142" s="12" t="str">
        <f>IF($A142="","",BP142+(BR142-SUMIFS('Nursing Charges'!$J:$J,'Nursing Charges'!$A:$A,$A142,'Nursing Charges'!$C:$C,7))+(BQ142-SUMIFS('Consumable Usage'!$F:$F,'Consumable Usage'!$A:$A,$A142,'Consumable Usage'!$D:$D,7)))</f>
        <v/>
      </c>
      <c r="BT142" s="12" t="str">
        <f t="shared" si="19"/>
        <v/>
      </c>
      <c r="BU142" s="20"/>
      <c r="BV142" s="12" t="str">
        <f t="shared" si="20"/>
        <v/>
      </c>
      <c r="BW142" s="45" t="str">
        <f t="shared" si="21"/>
        <v/>
      </c>
      <c r="BX142" s="15"/>
      <c r="BY142" s="15"/>
      <c r="BZ142" s="20"/>
      <c r="CA142" s="12" t="str">
        <f>IF($A142="","",SUMIFS('Consumable Usage'!$E:$E,'Consumable Usage'!$A:$A,$A142,'Consumable Usage'!$D:$D,8))</f>
        <v/>
      </c>
      <c r="CB142" s="12" t="str">
        <f>IF($A142="","",SUMIFS('Nursing Charges'!$I:$I,'Nursing Charges'!$A:$A,$A142,'Nursing Charges'!$C:$C,8))</f>
        <v/>
      </c>
      <c r="CC142" s="12" t="str">
        <f>IF($A142="","",BZ142+(CB142-SUMIFS('Nursing Charges'!$J:$J,'Nursing Charges'!$A:$A,$A142,'Nursing Charges'!$C:$C,8))+(CA142-SUMIFS('Consumable Usage'!$F:$F,'Consumable Usage'!$A:$A,$A142,'Consumable Usage'!$D:$D,8)))</f>
        <v/>
      </c>
      <c r="CD142" s="12" t="str">
        <f t="shared" si="22"/>
        <v/>
      </c>
      <c r="CE142" s="20"/>
      <c r="CF142" s="12" t="str">
        <f t="shared" si="23"/>
        <v/>
      </c>
      <c r="CG142" s="45" t="str">
        <f t="shared" si="24"/>
        <v/>
      </c>
      <c r="CH142" s="15"/>
      <c r="CI142" s="15"/>
      <c r="CJ142" s="20"/>
      <c r="CK142" s="12" t="str">
        <f>IF($A142="","",SUMIFS('Consumable Usage'!$E:$E,'Consumable Usage'!$A:$A,$A142,'Consumable Usage'!$D:$D,9))</f>
        <v/>
      </c>
      <c r="CL142" s="12" t="str">
        <f>IF($A142="","",SUMIFS('Nursing Charges'!$I:$I,'Nursing Charges'!$A:$A,$A142,'Nursing Charges'!$C:$C,9))</f>
        <v/>
      </c>
      <c r="CM142" s="12" t="str">
        <f>IF($A142="","",CJ142+(CL142-SUMIFS('Nursing Charges'!$J:$J,'Nursing Charges'!$A:$A,$A142,'Nursing Charges'!$C:$C,9))+(CK142-SUMIFS('Consumable Usage'!$F:$F,'Consumable Usage'!$A:$A,$A142,'Consumable Usage'!$D:$D,9)))</f>
        <v/>
      </c>
      <c r="CN142" s="12" t="str">
        <f t="shared" si="25"/>
        <v/>
      </c>
      <c r="CO142" s="20"/>
      <c r="CP142" s="12" t="str">
        <f t="shared" si="26"/>
        <v/>
      </c>
      <c r="CQ142" s="45" t="str">
        <f t="shared" si="27"/>
        <v/>
      </c>
      <c r="CR142" s="15"/>
      <c r="CS142" s="15"/>
      <c r="CT142" s="20"/>
      <c r="CU142" s="12" t="str">
        <f>IF($A142="","",SUMIFS('Consumable Usage'!$E:$E,'Consumable Usage'!$A:$A,$A142,'Consumable Usage'!$D:$D,10))</f>
        <v/>
      </c>
      <c r="CV142" s="12" t="str">
        <f>IF($A142="","",SUMIFS('Nursing Charges'!$I:$I,'Nursing Charges'!$A:$A,$A142,'Nursing Charges'!$C:$C,10))</f>
        <v/>
      </c>
      <c r="CW142" s="12" t="str">
        <f>IF($A142="","",CT142+(CV142-SUMIFS('Nursing Charges'!$J:$J,'Nursing Charges'!$A:$A,$A142,'Nursing Charges'!$C:$C,10))+(CU142-SUMIFS('Consumable Usage'!$F:$F,'Consumable Usage'!$A:$A,$A142,'Consumable Usage'!$D:$D,10)))</f>
        <v/>
      </c>
      <c r="CX142" s="12" t="str">
        <f t="shared" si="28"/>
        <v/>
      </c>
      <c r="CY142" s="20"/>
      <c r="CZ142" s="12" t="str">
        <f t="shared" si="29"/>
        <v/>
      </c>
      <c r="DA142" s="45" t="str">
        <f t="shared" si="30"/>
        <v/>
      </c>
      <c r="DB142" s="15"/>
      <c r="DC142" s="15"/>
      <c r="DD142" s="20"/>
      <c r="DE142" s="12" t="str">
        <f>IF($A142="","",SUMIFS('Consumable Usage'!$E:$E,'Consumable Usage'!$A:$A,$A142,'Consumable Usage'!$D:$D,11))</f>
        <v/>
      </c>
      <c r="DF142" s="12" t="str">
        <f>IF($A142="","",SUMIFS('Nursing Charges'!$I:$I,'Nursing Charges'!$A:$A,$A142,'Nursing Charges'!$C:$C,11))</f>
        <v/>
      </c>
      <c r="DG142" s="12" t="str">
        <f>IF($A142="","",DD142+(DF142-SUMIFS('Nursing Charges'!$J:$J,'Nursing Charges'!$A:$A,$A142,'Nursing Charges'!$C:$C,11))+(DE142-SUMIFS('Consumable Usage'!$F:$F,'Consumable Usage'!$A:$A,$A142,'Consumable Usage'!$D:$D,11)))</f>
        <v/>
      </c>
      <c r="DH142" s="12" t="str">
        <f t="shared" si="31"/>
        <v/>
      </c>
      <c r="DI142" s="20"/>
      <c r="DJ142" s="12" t="str">
        <f t="shared" si="32"/>
        <v/>
      </c>
      <c r="DK142" s="45" t="str">
        <f t="shared" si="33"/>
        <v/>
      </c>
      <c r="DL142" s="15"/>
      <c r="DM142" s="15"/>
      <c r="DN142" s="20"/>
      <c r="DO142" s="12" t="str">
        <f>IF($A142="","",SUMIFS('Consumable Usage'!$E:$E,'Consumable Usage'!$A:$A,$A142,'Consumable Usage'!$D:$D,12))</f>
        <v/>
      </c>
      <c r="DP142" s="12" t="str">
        <f>IF($A142="","",SUMIFS('Nursing Charges'!$I:$I,'Nursing Charges'!$A:$A,$A142,'Nursing Charges'!$C:$C,12))</f>
        <v/>
      </c>
      <c r="DQ142" s="12" t="str">
        <f>IF($A142="","",DN142+(DP142-SUMIFS('Nursing Charges'!$J:$J,'Nursing Charges'!$A:$A,$A142,'Nursing Charges'!$C:$C,12))+(DO142-SUMIFS('Consumable Usage'!$F:$F,'Consumable Usage'!$A:$A,$A142,'Consumable Usage'!$D:$D,12)))</f>
        <v/>
      </c>
      <c r="DR142" s="12" t="str">
        <f t="shared" si="34"/>
        <v/>
      </c>
      <c r="DS142" s="20"/>
      <c r="DT142" s="12" t="str">
        <f t="shared" si="35"/>
        <v/>
      </c>
      <c r="DU142" s="45" t="str">
        <f t="shared" si="36"/>
        <v/>
      </c>
      <c r="DV142" s="15"/>
      <c r="DW142" s="15"/>
      <c r="DX142" s="20"/>
      <c r="DY142" s="12" t="str">
        <f>IF($A142="","",SUMIFS('Consumable Usage'!$E:$E,'Consumable Usage'!$A:$A,$A142,'Consumable Usage'!$D:$D,13))</f>
        <v/>
      </c>
      <c r="DZ142" s="12" t="str">
        <f>IF($A142="","",SUMIFS('Nursing Charges'!$I:$I,'Nursing Charges'!$A:$A,$A142,'Nursing Charges'!$C:$C,13))</f>
        <v/>
      </c>
      <c r="EA142" s="12" t="str">
        <f>IF($A142="","",DX142+(DZ142-SUMIFS('Nursing Charges'!$J:$J,'Nursing Charges'!$A:$A,$A142,'Nursing Charges'!$C:$C,13))+(DY142-SUMIFS('Consumable Usage'!$F:$F,'Consumable Usage'!$A:$A,$A142,'Consumable Usage'!$D:$D,13)))</f>
        <v/>
      </c>
      <c r="EB142" s="12" t="str">
        <f t="shared" si="37"/>
        <v/>
      </c>
      <c r="EC142" s="20"/>
      <c r="ED142" s="12" t="str">
        <f t="shared" si="38"/>
        <v/>
      </c>
      <c r="EE142" s="45" t="str">
        <f t="shared" si="39"/>
        <v/>
      </c>
      <c r="EF142" s="15"/>
      <c r="EG142" s="15"/>
      <c r="EH142" s="20"/>
      <c r="EI142" s="12" t="str">
        <f>IF($A142="","",SUMIFS('Consumable Usage'!$E:$E,'Consumable Usage'!$A:$A,$A142,'Consumable Usage'!$D:$D,14))</f>
        <v/>
      </c>
      <c r="EJ142" s="12" t="str">
        <f>IF($A142="","",SUMIFS('Nursing Charges'!$I:$I,'Nursing Charges'!$A:$A,$A142,'Nursing Charges'!$C:$C,14))</f>
        <v/>
      </c>
      <c r="EK142" s="12" t="str">
        <f>IF($A142="","",EH142+(EJ142-SUMIFS('Nursing Charges'!$J:$J,'Nursing Charges'!$A:$A,$A142,'Nursing Charges'!$C:$C,14))+(EI142-SUMIFS('Consumable Usage'!$F:$F,'Consumable Usage'!$A:$A,$A142,'Consumable Usage'!$D:$D,14)))</f>
        <v/>
      </c>
      <c r="EL142" s="12" t="str">
        <f t="shared" si="40"/>
        <v/>
      </c>
      <c r="EM142" s="20"/>
      <c r="EN142" s="12" t="str">
        <f t="shared" si="41"/>
        <v/>
      </c>
      <c r="EO142" s="45" t="str">
        <f t="shared" si="42"/>
        <v/>
      </c>
      <c r="EP142" s="15"/>
      <c r="EQ142" s="15"/>
      <c r="ER142" s="20"/>
      <c r="ES142" s="12" t="str">
        <f>IF($A142="","",SUMIFS('Consumable Usage'!$E:$E,'Consumable Usage'!$A:$A,$A142,'Consumable Usage'!$D:$D,15))</f>
        <v/>
      </c>
      <c r="ET142" s="12" t="str">
        <f>IF($A142="","",SUMIFS('Nursing Charges'!$I:$I,'Nursing Charges'!$A:$A,$A142,'Nursing Charges'!$C:$C,15))</f>
        <v/>
      </c>
      <c r="EU142" s="12" t="str">
        <f>IF($A142="","",ER142+(ET142-SUMIFS('Nursing Charges'!$J:$J,'Nursing Charges'!$A:$A,$A142,'Nursing Charges'!$C:$C,15))+(ES142-SUMIFS('Consumable Usage'!$F:$F,'Consumable Usage'!$A:$A,$A142,'Consumable Usage'!$D:$D,15)))</f>
        <v/>
      </c>
      <c r="EV142" s="12" t="str">
        <f t="shared" si="43"/>
        <v/>
      </c>
      <c r="EW142" s="20"/>
      <c r="EX142" s="12" t="str">
        <f t="shared" si="44"/>
        <v/>
      </c>
      <c r="EY142" s="45" t="str">
        <f t="shared" si="45"/>
        <v/>
      </c>
      <c r="EZ142" s="15"/>
      <c r="FA142" s="15"/>
      <c r="FB142" s="20"/>
      <c r="FC142" s="12" t="str">
        <f>IF($A142="","",SUMIFS('Consumable Usage'!$E:$E,'Consumable Usage'!$A:$A,$A142,'Consumable Usage'!$D:$D,16))</f>
        <v/>
      </c>
      <c r="FD142" s="12" t="str">
        <f>IF($A142="","",SUMIFS('Nursing Charges'!$I:$I,'Nursing Charges'!$A:$A,$A142,'Nursing Charges'!$C:$C,16))</f>
        <v/>
      </c>
      <c r="FE142" s="12" t="str">
        <f>IF($A142="","",FB142+(FD142-SUMIFS('Nursing Charges'!$J:$J,'Nursing Charges'!$A:$A,$A142,'Nursing Charges'!$C:$C,16))+(FC142-SUMIFS('Consumable Usage'!$F:$F,'Consumable Usage'!$A:$A,$A142,'Consumable Usage'!$D:$D,16)))</f>
        <v/>
      </c>
      <c r="FF142" s="12" t="str">
        <f t="shared" si="46"/>
        <v/>
      </c>
      <c r="FG142" s="20"/>
      <c r="FH142" s="12" t="str">
        <f t="shared" si="47"/>
        <v/>
      </c>
      <c r="FI142" s="45" t="str">
        <f t="shared" si="48"/>
        <v/>
      </c>
      <c r="FJ142" s="53"/>
      <c r="FK142" s="53"/>
      <c r="FL142" s="63"/>
      <c r="FM142" s="63" t="str">
        <f>IF($A142="","",SUMIFS('Consumable Usage'!$E:$E,'Consumable Usage'!$A:$A,$A142,'Consumable Usage'!$D:$D,16))</f>
        <v/>
      </c>
      <c r="FN142" s="63" t="str">
        <f>IF($A142="","",SUMIFS('Nursing Charges'!$I:$I,'Nursing Charges'!$A:$A,$A142,'Nursing Charges'!$C:$C,16))</f>
        <v/>
      </c>
      <c r="FO142" s="63" t="str">
        <f>IF($A142="","",FL142+(FN142-SUMIFS('Nursing Charges'!$J:$J,'Nursing Charges'!$A:$A,$A142,'Nursing Charges'!$C:$C,16))+(FM142-SUMIFS('Consumable Usage'!$F:$F,'Consumable Usage'!$A:$A,$A142,'Consumable Usage'!$D:$D,16)))</f>
        <v/>
      </c>
      <c r="FP142" s="63" t="str">
        <f t="shared" si="49"/>
        <v/>
      </c>
      <c r="FQ142" s="63"/>
      <c r="FR142" s="63" t="str">
        <f t="shared" si="50"/>
        <v/>
      </c>
      <c r="FS142" s="53" t="str">
        <f t="shared" si="51"/>
        <v/>
      </c>
    </row>
    <row r="143" ht="15.0" customHeight="1">
      <c r="A143" s="15"/>
      <c r="B143" s="15"/>
      <c r="C143" s="15"/>
      <c r="D143" s="15"/>
      <c r="E143" s="15"/>
      <c r="F143" s="15"/>
      <c r="G143" s="15"/>
      <c r="H143" s="20"/>
      <c r="I143" s="12" t="str">
        <f>IF($A143="","",SUMIFS('Consumable Usage'!$E:$E,'Consumable Usage'!$A:$A,$A143,'Consumable Usage'!$D:$D,1))</f>
        <v/>
      </c>
      <c r="J143" s="12" t="str">
        <f>IF($A143="","",SUMIFS('Nursing Charges'!$I:$I,'Nursing Charges'!$A:$A,$A143,'Nursing Charges'!$C:$C,1))</f>
        <v/>
      </c>
      <c r="K143" s="12" t="str">
        <f>IF($A143="","",H143+(J143-SUMIFS('Nursing Charges'!$J:$J,'Nursing Charges'!$A:$A,$A143,'Nursing Charges'!$C:$C,1))+(I143-SUMIFS('Consumable Usage'!$F:$F,'Consumable Usage'!$A:$A,$A143,'Consumable Usage'!$D:$D,1)))</f>
        <v/>
      </c>
      <c r="L143" s="12" t="str">
        <f t="shared" si="1"/>
        <v/>
      </c>
      <c r="M143" s="20"/>
      <c r="N143" s="12" t="str">
        <f t="shared" si="2"/>
        <v/>
      </c>
      <c r="O143" s="45" t="str">
        <f t="shared" si="3"/>
        <v/>
      </c>
      <c r="P143" s="15"/>
      <c r="Q143" s="15"/>
      <c r="R143" s="20"/>
      <c r="S143" s="12" t="str">
        <f>IF($A143="","",SUMIFS('Consumable Usage'!$E:$E,'Consumable Usage'!$A:$A,$A143,'Consumable Usage'!$D:$D,2))</f>
        <v/>
      </c>
      <c r="T143" s="12" t="str">
        <f>IF($A143="","",SUMIFS('Nursing Charges'!$I:$I,'Nursing Charges'!$A:$A,$A143,'Nursing Charges'!$C:$C,2))</f>
        <v/>
      </c>
      <c r="U143" s="12" t="str">
        <f>IF($A143="","",R143+(T143-SUMIFS('Nursing Charges'!$J:$J,'Nursing Charges'!$A:$A,$A143,'Nursing Charges'!$C:$C,2))+(S143-SUMIFS('Consumable Usage'!$F:$F,'Consumable Usage'!$A:$A,$A143,'Consumable Usage'!$D:$D,2)))</f>
        <v/>
      </c>
      <c r="V143" s="12" t="str">
        <f t="shared" si="4"/>
        <v/>
      </c>
      <c r="W143" s="20"/>
      <c r="X143" s="12" t="str">
        <f t="shared" si="5"/>
        <v/>
      </c>
      <c r="Y143" s="45" t="str">
        <f t="shared" si="6"/>
        <v/>
      </c>
      <c r="Z143" s="15"/>
      <c r="AA143" s="15"/>
      <c r="AB143" s="20"/>
      <c r="AC143" s="12" t="str">
        <f>IF($A143="","",SUMIFS('Consumable Usage'!$E:$E,'Consumable Usage'!$A:$A,$A143,'Consumable Usage'!$D:$D,3))</f>
        <v/>
      </c>
      <c r="AD143" s="12" t="str">
        <f>IF($A143="","",SUMIFS('Nursing Charges'!$I:$I,'Nursing Charges'!$A:$A,$A143,'Nursing Charges'!$C:$C,3))</f>
        <v/>
      </c>
      <c r="AE143" s="12" t="str">
        <f>IF($A143="","",AB143+(AD143-SUMIFS('Nursing Charges'!$J:$J,'Nursing Charges'!$A:$A,$A143,'Nursing Charges'!$C:$C,3))+(AC143-SUMIFS('Consumable Usage'!$F:$F,'Consumable Usage'!$A:$A,$A143,'Consumable Usage'!$D:$D,3)))</f>
        <v/>
      </c>
      <c r="AF143" s="12" t="str">
        <f t="shared" si="7"/>
        <v/>
      </c>
      <c r="AG143" s="20"/>
      <c r="AH143" s="12" t="str">
        <f t="shared" si="8"/>
        <v/>
      </c>
      <c r="AI143" s="45" t="str">
        <f t="shared" si="9"/>
        <v/>
      </c>
      <c r="AJ143" s="15"/>
      <c r="AK143" s="15"/>
      <c r="AL143" s="20"/>
      <c r="AM143" s="12" t="str">
        <f>IF($A143="","",SUMIFS('Consumable Usage'!$E:$E,'Consumable Usage'!$A:$A,$A143,'Consumable Usage'!$D:$D,4))</f>
        <v/>
      </c>
      <c r="AN143" s="12" t="str">
        <f>IF($A143="","",SUMIFS('Nursing Charges'!$I:$I,'Nursing Charges'!$A:$A,$A143,'Nursing Charges'!$C:$C,4))</f>
        <v/>
      </c>
      <c r="AO143" s="12" t="str">
        <f>IF($A143="","",AL143+(AN143-SUMIFS('Nursing Charges'!$J:$J,'Nursing Charges'!$A:$A,$A143,'Nursing Charges'!$C:$C,4))+(AM143-SUMIFS('Consumable Usage'!$F:$F,'Consumable Usage'!$A:$A,$A143,'Consumable Usage'!$D:$D,4)))</f>
        <v/>
      </c>
      <c r="AP143" s="12" t="str">
        <f t="shared" si="10"/>
        <v/>
      </c>
      <c r="AQ143" s="20"/>
      <c r="AR143" s="12" t="str">
        <f t="shared" si="11"/>
        <v/>
      </c>
      <c r="AS143" s="45" t="str">
        <f t="shared" si="12"/>
        <v/>
      </c>
      <c r="AT143" s="15"/>
      <c r="AU143" s="15"/>
      <c r="AV143" s="20"/>
      <c r="AW143" s="12" t="str">
        <f>IF($A143="","",SUMIFS('Consumable Usage'!$E:$E,'Consumable Usage'!$A:$A,$A143,'Consumable Usage'!$D:$D,5))</f>
        <v/>
      </c>
      <c r="AX143" s="12" t="str">
        <f>IF($A143="","",SUMIFS('Nursing Charges'!$I:$I,'Nursing Charges'!$A:$A,$A143,'Nursing Charges'!$C:$C,5))</f>
        <v/>
      </c>
      <c r="AY143" s="12" t="str">
        <f>IF($A143="","",AV143+(AX143-SUMIFS('Nursing Charges'!$J:$J,'Nursing Charges'!$A:$A,$A143,'Nursing Charges'!$C:$C,5))+(AW143-SUMIFS('Consumable Usage'!$F:$F,'Consumable Usage'!$A:$A,$A143,'Consumable Usage'!$D:$D,5)))</f>
        <v/>
      </c>
      <c r="AZ143" s="12" t="str">
        <f t="shared" si="13"/>
        <v/>
      </c>
      <c r="BA143" s="20"/>
      <c r="BB143" s="12" t="str">
        <f t="shared" si="14"/>
        <v/>
      </c>
      <c r="BC143" s="45" t="str">
        <f t="shared" si="15"/>
        <v/>
      </c>
      <c r="BD143" s="15"/>
      <c r="BE143" s="15"/>
      <c r="BF143" s="20"/>
      <c r="BG143" s="12" t="str">
        <f>IF($A143="","",SUMIFS('Consumable Usage'!$E:$E,'Consumable Usage'!$A:$A,$A143,'Consumable Usage'!$D:$D,6))</f>
        <v/>
      </c>
      <c r="BH143" s="12" t="str">
        <f>IF($A143="","",SUMIFS('Nursing Charges'!$I:$I,'Nursing Charges'!$A:$A,$A143,'Nursing Charges'!$C:$C,6))</f>
        <v/>
      </c>
      <c r="BI143" s="12" t="str">
        <f>IF($A143="","",BF143+(BH143-SUMIFS('Nursing Charges'!$J:$J,'Nursing Charges'!$A:$A,$A143,'Nursing Charges'!$C:$C,6))+(BG143-SUMIFS('Consumable Usage'!$F:$F,'Consumable Usage'!$A:$A,$A143,'Consumable Usage'!$D:$D,6)))</f>
        <v/>
      </c>
      <c r="BJ143" s="12" t="str">
        <f t="shared" si="16"/>
        <v/>
      </c>
      <c r="BK143" s="20"/>
      <c r="BL143" s="12" t="str">
        <f t="shared" si="17"/>
        <v/>
      </c>
      <c r="BM143" s="45" t="str">
        <f t="shared" si="18"/>
        <v/>
      </c>
      <c r="BN143" s="15"/>
      <c r="BO143" s="15"/>
      <c r="BP143" s="20"/>
      <c r="BQ143" s="12" t="str">
        <f>IF($A143="","",SUMIFS('Consumable Usage'!$E:$E,'Consumable Usage'!$A:$A,$A143,'Consumable Usage'!$D:$D,7))</f>
        <v/>
      </c>
      <c r="BR143" s="12" t="str">
        <f>IF($A143="","",SUMIFS('Nursing Charges'!$I:$I,'Nursing Charges'!$A:$A,$A143,'Nursing Charges'!$C:$C,7))</f>
        <v/>
      </c>
      <c r="BS143" s="12" t="str">
        <f>IF($A143="","",BP143+(BR143-SUMIFS('Nursing Charges'!$J:$J,'Nursing Charges'!$A:$A,$A143,'Nursing Charges'!$C:$C,7))+(BQ143-SUMIFS('Consumable Usage'!$F:$F,'Consumable Usage'!$A:$A,$A143,'Consumable Usage'!$D:$D,7)))</f>
        <v/>
      </c>
      <c r="BT143" s="12" t="str">
        <f t="shared" si="19"/>
        <v/>
      </c>
      <c r="BU143" s="20"/>
      <c r="BV143" s="12" t="str">
        <f t="shared" si="20"/>
        <v/>
      </c>
      <c r="BW143" s="45" t="str">
        <f t="shared" si="21"/>
        <v/>
      </c>
      <c r="BX143" s="15"/>
      <c r="BY143" s="15"/>
      <c r="BZ143" s="20"/>
      <c r="CA143" s="12" t="str">
        <f>IF($A143="","",SUMIFS('Consumable Usage'!$E:$E,'Consumable Usage'!$A:$A,$A143,'Consumable Usage'!$D:$D,8))</f>
        <v/>
      </c>
      <c r="CB143" s="12" t="str">
        <f>IF($A143="","",SUMIFS('Nursing Charges'!$I:$I,'Nursing Charges'!$A:$A,$A143,'Nursing Charges'!$C:$C,8))</f>
        <v/>
      </c>
      <c r="CC143" s="12" t="str">
        <f>IF($A143="","",BZ143+(CB143-SUMIFS('Nursing Charges'!$J:$J,'Nursing Charges'!$A:$A,$A143,'Nursing Charges'!$C:$C,8))+(CA143-SUMIFS('Consumable Usage'!$F:$F,'Consumable Usage'!$A:$A,$A143,'Consumable Usage'!$D:$D,8)))</f>
        <v/>
      </c>
      <c r="CD143" s="12" t="str">
        <f t="shared" si="22"/>
        <v/>
      </c>
      <c r="CE143" s="20"/>
      <c r="CF143" s="12" t="str">
        <f t="shared" si="23"/>
        <v/>
      </c>
      <c r="CG143" s="45" t="str">
        <f t="shared" si="24"/>
        <v/>
      </c>
      <c r="CH143" s="15"/>
      <c r="CI143" s="15"/>
      <c r="CJ143" s="20"/>
      <c r="CK143" s="12" t="str">
        <f>IF($A143="","",SUMIFS('Consumable Usage'!$E:$E,'Consumable Usage'!$A:$A,$A143,'Consumable Usage'!$D:$D,9))</f>
        <v/>
      </c>
      <c r="CL143" s="12" t="str">
        <f>IF($A143="","",SUMIFS('Nursing Charges'!$I:$I,'Nursing Charges'!$A:$A,$A143,'Nursing Charges'!$C:$C,9))</f>
        <v/>
      </c>
      <c r="CM143" s="12" t="str">
        <f>IF($A143="","",CJ143+(CL143-SUMIFS('Nursing Charges'!$J:$J,'Nursing Charges'!$A:$A,$A143,'Nursing Charges'!$C:$C,9))+(CK143-SUMIFS('Consumable Usage'!$F:$F,'Consumable Usage'!$A:$A,$A143,'Consumable Usage'!$D:$D,9)))</f>
        <v/>
      </c>
      <c r="CN143" s="12" t="str">
        <f t="shared" si="25"/>
        <v/>
      </c>
      <c r="CO143" s="20"/>
      <c r="CP143" s="12" t="str">
        <f t="shared" si="26"/>
        <v/>
      </c>
      <c r="CQ143" s="45" t="str">
        <f t="shared" si="27"/>
        <v/>
      </c>
      <c r="CR143" s="15"/>
      <c r="CS143" s="15"/>
      <c r="CT143" s="20"/>
      <c r="CU143" s="12" t="str">
        <f>IF($A143="","",SUMIFS('Consumable Usage'!$E:$E,'Consumable Usage'!$A:$A,$A143,'Consumable Usage'!$D:$D,10))</f>
        <v/>
      </c>
      <c r="CV143" s="12" t="str">
        <f>IF($A143="","",SUMIFS('Nursing Charges'!$I:$I,'Nursing Charges'!$A:$A,$A143,'Nursing Charges'!$C:$C,10))</f>
        <v/>
      </c>
      <c r="CW143" s="12" t="str">
        <f>IF($A143="","",CT143+(CV143-SUMIFS('Nursing Charges'!$J:$J,'Nursing Charges'!$A:$A,$A143,'Nursing Charges'!$C:$C,10))+(CU143-SUMIFS('Consumable Usage'!$F:$F,'Consumable Usage'!$A:$A,$A143,'Consumable Usage'!$D:$D,10)))</f>
        <v/>
      </c>
      <c r="CX143" s="12" t="str">
        <f t="shared" si="28"/>
        <v/>
      </c>
      <c r="CY143" s="20"/>
      <c r="CZ143" s="12" t="str">
        <f t="shared" si="29"/>
        <v/>
      </c>
      <c r="DA143" s="45" t="str">
        <f t="shared" si="30"/>
        <v/>
      </c>
      <c r="DB143" s="15"/>
      <c r="DC143" s="15"/>
      <c r="DD143" s="20"/>
      <c r="DE143" s="12" t="str">
        <f>IF($A143="","",SUMIFS('Consumable Usage'!$E:$E,'Consumable Usage'!$A:$A,$A143,'Consumable Usage'!$D:$D,11))</f>
        <v/>
      </c>
      <c r="DF143" s="12" t="str">
        <f>IF($A143="","",SUMIFS('Nursing Charges'!$I:$I,'Nursing Charges'!$A:$A,$A143,'Nursing Charges'!$C:$C,11))</f>
        <v/>
      </c>
      <c r="DG143" s="12" t="str">
        <f>IF($A143="","",DD143+(DF143-SUMIFS('Nursing Charges'!$J:$J,'Nursing Charges'!$A:$A,$A143,'Nursing Charges'!$C:$C,11))+(DE143-SUMIFS('Consumable Usage'!$F:$F,'Consumable Usage'!$A:$A,$A143,'Consumable Usage'!$D:$D,11)))</f>
        <v/>
      </c>
      <c r="DH143" s="12" t="str">
        <f t="shared" si="31"/>
        <v/>
      </c>
      <c r="DI143" s="20"/>
      <c r="DJ143" s="12" t="str">
        <f t="shared" si="32"/>
        <v/>
      </c>
      <c r="DK143" s="45" t="str">
        <f t="shared" si="33"/>
        <v/>
      </c>
      <c r="DL143" s="15"/>
      <c r="DM143" s="15"/>
      <c r="DN143" s="20"/>
      <c r="DO143" s="12" t="str">
        <f>IF($A143="","",SUMIFS('Consumable Usage'!$E:$E,'Consumable Usage'!$A:$A,$A143,'Consumable Usage'!$D:$D,12))</f>
        <v/>
      </c>
      <c r="DP143" s="12" t="str">
        <f>IF($A143="","",SUMIFS('Nursing Charges'!$I:$I,'Nursing Charges'!$A:$A,$A143,'Nursing Charges'!$C:$C,12))</f>
        <v/>
      </c>
      <c r="DQ143" s="12" t="str">
        <f>IF($A143="","",DN143+(DP143-SUMIFS('Nursing Charges'!$J:$J,'Nursing Charges'!$A:$A,$A143,'Nursing Charges'!$C:$C,12))+(DO143-SUMIFS('Consumable Usage'!$F:$F,'Consumable Usage'!$A:$A,$A143,'Consumable Usage'!$D:$D,12)))</f>
        <v/>
      </c>
      <c r="DR143" s="12" t="str">
        <f t="shared" si="34"/>
        <v/>
      </c>
      <c r="DS143" s="20"/>
      <c r="DT143" s="12" t="str">
        <f t="shared" si="35"/>
        <v/>
      </c>
      <c r="DU143" s="45" t="str">
        <f t="shared" si="36"/>
        <v/>
      </c>
      <c r="DV143" s="15"/>
      <c r="DW143" s="15"/>
      <c r="DX143" s="20"/>
      <c r="DY143" s="12" t="str">
        <f>IF($A143="","",SUMIFS('Consumable Usage'!$E:$E,'Consumable Usage'!$A:$A,$A143,'Consumable Usage'!$D:$D,13))</f>
        <v/>
      </c>
      <c r="DZ143" s="12" t="str">
        <f>IF($A143="","",SUMIFS('Nursing Charges'!$I:$I,'Nursing Charges'!$A:$A,$A143,'Nursing Charges'!$C:$C,13))</f>
        <v/>
      </c>
      <c r="EA143" s="12" t="str">
        <f>IF($A143="","",DX143+(DZ143-SUMIFS('Nursing Charges'!$J:$J,'Nursing Charges'!$A:$A,$A143,'Nursing Charges'!$C:$C,13))+(DY143-SUMIFS('Consumable Usage'!$F:$F,'Consumable Usage'!$A:$A,$A143,'Consumable Usage'!$D:$D,13)))</f>
        <v/>
      </c>
      <c r="EB143" s="12" t="str">
        <f t="shared" si="37"/>
        <v/>
      </c>
      <c r="EC143" s="20"/>
      <c r="ED143" s="12" t="str">
        <f t="shared" si="38"/>
        <v/>
      </c>
      <c r="EE143" s="45" t="str">
        <f t="shared" si="39"/>
        <v/>
      </c>
      <c r="EF143" s="15"/>
      <c r="EG143" s="15"/>
      <c r="EH143" s="20"/>
      <c r="EI143" s="12" t="str">
        <f>IF($A143="","",SUMIFS('Consumable Usage'!$E:$E,'Consumable Usage'!$A:$A,$A143,'Consumable Usage'!$D:$D,14))</f>
        <v/>
      </c>
      <c r="EJ143" s="12" t="str">
        <f>IF($A143="","",SUMIFS('Nursing Charges'!$I:$I,'Nursing Charges'!$A:$A,$A143,'Nursing Charges'!$C:$C,14))</f>
        <v/>
      </c>
      <c r="EK143" s="12" t="str">
        <f>IF($A143="","",EH143+(EJ143-SUMIFS('Nursing Charges'!$J:$J,'Nursing Charges'!$A:$A,$A143,'Nursing Charges'!$C:$C,14))+(EI143-SUMIFS('Consumable Usage'!$F:$F,'Consumable Usage'!$A:$A,$A143,'Consumable Usage'!$D:$D,14)))</f>
        <v/>
      </c>
      <c r="EL143" s="12" t="str">
        <f t="shared" si="40"/>
        <v/>
      </c>
      <c r="EM143" s="20"/>
      <c r="EN143" s="12" t="str">
        <f t="shared" si="41"/>
        <v/>
      </c>
      <c r="EO143" s="45" t="str">
        <f t="shared" si="42"/>
        <v/>
      </c>
      <c r="EP143" s="15"/>
      <c r="EQ143" s="15"/>
      <c r="ER143" s="20"/>
      <c r="ES143" s="12" t="str">
        <f>IF($A143="","",SUMIFS('Consumable Usage'!$E:$E,'Consumable Usage'!$A:$A,$A143,'Consumable Usage'!$D:$D,15))</f>
        <v/>
      </c>
      <c r="ET143" s="12" t="str">
        <f>IF($A143="","",SUMIFS('Nursing Charges'!$I:$I,'Nursing Charges'!$A:$A,$A143,'Nursing Charges'!$C:$C,15))</f>
        <v/>
      </c>
      <c r="EU143" s="12" t="str">
        <f>IF($A143="","",ER143+(ET143-SUMIFS('Nursing Charges'!$J:$J,'Nursing Charges'!$A:$A,$A143,'Nursing Charges'!$C:$C,15))+(ES143-SUMIFS('Consumable Usage'!$F:$F,'Consumable Usage'!$A:$A,$A143,'Consumable Usage'!$D:$D,15)))</f>
        <v/>
      </c>
      <c r="EV143" s="12" t="str">
        <f t="shared" si="43"/>
        <v/>
      </c>
      <c r="EW143" s="20"/>
      <c r="EX143" s="12" t="str">
        <f t="shared" si="44"/>
        <v/>
      </c>
      <c r="EY143" s="45" t="str">
        <f t="shared" si="45"/>
        <v/>
      </c>
      <c r="EZ143" s="15"/>
      <c r="FA143" s="15"/>
      <c r="FB143" s="20"/>
      <c r="FC143" s="12" t="str">
        <f>IF($A143="","",SUMIFS('Consumable Usage'!$E:$E,'Consumable Usage'!$A:$A,$A143,'Consumable Usage'!$D:$D,16))</f>
        <v/>
      </c>
      <c r="FD143" s="12" t="str">
        <f>IF($A143="","",SUMIFS('Nursing Charges'!$I:$I,'Nursing Charges'!$A:$A,$A143,'Nursing Charges'!$C:$C,16))</f>
        <v/>
      </c>
      <c r="FE143" s="12" t="str">
        <f>IF($A143="","",FB143+(FD143-SUMIFS('Nursing Charges'!$J:$J,'Nursing Charges'!$A:$A,$A143,'Nursing Charges'!$C:$C,16))+(FC143-SUMIFS('Consumable Usage'!$F:$F,'Consumable Usage'!$A:$A,$A143,'Consumable Usage'!$D:$D,16)))</f>
        <v/>
      </c>
      <c r="FF143" s="12" t="str">
        <f t="shared" si="46"/>
        <v/>
      </c>
      <c r="FG143" s="20"/>
      <c r="FH143" s="12" t="str">
        <f t="shared" si="47"/>
        <v/>
      </c>
      <c r="FI143" s="45" t="str">
        <f t="shared" si="48"/>
        <v/>
      </c>
      <c r="FJ143" s="53"/>
      <c r="FK143" s="53"/>
      <c r="FL143" s="63"/>
      <c r="FM143" s="63" t="str">
        <f>IF($A143="","",SUMIFS('Consumable Usage'!$E:$E,'Consumable Usage'!$A:$A,$A143,'Consumable Usage'!$D:$D,16))</f>
        <v/>
      </c>
      <c r="FN143" s="63" t="str">
        <f>IF($A143="","",SUMIFS('Nursing Charges'!$I:$I,'Nursing Charges'!$A:$A,$A143,'Nursing Charges'!$C:$C,16))</f>
        <v/>
      </c>
      <c r="FO143" s="63" t="str">
        <f>IF($A143="","",FL143+(FN143-SUMIFS('Nursing Charges'!$J:$J,'Nursing Charges'!$A:$A,$A143,'Nursing Charges'!$C:$C,16))+(FM143-SUMIFS('Consumable Usage'!$F:$F,'Consumable Usage'!$A:$A,$A143,'Consumable Usage'!$D:$D,16)))</f>
        <v/>
      </c>
      <c r="FP143" s="63" t="str">
        <f t="shared" si="49"/>
        <v/>
      </c>
      <c r="FQ143" s="63"/>
      <c r="FR143" s="63" t="str">
        <f t="shared" si="50"/>
        <v/>
      </c>
      <c r="FS143" s="53" t="str">
        <f t="shared" si="51"/>
        <v/>
      </c>
    </row>
    <row r="144" ht="15.0" customHeight="1">
      <c r="A144" s="15"/>
      <c r="B144" s="15"/>
      <c r="C144" s="15"/>
      <c r="D144" s="15"/>
      <c r="E144" s="15"/>
      <c r="F144" s="15"/>
      <c r="G144" s="15"/>
      <c r="H144" s="20"/>
      <c r="I144" s="12" t="str">
        <f>IF($A144="","",SUMIFS('Consumable Usage'!$E:$E,'Consumable Usage'!$A:$A,$A144,'Consumable Usage'!$D:$D,1))</f>
        <v/>
      </c>
      <c r="J144" s="12" t="str">
        <f>IF($A144="","",SUMIFS('Nursing Charges'!$I:$I,'Nursing Charges'!$A:$A,$A144,'Nursing Charges'!$C:$C,1))</f>
        <v/>
      </c>
      <c r="K144" s="12" t="str">
        <f>IF($A144="","",H144+(J144-SUMIFS('Nursing Charges'!$J:$J,'Nursing Charges'!$A:$A,$A144,'Nursing Charges'!$C:$C,1))+(I144-SUMIFS('Consumable Usage'!$F:$F,'Consumable Usage'!$A:$A,$A144,'Consumable Usage'!$D:$D,1)))</f>
        <v/>
      </c>
      <c r="L144" s="12" t="str">
        <f t="shared" si="1"/>
        <v/>
      </c>
      <c r="M144" s="20"/>
      <c r="N144" s="12" t="str">
        <f t="shared" si="2"/>
        <v/>
      </c>
      <c r="O144" s="45" t="str">
        <f t="shared" si="3"/>
        <v/>
      </c>
      <c r="P144" s="15"/>
      <c r="Q144" s="15"/>
      <c r="R144" s="20"/>
      <c r="S144" s="12" t="str">
        <f>IF($A144="","",SUMIFS('Consumable Usage'!$E:$E,'Consumable Usage'!$A:$A,$A144,'Consumable Usage'!$D:$D,2))</f>
        <v/>
      </c>
      <c r="T144" s="12" t="str">
        <f>IF($A144="","",SUMIFS('Nursing Charges'!$I:$I,'Nursing Charges'!$A:$A,$A144,'Nursing Charges'!$C:$C,2))</f>
        <v/>
      </c>
      <c r="U144" s="12" t="str">
        <f>IF($A144="","",R144+(T144-SUMIFS('Nursing Charges'!$J:$J,'Nursing Charges'!$A:$A,$A144,'Nursing Charges'!$C:$C,2))+(S144-SUMIFS('Consumable Usage'!$F:$F,'Consumable Usage'!$A:$A,$A144,'Consumable Usage'!$D:$D,2)))</f>
        <v/>
      </c>
      <c r="V144" s="12" t="str">
        <f t="shared" si="4"/>
        <v/>
      </c>
      <c r="W144" s="20"/>
      <c r="X144" s="12" t="str">
        <f t="shared" si="5"/>
        <v/>
      </c>
      <c r="Y144" s="45" t="str">
        <f t="shared" si="6"/>
        <v/>
      </c>
      <c r="Z144" s="15"/>
      <c r="AA144" s="15"/>
      <c r="AB144" s="20"/>
      <c r="AC144" s="12" t="str">
        <f>IF($A144="","",SUMIFS('Consumable Usage'!$E:$E,'Consumable Usage'!$A:$A,$A144,'Consumable Usage'!$D:$D,3))</f>
        <v/>
      </c>
      <c r="AD144" s="12" t="str">
        <f>IF($A144="","",SUMIFS('Nursing Charges'!$I:$I,'Nursing Charges'!$A:$A,$A144,'Nursing Charges'!$C:$C,3))</f>
        <v/>
      </c>
      <c r="AE144" s="12" t="str">
        <f>IF($A144="","",AB144+(AD144-SUMIFS('Nursing Charges'!$J:$J,'Nursing Charges'!$A:$A,$A144,'Nursing Charges'!$C:$C,3))+(AC144-SUMIFS('Consumable Usage'!$F:$F,'Consumable Usage'!$A:$A,$A144,'Consumable Usage'!$D:$D,3)))</f>
        <v/>
      </c>
      <c r="AF144" s="12" t="str">
        <f t="shared" si="7"/>
        <v/>
      </c>
      <c r="AG144" s="20"/>
      <c r="AH144" s="12" t="str">
        <f t="shared" si="8"/>
        <v/>
      </c>
      <c r="AI144" s="45" t="str">
        <f t="shared" si="9"/>
        <v/>
      </c>
      <c r="AJ144" s="15"/>
      <c r="AK144" s="15"/>
      <c r="AL144" s="20"/>
      <c r="AM144" s="12" t="str">
        <f>IF($A144="","",SUMIFS('Consumable Usage'!$E:$E,'Consumable Usage'!$A:$A,$A144,'Consumable Usage'!$D:$D,4))</f>
        <v/>
      </c>
      <c r="AN144" s="12" t="str">
        <f>IF($A144="","",SUMIFS('Nursing Charges'!$I:$I,'Nursing Charges'!$A:$A,$A144,'Nursing Charges'!$C:$C,4))</f>
        <v/>
      </c>
      <c r="AO144" s="12" t="str">
        <f>IF($A144="","",AL144+(AN144-SUMIFS('Nursing Charges'!$J:$J,'Nursing Charges'!$A:$A,$A144,'Nursing Charges'!$C:$C,4))+(AM144-SUMIFS('Consumable Usage'!$F:$F,'Consumable Usage'!$A:$A,$A144,'Consumable Usage'!$D:$D,4)))</f>
        <v/>
      </c>
      <c r="AP144" s="12" t="str">
        <f t="shared" si="10"/>
        <v/>
      </c>
      <c r="AQ144" s="20"/>
      <c r="AR144" s="12" t="str">
        <f t="shared" si="11"/>
        <v/>
      </c>
      <c r="AS144" s="45" t="str">
        <f t="shared" si="12"/>
        <v/>
      </c>
      <c r="AT144" s="15"/>
      <c r="AU144" s="15"/>
      <c r="AV144" s="20"/>
      <c r="AW144" s="12" t="str">
        <f>IF($A144="","",SUMIFS('Consumable Usage'!$E:$E,'Consumable Usage'!$A:$A,$A144,'Consumable Usage'!$D:$D,5))</f>
        <v/>
      </c>
      <c r="AX144" s="12" t="str">
        <f>IF($A144="","",SUMIFS('Nursing Charges'!$I:$I,'Nursing Charges'!$A:$A,$A144,'Nursing Charges'!$C:$C,5))</f>
        <v/>
      </c>
      <c r="AY144" s="12" t="str">
        <f>IF($A144="","",AV144+(AX144-SUMIFS('Nursing Charges'!$J:$J,'Nursing Charges'!$A:$A,$A144,'Nursing Charges'!$C:$C,5))+(AW144-SUMIFS('Consumable Usage'!$F:$F,'Consumable Usage'!$A:$A,$A144,'Consumable Usage'!$D:$D,5)))</f>
        <v/>
      </c>
      <c r="AZ144" s="12" t="str">
        <f t="shared" si="13"/>
        <v/>
      </c>
      <c r="BA144" s="20"/>
      <c r="BB144" s="12" t="str">
        <f t="shared" si="14"/>
        <v/>
      </c>
      <c r="BC144" s="45" t="str">
        <f t="shared" si="15"/>
        <v/>
      </c>
      <c r="BD144" s="15"/>
      <c r="BE144" s="15"/>
      <c r="BF144" s="20"/>
      <c r="BG144" s="12" t="str">
        <f>IF($A144="","",SUMIFS('Consumable Usage'!$E:$E,'Consumable Usage'!$A:$A,$A144,'Consumable Usage'!$D:$D,6))</f>
        <v/>
      </c>
      <c r="BH144" s="12" t="str">
        <f>IF($A144="","",SUMIFS('Nursing Charges'!$I:$I,'Nursing Charges'!$A:$A,$A144,'Nursing Charges'!$C:$C,6))</f>
        <v/>
      </c>
      <c r="BI144" s="12" t="str">
        <f>IF($A144="","",BF144+(BH144-SUMIFS('Nursing Charges'!$J:$J,'Nursing Charges'!$A:$A,$A144,'Nursing Charges'!$C:$C,6))+(BG144-SUMIFS('Consumable Usage'!$F:$F,'Consumable Usage'!$A:$A,$A144,'Consumable Usage'!$D:$D,6)))</f>
        <v/>
      </c>
      <c r="BJ144" s="12" t="str">
        <f t="shared" si="16"/>
        <v/>
      </c>
      <c r="BK144" s="20"/>
      <c r="BL144" s="12" t="str">
        <f t="shared" si="17"/>
        <v/>
      </c>
      <c r="BM144" s="45" t="str">
        <f t="shared" si="18"/>
        <v/>
      </c>
      <c r="BN144" s="15"/>
      <c r="BO144" s="15"/>
      <c r="BP144" s="20"/>
      <c r="BQ144" s="12" t="str">
        <f>IF($A144="","",SUMIFS('Consumable Usage'!$E:$E,'Consumable Usage'!$A:$A,$A144,'Consumable Usage'!$D:$D,7))</f>
        <v/>
      </c>
      <c r="BR144" s="12" t="str">
        <f>IF($A144="","",SUMIFS('Nursing Charges'!$I:$I,'Nursing Charges'!$A:$A,$A144,'Nursing Charges'!$C:$C,7))</f>
        <v/>
      </c>
      <c r="BS144" s="12" t="str">
        <f>IF($A144="","",BP144+(BR144-SUMIFS('Nursing Charges'!$J:$J,'Nursing Charges'!$A:$A,$A144,'Nursing Charges'!$C:$C,7))+(BQ144-SUMIFS('Consumable Usage'!$F:$F,'Consumable Usage'!$A:$A,$A144,'Consumable Usage'!$D:$D,7)))</f>
        <v/>
      </c>
      <c r="BT144" s="12" t="str">
        <f t="shared" si="19"/>
        <v/>
      </c>
      <c r="BU144" s="20"/>
      <c r="BV144" s="12" t="str">
        <f t="shared" si="20"/>
        <v/>
      </c>
      <c r="BW144" s="45" t="str">
        <f t="shared" si="21"/>
        <v/>
      </c>
      <c r="BX144" s="15"/>
      <c r="BY144" s="15"/>
      <c r="BZ144" s="20"/>
      <c r="CA144" s="12" t="str">
        <f>IF($A144="","",SUMIFS('Consumable Usage'!$E:$E,'Consumable Usage'!$A:$A,$A144,'Consumable Usage'!$D:$D,8))</f>
        <v/>
      </c>
      <c r="CB144" s="12" t="str">
        <f>IF($A144="","",SUMIFS('Nursing Charges'!$I:$I,'Nursing Charges'!$A:$A,$A144,'Nursing Charges'!$C:$C,8))</f>
        <v/>
      </c>
      <c r="CC144" s="12" t="str">
        <f>IF($A144="","",BZ144+(CB144-SUMIFS('Nursing Charges'!$J:$J,'Nursing Charges'!$A:$A,$A144,'Nursing Charges'!$C:$C,8))+(CA144-SUMIFS('Consumable Usage'!$F:$F,'Consumable Usage'!$A:$A,$A144,'Consumable Usage'!$D:$D,8)))</f>
        <v/>
      </c>
      <c r="CD144" s="12" t="str">
        <f t="shared" si="22"/>
        <v/>
      </c>
      <c r="CE144" s="20"/>
      <c r="CF144" s="12" t="str">
        <f t="shared" si="23"/>
        <v/>
      </c>
      <c r="CG144" s="45" t="str">
        <f t="shared" si="24"/>
        <v/>
      </c>
      <c r="CH144" s="15"/>
      <c r="CI144" s="15"/>
      <c r="CJ144" s="20"/>
      <c r="CK144" s="12" t="str">
        <f>IF($A144="","",SUMIFS('Consumable Usage'!$E:$E,'Consumable Usage'!$A:$A,$A144,'Consumable Usage'!$D:$D,9))</f>
        <v/>
      </c>
      <c r="CL144" s="12" t="str">
        <f>IF($A144="","",SUMIFS('Nursing Charges'!$I:$I,'Nursing Charges'!$A:$A,$A144,'Nursing Charges'!$C:$C,9))</f>
        <v/>
      </c>
      <c r="CM144" s="12" t="str">
        <f>IF($A144="","",CJ144+(CL144-SUMIFS('Nursing Charges'!$J:$J,'Nursing Charges'!$A:$A,$A144,'Nursing Charges'!$C:$C,9))+(CK144-SUMIFS('Consumable Usage'!$F:$F,'Consumable Usage'!$A:$A,$A144,'Consumable Usage'!$D:$D,9)))</f>
        <v/>
      </c>
      <c r="CN144" s="12" t="str">
        <f t="shared" si="25"/>
        <v/>
      </c>
      <c r="CO144" s="20"/>
      <c r="CP144" s="12" t="str">
        <f t="shared" si="26"/>
        <v/>
      </c>
      <c r="CQ144" s="45" t="str">
        <f t="shared" si="27"/>
        <v/>
      </c>
      <c r="CR144" s="15"/>
      <c r="CS144" s="15"/>
      <c r="CT144" s="20"/>
      <c r="CU144" s="12" t="str">
        <f>IF($A144="","",SUMIFS('Consumable Usage'!$E:$E,'Consumable Usage'!$A:$A,$A144,'Consumable Usage'!$D:$D,10))</f>
        <v/>
      </c>
      <c r="CV144" s="12" t="str">
        <f>IF($A144="","",SUMIFS('Nursing Charges'!$I:$I,'Nursing Charges'!$A:$A,$A144,'Nursing Charges'!$C:$C,10))</f>
        <v/>
      </c>
      <c r="CW144" s="12" t="str">
        <f>IF($A144="","",CT144+(CV144-SUMIFS('Nursing Charges'!$J:$J,'Nursing Charges'!$A:$A,$A144,'Nursing Charges'!$C:$C,10))+(CU144-SUMIFS('Consumable Usage'!$F:$F,'Consumable Usage'!$A:$A,$A144,'Consumable Usage'!$D:$D,10)))</f>
        <v/>
      </c>
      <c r="CX144" s="12" t="str">
        <f t="shared" si="28"/>
        <v/>
      </c>
      <c r="CY144" s="20"/>
      <c r="CZ144" s="12" t="str">
        <f t="shared" si="29"/>
        <v/>
      </c>
      <c r="DA144" s="45" t="str">
        <f t="shared" si="30"/>
        <v/>
      </c>
      <c r="DB144" s="15"/>
      <c r="DC144" s="15"/>
      <c r="DD144" s="20"/>
      <c r="DE144" s="12" t="str">
        <f>IF($A144="","",SUMIFS('Consumable Usage'!$E:$E,'Consumable Usage'!$A:$A,$A144,'Consumable Usage'!$D:$D,11))</f>
        <v/>
      </c>
      <c r="DF144" s="12" t="str">
        <f>IF($A144="","",SUMIFS('Nursing Charges'!$I:$I,'Nursing Charges'!$A:$A,$A144,'Nursing Charges'!$C:$C,11))</f>
        <v/>
      </c>
      <c r="DG144" s="12" t="str">
        <f>IF($A144="","",DD144+(DF144-SUMIFS('Nursing Charges'!$J:$J,'Nursing Charges'!$A:$A,$A144,'Nursing Charges'!$C:$C,11))+(DE144-SUMIFS('Consumable Usage'!$F:$F,'Consumable Usage'!$A:$A,$A144,'Consumable Usage'!$D:$D,11)))</f>
        <v/>
      </c>
      <c r="DH144" s="12" t="str">
        <f t="shared" si="31"/>
        <v/>
      </c>
      <c r="DI144" s="20"/>
      <c r="DJ144" s="12" t="str">
        <f t="shared" si="32"/>
        <v/>
      </c>
      <c r="DK144" s="45" t="str">
        <f t="shared" si="33"/>
        <v/>
      </c>
      <c r="DL144" s="15"/>
      <c r="DM144" s="15"/>
      <c r="DN144" s="20"/>
      <c r="DO144" s="12" t="str">
        <f>IF($A144="","",SUMIFS('Consumable Usage'!$E:$E,'Consumable Usage'!$A:$A,$A144,'Consumable Usage'!$D:$D,12))</f>
        <v/>
      </c>
      <c r="DP144" s="12" t="str">
        <f>IF($A144="","",SUMIFS('Nursing Charges'!$I:$I,'Nursing Charges'!$A:$A,$A144,'Nursing Charges'!$C:$C,12))</f>
        <v/>
      </c>
      <c r="DQ144" s="12" t="str">
        <f>IF($A144="","",DN144+(DP144-SUMIFS('Nursing Charges'!$J:$J,'Nursing Charges'!$A:$A,$A144,'Nursing Charges'!$C:$C,12))+(DO144-SUMIFS('Consumable Usage'!$F:$F,'Consumable Usage'!$A:$A,$A144,'Consumable Usage'!$D:$D,12)))</f>
        <v/>
      </c>
      <c r="DR144" s="12" t="str">
        <f t="shared" si="34"/>
        <v/>
      </c>
      <c r="DS144" s="20"/>
      <c r="DT144" s="12" t="str">
        <f t="shared" si="35"/>
        <v/>
      </c>
      <c r="DU144" s="45" t="str">
        <f t="shared" si="36"/>
        <v/>
      </c>
      <c r="DV144" s="15"/>
      <c r="DW144" s="15"/>
      <c r="DX144" s="20"/>
      <c r="DY144" s="12" t="str">
        <f>IF($A144="","",SUMIFS('Consumable Usage'!$E:$E,'Consumable Usage'!$A:$A,$A144,'Consumable Usage'!$D:$D,13))</f>
        <v/>
      </c>
      <c r="DZ144" s="12" t="str">
        <f>IF($A144="","",SUMIFS('Nursing Charges'!$I:$I,'Nursing Charges'!$A:$A,$A144,'Nursing Charges'!$C:$C,13))</f>
        <v/>
      </c>
      <c r="EA144" s="12" t="str">
        <f>IF($A144="","",DX144+(DZ144-SUMIFS('Nursing Charges'!$J:$J,'Nursing Charges'!$A:$A,$A144,'Nursing Charges'!$C:$C,13))+(DY144-SUMIFS('Consumable Usage'!$F:$F,'Consumable Usage'!$A:$A,$A144,'Consumable Usage'!$D:$D,13)))</f>
        <v/>
      </c>
      <c r="EB144" s="12" t="str">
        <f t="shared" si="37"/>
        <v/>
      </c>
      <c r="EC144" s="20"/>
      <c r="ED144" s="12" t="str">
        <f t="shared" si="38"/>
        <v/>
      </c>
      <c r="EE144" s="45" t="str">
        <f t="shared" si="39"/>
        <v/>
      </c>
      <c r="EF144" s="15"/>
      <c r="EG144" s="15"/>
      <c r="EH144" s="20"/>
      <c r="EI144" s="12" t="str">
        <f>IF($A144="","",SUMIFS('Consumable Usage'!$E:$E,'Consumable Usage'!$A:$A,$A144,'Consumable Usage'!$D:$D,14))</f>
        <v/>
      </c>
      <c r="EJ144" s="12" t="str">
        <f>IF($A144="","",SUMIFS('Nursing Charges'!$I:$I,'Nursing Charges'!$A:$A,$A144,'Nursing Charges'!$C:$C,14))</f>
        <v/>
      </c>
      <c r="EK144" s="12" t="str">
        <f>IF($A144="","",EH144+(EJ144-SUMIFS('Nursing Charges'!$J:$J,'Nursing Charges'!$A:$A,$A144,'Nursing Charges'!$C:$C,14))+(EI144-SUMIFS('Consumable Usage'!$F:$F,'Consumable Usage'!$A:$A,$A144,'Consumable Usage'!$D:$D,14)))</f>
        <v/>
      </c>
      <c r="EL144" s="12" t="str">
        <f t="shared" si="40"/>
        <v/>
      </c>
      <c r="EM144" s="20"/>
      <c r="EN144" s="12" t="str">
        <f t="shared" si="41"/>
        <v/>
      </c>
      <c r="EO144" s="45" t="str">
        <f t="shared" si="42"/>
        <v/>
      </c>
      <c r="EP144" s="15"/>
      <c r="EQ144" s="15"/>
      <c r="ER144" s="20"/>
      <c r="ES144" s="12" t="str">
        <f>IF($A144="","",SUMIFS('Consumable Usage'!$E:$E,'Consumable Usage'!$A:$A,$A144,'Consumable Usage'!$D:$D,15))</f>
        <v/>
      </c>
      <c r="ET144" s="12" t="str">
        <f>IF($A144="","",SUMIFS('Nursing Charges'!$I:$I,'Nursing Charges'!$A:$A,$A144,'Nursing Charges'!$C:$C,15))</f>
        <v/>
      </c>
      <c r="EU144" s="12" t="str">
        <f>IF($A144="","",ER144+(ET144-SUMIFS('Nursing Charges'!$J:$J,'Nursing Charges'!$A:$A,$A144,'Nursing Charges'!$C:$C,15))+(ES144-SUMIFS('Consumable Usage'!$F:$F,'Consumable Usage'!$A:$A,$A144,'Consumable Usage'!$D:$D,15)))</f>
        <v/>
      </c>
      <c r="EV144" s="12" t="str">
        <f t="shared" si="43"/>
        <v/>
      </c>
      <c r="EW144" s="20"/>
      <c r="EX144" s="12" t="str">
        <f t="shared" si="44"/>
        <v/>
      </c>
      <c r="EY144" s="45" t="str">
        <f t="shared" si="45"/>
        <v/>
      </c>
      <c r="EZ144" s="15"/>
      <c r="FA144" s="15"/>
      <c r="FB144" s="20"/>
      <c r="FC144" s="12" t="str">
        <f>IF($A144="","",SUMIFS('Consumable Usage'!$E:$E,'Consumable Usage'!$A:$A,$A144,'Consumable Usage'!$D:$D,16))</f>
        <v/>
      </c>
      <c r="FD144" s="12" t="str">
        <f>IF($A144="","",SUMIFS('Nursing Charges'!$I:$I,'Nursing Charges'!$A:$A,$A144,'Nursing Charges'!$C:$C,16))</f>
        <v/>
      </c>
      <c r="FE144" s="12" t="str">
        <f>IF($A144="","",FB144+(FD144-SUMIFS('Nursing Charges'!$J:$J,'Nursing Charges'!$A:$A,$A144,'Nursing Charges'!$C:$C,16))+(FC144-SUMIFS('Consumable Usage'!$F:$F,'Consumable Usage'!$A:$A,$A144,'Consumable Usage'!$D:$D,16)))</f>
        <v/>
      </c>
      <c r="FF144" s="12" t="str">
        <f t="shared" si="46"/>
        <v/>
      </c>
      <c r="FG144" s="20"/>
      <c r="FH144" s="12" t="str">
        <f t="shared" si="47"/>
        <v/>
      </c>
      <c r="FI144" s="45" t="str">
        <f t="shared" si="48"/>
        <v/>
      </c>
      <c r="FJ144" s="53"/>
      <c r="FK144" s="53"/>
      <c r="FL144" s="63"/>
      <c r="FM144" s="63" t="str">
        <f>IF($A144="","",SUMIFS('Consumable Usage'!$E:$E,'Consumable Usage'!$A:$A,$A144,'Consumable Usage'!$D:$D,16))</f>
        <v/>
      </c>
      <c r="FN144" s="63" t="str">
        <f>IF($A144="","",SUMIFS('Nursing Charges'!$I:$I,'Nursing Charges'!$A:$A,$A144,'Nursing Charges'!$C:$C,16))</f>
        <v/>
      </c>
      <c r="FO144" s="63" t="str">
        <f>IF($A144="","",FL144+(FN144-SUMIFS('Nursing Charges'!$J:$J,'Nursing Charges'!$A:$A,$A144,'Nursing Charges'!$C:$C,16))+(FM144-SUMIFS('Consumable Usage'!$F:$F,'Consumable Usage'!$A:$A,$A144,'Consumable Usage'!$D:$D,16)))</f>
        <v/>
      </c>
      <c r="FP144" s="63" t="str">
        <f t="shared" si="49"/>
        <v/>
      </c>
      <c r="FQ144" s="63"/>
      <c r="FR144" s="63" t="str">
        <f t="shared" si="50"/>
        <v/>
      </c>
      <c r="FS144" s="53" t="str">
        <f t="shared" si="51"/>
        <v/>
      </c>
    </row>
    <row r="145" ht="15.0" customHeight="1">
      <c r="A145" s="15"/>
      <c r="B145" s="15"/>
      <c r="C145" s="15"/>
      <c r="D145" s="15"/>
      <c r="E145" s="15"/>
      <c r="F145" s="15"/>
      <c r="G145" s="15"/>
      <c r="H145" s="20"/>
      <c r="I145" s="12" t="str">
        <f>IF($A145="","",SUMIFS('Consumable Usage'!$E:$E,'Consumable Usage'!$A:$A,$A145,'Consumable Usage'!$D:$D,1))</f>
        <v/>
      </c>
      <c r="J145" s="12" t="str">
        <f>IF($A145="","",SUMIFS('Nursing Charges'!$I:$I,'Nursing Charges'!$A:$A,$A145,'Nursing Charges'!$C:$C,1))</f>
        <v/>
      </c>
      <c r="K145" s="12" t="str">
        <f>IF($A145="","",H145+(J145-SUMIFS('Nursing Charges'!$J:$J,'Nursing Charges'!$A:$A,$A145,'Nursing Charges'!$C:$C,1))+(I145-SUMIFS('Consumable Usage'!$F:$F,'Consumable Usage'!$A:$A,$A145,'Consumable Usage'!$D:$D,1)))</f>
        <v/>
      </c>
      <c r="L145" s="12" t="str">
        <f t="shared" si="1"/>
        <v/>
      </c>
      <c r="M145" s="20"/>
      <c r="N145" s="12" t="str">
        <f t="shared" si="2"/>
        <v/>
      </c>
      <c r="O145" s="45" t="str">
        <f t="shared" si="3"/>
        <v/>
      </c>
      <c r="P145" s="15"/>
      <c r="Q145" s="15"/>
      <c r="R145" s="20"/>
      <c r="S145" s="12" t="str">
        <f>IF($A145="","",SUMIFS('Consumable Usage'!$E:$E,'Consumable Usage'!$A:$A,$A145,'Consumable Usage'!$D:$D,2))</f>
        <v/>
      </c>
      <c r="T145" s="12" t="str">
        <f>IF($A145="","",SUMIFS('Nursing Charges'!$I:$I,'Nursing Charges'!$A:$A,$A145,'Nursing Charges'!$C:$C,2))</f>
        <v/>
      </c>
      <c r="U145" s="12" t="str">
        <f>IF($A145="","",R145+(T145-SUMIFS('Nursing Charges'!$J:$J,'Nursing Charges'!$A:$A,$A145,'Nursing Charges'!$C:$C,2))+(S145-SUMIFS('Consumable Usage'!$F:$F,'Consumable Usage'!$A:$A,$A145,'Consumable Usage'!$D:$D,2)))</f>
        <v/>
      </c>
      <c r="V145" s="12" t="str">
        <f t="shared" si="4"/>
        <v/>
      </c>
      <c r="W145" s="20"/>
      <c r="X145" s="12" t="str">
        <f t="shared" si="5"/>
        <v/>
      </c>
      <c r="Y145" s="45" t="str">
        <f t="shared" si="6"/>
        <v/>
      </c>
      <c r="Z145" s="15"/>
      <c r="AA145" s="15"/>
      <c r="AB145" s="20"/>
      <c r="AC145" s="12" t="str">
        <f>IF($A145="","",SUMIFS('Consumable Usage'!$E:$E,'Consumable Usage'!$A:$A,$A145,'Consumable Usage'!$D:$D,3))</f>
        <v/>
      </c>
      <c r="AD145" s="12" t="str">
        <f>IF($A145="","",SUMIFS('Nursing Charges'!$I:$I,'Nursing Charges'!$A:$A,$A145,'Nursing Charges'!$C:$C,3))</f>
        <v/>
      </c>
      <c r="AE145" s="12" t="str">
        <f>IF($A145="","",AB145+(AD145-SUMIFS('Nursing Charges'!$J:$J,'Nursing Charges'!$A:$A,$A145,'Nursing Charges'!$C:$C,3))+(AC145-SUMIFS('Consumable Usage'!$F:$F,'Consumable Usage'!$A:$A,$A145,'Consumable Usage'!$D:$D,3)))</f>
        <v/>
      </c>
      <c r="AF145" s="12" t="str">
        <f t="shared" si="7"/>
        <v/>
      </c>
      <c r="AG145" s="20"/>
      <c r="AH145" s="12" t="str">
        <f t="shared" si="8"/>
        <v/>
      </c>
      <c r="AI145" s="45" t="str">
        <f t="shared" si="9"/>
        <v/>
      </c>
      <c r="AJ145" s="15"/>
      <c r="AK145" s="15"/>
      <c r="AL145" s="20"/>
      <c r="AM145" s="12" t="str">
        <f>IF($A145="","",SUMIFS('Consumable Usage'!$E:$E,'Consumable Usage'!$A:$A,$A145,'Consumable Usage'!$D:$D,4))</f>
        <v/>
      </c>
      <c r="AN145" s="12" t="str">
        <f>IF($A145="","",SUMIFS('Nursing Charges'!$I:$I,'Nursing Charges'!$A:$A,$A145,'Nursing Charges'!$C:$C,4))</f>
        <v/>
      </c>
      <c r="AO145" s="12" t="str">
        <f>IF($A145="","",AL145+(AN145-SUMIFS('Nursing Charges'!$J:$J,'Nursing Charges'!$A:$A,$A145,'Nursing Charges'!$C:$C,4))+(AM145-SUMIFS('Consumable Usage'!$F:$F,'Consumable Usage'!$A:$A,$A145,'Consumable Usage'!$D:$D,4)))</f>
        <v/>
      </c>
      <c r="AP145" s="12" t="str">
        <f t="shared" si="10"/>
        <v/>
      </c>
      <c r="AQ145" s="20"/>
      <c r="AR145" s="12" t="str">
        <f t="shared" si="11"/>
        <v/>
      </c>
      <c r="AS145" s="45" t="str">
        <f t="shared" si="12"/>
        <v/>
      </c>
      <c r="AT145" s="15"/>
      <c r="AU145" s="15"/>
      <c r="AV145" s="20"/>
      <c r="AW145" s="12" t="str">
        <f>IF($A145="","",SUMIFS('Consumable Usage'!$E:$E,'Consumable Usage'!$A:$A,$A145,'Consumable Usage'!$D:$D,5))</f>
        <v/>
      </c>
      <c r="AX145" s="12" t="str">
        <f>IF($A145="","",SUMIFS('Nursing Charges'!$I:$I,'Nursing Charges'!$A:$A,$A145,'Nursing Charges'!$C:$C,5))</f>
        <v/>
      </c>
      <c r="AY145" s="12" t="str">
        <f>IF($A145="","",AV145+(AX145-SUMIFS('Nursing Charges'!$J:$J,'Nursing Charges'!$A:$A,$A145,'Nursing Charges'!$C:$C,5))+(AW145-SUMIFS('Consumable Usage'!$F:$F,'Consumable Usage'!$A:$A,$A145,'Consumable Usage'!$D:$D,5)))</f>
        <v/>
      </c>
      <c r="AZ145" s="12" t="str">
        <f t="shared" si="13"/>
        <v/>
      </c>
      <c r="BA145" s="20"/>
      <c r="BB145" s="12" t="str">
        <f t="shared" si="14"/>
        <v/>
      </c>
      <c r="BC145" s="45" t="str">
        <f t="shared" si="15"/>
        <v/>
      </c>
      <c r="BD145" s="15"/>
      <c r="BE145" s="15"/>
      <c r="BF145" s="20"/>
      <c r="BG145" s="12" t="str">
        <f>IF($A145="","",SUMIFS('Consumable Usage'!$E:$E,'Consumable Usage'!$A:$A,$A145,'Consumable Usage'!$D:$D,6))</f>
        <v/>
      </c>
      <c r="BH145" s="12" t="str">
        <f>IF($A145="","",SUMIFS('Nursing Charges'!$I:$I,'Nursing Charges'!$A:$A,$A145,'Nursing Charges'!$C:$C,6))</f>
        <v/>
      </c>
      <c r="BI145" s="12" t="str">
        <f>IF($A145="","",BF145+(BH145-SUMIFS('Nursing Charges'!$J:$J,'Nursing Charges'!$A:$A,$A145,'Nursing Charges'!$C:$C,6))+(BG145-SUMIFS('Consumable Usage'!$F:$F,'Consumable Usage'!$A:$A,$A145,'Consumable Usage'!$D:$D,6)))</f>
        <v/>
      </c>
      <c r="BJ145" s="12" t="str">
        <f t="shared" si="16"/>
        <v/>
      </c>
      <c r="BK145" s="20"/>
      <c r="BL145" s="12" t="str">
        <f t="shared" si="17"/>
        <v/>
      </c>
      <c r="BM145" s="45" t="str">
        <f t="shared" si="18"/>
        <v/>
      </c>
      <c r="BN145" s="15"/>
      <c r="BO145" s="15"/>
      <c r="BP145" s="20"/>
      <c r="BQ145" s="12" t="str">
        <f>IF($A145="","",SUMIFS('Consumable Usage'!$E:$E,'Consumable Usage'!$A:$A,$A145,'Consumable Usage'!$D:$D,7))</f>
        <v/>
      </c>
      <c r="BR145" s="12" t="str">
        <f>IF($A145="","",SUMIFS('Nursing Charges'!$I:$I,'Nursing Charges'!$A:$A,$A145,'Nursing Charges'!$C:$C,7))</f>
        <v/>
      </c>
      <c r="BS145" s="12" t="str">
        <f>IF($A145="","",BP145+(BR145-SUMIFS('Nursing Charges'!$J:$J,'Nursing Charges'!$A:$A,$A145,'Nursing Charges'!$C:$C,7))+(BQ145-SUMIFS('Consumable Usage'!$F:$F,'Consumable Usage'!$A:$A,$A145,'Consumable Usage'!$D:$D,7)))</f>
        <v/>
      </c>
      <c r="BT145" s="12" t="str">
        <f t="shared" si="19"/>
        <v/>
      </c>
      <c r="BU145" s="20"/>
      <c r="BV145" s="12" t="str">
        <f t="shared" si="20"/>
        <v/>
      </c>
      <c r="BW145" s="45" t="str">
        <f t="shared" si="21"/>
        <v/>
      </c>
      <c r="BX145" s="15"/>
      <c r="BY145" s="15"/>
      <c r="BZ145" s="20"/>
      <c r="CA145" s="12" t="str">
        <f>IF($A145="","",SUMIFS('Consumable Usage'!$E:$E,'Consumable Usage'!$A:$A,$A145,'Consumable Usage'!$D:$D,8))</f>
        <v/>
      </c>
      <c r="CB145" s="12" t="str">
        <f>IF($A145="","",SUMIFS('Nursing Charges'!$I:$I,'Nursing Charges'!$A:$A,$A145,'Nursing Charges'!$C:$C,8))</f>
        <v/>
      </c>
      <c r="CC145" s="12" t="str">
        <f>IF($A145="","",BZ145+(CB145-SUMIFS('Nursing Charges'!$J:$J,'Nursing Charges'!$A:$A,$A145,'Nursing Charges'!$C:$C,8))+(CA145-SUMIFS('Consumable Usage'!$F:$F,'Consumable Usage'!$A:$A,$A145,'Consumable Usage'!$D:$D,8)))</f>
        <v/>
      </c>
      <c r="CD145" s="12" t="str">
        <f t="shared" si="22"/>
        <v/>
      </c>
      <c r="CE145" s="20"/>
      <c r="CF145" s="12" t="str">
        <f t="shared" si="23"/>
        <v/>
      </c>
      <c r="CG145" s="45" t="str">
        <f t="shared" si="24"/>
        <v/>
      </c>
      <c r="CH145" s="15"/>
      <c r="CI145" s="15"/>
      <c r="CJ145" s="20"/>
      <c r="CK145" s="12" t="str">
        <f>IF($A145="","",SUMIFS('Consumable Usage'!$E:$E,'Consumable Usage'!$A:$A,$A145,'Consumable Usage'!$D:$D,9))</f>
        <v/>
      </c>
      <c r="CL145" s="12" t="str">
        <f>IF($A145="","",SUMIFS('Nursing Charges'!$I:$I,'Nursing Charges'!$A:$A,$A145,'Nursing Charges'!$C:$C,9))</f>
        <v/>
      </c>
      <c r="CM145" s="12" t="str">
        <f>IF($A145="","",CJ145+(CL145-SUMIFS('Nursing Charges'!$J:$J,'Nursing Charges'!$A:$A,$A145,'Nursing Charges'!$C:$C,9))+(CK145-SUMIFS('Consumable Usage'!$F:$F,'Consumable Usage'!$A:$A,$A145,'Consumable Usage'!$D:$D,9)))</f>
        <v/>
      </c>
      <c r="CN145" s="12" t="str">
        <f t="shared" si="25"/>
        <v/>
      </c>
      <c r="CO145" s="20"/>
      <c r="CP145" s="12" t="str">
        <f t="shared" si="26"/>
        <v/>
      </c>
      <c r="CQ145" s="45" t="str">
        <f t="shared" si="27"/>
        <v/>
      </c>
      <c r="CR145" s="15"/>
      <c r="CS145" s="15"/>
      <c r="CT145" s="20"/>
      <c r="CU145" s="12" t="str">
        <f>IF($A145="","",SUMIFS('Consumable Usage'!$E:$E,'Consumable Usage'!$A:$A,$A145,'Consumable Usage'!$D:$D,10))</f>
        <v/>
      </c>
      <c r="CV145" s="12" t="str">
        <f>IF($A145="","",SUMIFS('Nursing Charges'!$I:$I,'Nursing Charges'!$A:$A,$A145,'Nursing Charges'!$C:$C,10))</f>
        <v/>
      </c>
      <c r="CW145" s="12" t="str">
        <f>IF($A145="","",CT145+(CV145-SUMIFS('Nursing Charges'!$J:$J,'Nursing Charges'!$A:$A,$A145,'Nursing Charges'!$C:$C,10))+(CU145-SUMIFS('Consumable Usage'!$F:$F,'Consumable Usage'!$A:$A,$A145,'Consumable Usage'!$D:$D,10)))</f>
        <v/>
      </c>
      <c r="CX145" s="12" t="str">
        <f t="shared" si="28"/>
        <v/>
      </c>
      <c r="CY145" s="20"/>
      <c r="CZ145" s="12" t="str">
        <f t="shared" si="29"/>
        <v/>
      </c>
      <c r="DA145" s="45" t="str">
        <f t="shared" si="30"/>
        <v/>
      </c>
      <c r="DB145" s="15"/>
      <c r="DC145" s="15"/>
      <c r="DD145" s="20"/>
      <c r="DE145" s="12" t="str">
        <f>IF($A145="","",SUMIFS('Consumable Usage'!$E:$E,'Consumable Usage'!$A:$A,$A145,'Consumable Usage'!$D:$D,11))</f>
        <v/>
      </c>
      <c r="DF145" s="12" t="str">
        <f>IF($A145="","",SUMIFS('Nursing Charges'!$I:$I,'Nursing Charges'!$A:$A,$A145,'Nursing Charges'!$C:$C,11))</f>
        <v/>
      </c>
      <c r="DG145" s="12" t="str">
        <f>IF($A145="","",DD145+(DF145-SUMIFS('Nursing Charges'!$J:$J,'Nursing Charges'!$A:$A,$A145,'Nursing Charges'!$C:$C,11))+(DE145-SUMIFS('Consumable Usage'!$F:$F,'Consumable Usage'!$A:$A,$A145,'Consumable Usage'!$D:$D,11)))</f>
        <v/>
      </c>
      <c r="DH145" s="12" t="str">
        <f t="shared" si="31"/>
        <v/>
      </c>
      <c r="DI145" s="20"/>
      <c r="DJ145" s="12" t="str">
        <f t="shared" si="32"/>
        <v/>
      </c>
      <c r="DK145" s="45" t="str">
        <f t="shared" si="33"/>
        <v/>
      </c>
      <c r="DL145" s="15"/>
      <c r="DM145" s="15"/>
      <c r="DN145" s="20"/>
      <c r="DO145" s="12" t="str">
        <f>IF($A145="","",SUMIFS('Consumable Usage'!$E:$E,'Consumable Usage'!$A:$A,$A145,'Consumable Usage'!$D:$D,12))</f>
        <v/>
      </c>
      <c r="DP145" s="12" t="str">
        <f>IF($A145="","",SUMIFS('Nursing Charges'!$I:$I,'Nursing Charges'!$A:$A,$A145,'Nursing Charges'!$C:$C,12))</f>
        <v/>
      </c>
      <c r="DQ145" s="12" t="str">
        <f>IF($A145="","",DN145+(DP145-SUMIFS('Nursing Charges'!$J:$J,'Nursing Charges'!$A:$A,$A145,'Nursing Charges'!$C:$C,12))+(DO145-SUMIFS('Consumable Usage'!$F:$F,'Consumable Usage'!$A:$A,$A145,'Consumable Usage'!$D:$D,12)))</f>
        <v/>
      </c>
      <c r="DR145" s="12" t="str">
        <f t="shared" si="34"/>
        <v/>
      </c>
      <c r="DS145" s="20"/>
      <c r="DT145" s="12" t="str">
        <f t="shared" si="35"/>
        <v/>
      </c>
      <c r="DU145" s="45" t="str">
        <f t="shared" si="36"/>
        <v/>
      </c>
      <c r="DV145" s="15"/>
      <c r="DW145" s="15"/>
      <c r="DX145" s="20"/>
      <c r="DY145" s="12" t="str">
        <f>IF($A145="","",SUMIFS('Consumable Usage'!$E:$E,'Consumable Usage'!$A:$A,$A145,'Consumable Usage'!$D:$D,13))</f>
        <v/>
      </c>
      <c r="DZ145" s="12" t="str">
        <f>IF($A145="","",SUMIFS('Nursing Charges'!$I:$I,'Nursing Charges'!$A:$A,$A145,'Nursing Charges'!$C:$C,13))</f>
        <v/>
      </c>
      <c r="EA145" s="12" t="str">
        <f>IF($A145="","",DX145+(DZ145-SUMIFS('Nursing Charges'!$J:$J,'Nursing Charges'!$A:$A,$A145,'Nursing Charges'!$C:$C,13))+(DY145-SUMIFS('Consumable Usage'!$F:$F,'Consumable Usage'!$A:$A,$A145,'Consumable Usage'!$D:$D,13)))</f>
        <v/>
      </c>
      <c r="EB145" s="12" t="str">
        <f t="shared" si="37"/>
        <v/>
      </c>
      <c r="EC145" s="20"/>
      <c r="ED145" s="12" t="str">
        <f t="shared" si="38"/>
        <v/>
      </c>
      <c r="EE145" s="45" t="str">
        <f t="shared" si="39"/>
        <v/>
      </c>
      <c r="EF145" s="15"/>
      <c r="EG145" s="15"/>
      <c r="EH145" s="20"/>
      <c r="EI145" s="12" t="str">
        <f>IF($A145="","",SUMIFS('Consumable Usage'!$E:$E,'Consumable Usage'!$A:$A,$A145,'Consumable Usage'!$D:$D,14))</f>
        <v/>
      </c>
      <c r="EJ145" s="12" t="str">
        <f>IF($A145="","",SUMIFS('Nursing Charges'!$I:$I,'Nursing Charges'!$A:$A,$A145,'Nursing Charges'!$C:$C,14))</f>
        <v/>
      </c>
      <c r="EK145" s="12" t="str">
        <f>IF($A145="","",EH145+(EJ145-SUMIFS('Nursing Charges'!$J:$J,'Nursing Charges'!$A:$A,$A145,'Nursing Charges'!$C:$C,14))+(EI145-SUMIFS('Consumable Usage'!$F:$F,'Consumable Usage'!$A:$A,$A145,'Consumable Usage'!$D:$D,14)))</f>
        <v/>
      </c>
      <c r="EL145" s="12" t="str">
        <f t="shared" si="40"/>
        <v/>
      </c>
      <c r="EM145" s="20"/>
      <c r="EN145" s="12" t="str">
        <f t="shared" si="41"/>
        <v/>
      </c>
      <c r="EO145" s="45" t="str">
        <f t="shared" si="42"/>
        <v/>
      </c>
      <c r="EP145" s="15"/>
      <c r="EQ145" s="15"/>
      <c r="ER145" s="20"/>
      <c r="ES145" s="12" t="str">
        <f>IF($A145="","",SUMIFS('Consumable Usage'!$E:$E,'Consumable Usage'!$A:$A,$A145,'Consumable Usage'!$D:$D,15))</f>
        <v/>
      </c>
      <c r="ET145" s="12" t="str">
        <f>IF($A145="","",SUMIFS('Nursing Charges'!$I:$I,'Nursing Charges'!$A:$A,$A145,'Nursing Charges'!$C:$C,15))</f>
        <v/>
      </c>
      <c r="EU145" s="12" t="str">
        <f>IF($A145="","",ER145+(ET145-SUMIFS('Nursing Charges'!$J:$J,'Nursing Charges'!$A:$A,$A145,'Nursing Charges'!$C:$C,15))+(ES145-SUMIFS('Consumable Usage'!$F:$F,'Consumable Usage'!$A:$A,$A145,'Consumable Usage'!$D:$D,15)))</f>
        <v/>
      </c>
      <c r="EV145" s="12" t="str">
        <f t="shared" si="43"/>
        <v/>
      </c>
      <c r="EW145" s="20"/>
      <c r="EX145" s="12" t="str">
        <f t="shared" si="44"/>
        <v/>
      </c>
      <c r="EY145" s="45" t="str">
        <f t="shared" si="45"/>
        <v/>
      </c>
      <c r="EZ145" s="15"/>
      <c r="FA145" s="15"/>
      <c r="FB145" s="20"/>
      <c r="FC145" s="12" t="str">
        <f>IF($A145="","",SUMIFS('Consumable Usage'!$E:$E,'Consumable Usage'!$A:$A,$A145,'Consumable Usage'!$D:$D,16))</f>
        <v/>
      </c>
      <c r="FD145" s="12" t="str">
        <f>IF($A145="","",SUMIFS('Nursing Charges'!$I:$I,'Nursing Charges'!$A:$A,$A145,'Nursing Charges'!$C:$C,16))</f>
        <v/>
      </c>
      <c r="FE145" s="12" t="str">
        <f>IF($A145="","",FB145+(FD145-SUMIFS('Nursing Charges'!$J:$J,'Nursing Charges'!$A:$A,$A145,'Nursing Charges'!$C:$C,16))+(FC145-SUMIFS('Consumable Usage'!$F:$F,'Consumable Usage'!$A:$A,$A145,'Consumable Usage'!$D:$D,16)))</f>
        <v/>
      </c>
      <c r="FF145" s="12" t="str">
        <f t="shared" si="46"/>
        <v/>
      </c>
      <c r="FG145" s="20"/>
      <c r="FH145" s="12" t="str">
        <f t="shared" si="47"/>
        <v/>
      </c>
      <c r="FI145" s="45" t="str">
        <f t="shared" si="48"/>
        <v/>
      </c>
      <c r="FJ145" s="53"/>
      <c r="FK145" s="53"/>
      <c r="FL145" s="63"/>
      <c r="FM145" s="63" t="str">
        <f>IF($A145="","",SUMIFS('Consumable Usage'!$E:$E,'Consumable Usage'!$A:$A,$A145,'Consumable Usage'!$D:$D,16))</f>
        <v/>
      </c>
      <c r="FN145" s="63" t="str">
        <f>IF($A145="","",SUMIFS('Nursing Charges'!$I:$I,'Nursing Charges'!$A:$A,$A145,'Nursing Charges'!$C:$C,16))</f>
        <v/>
      </c>
      <c r="FO145" s="63" t="str">
        <f>IF($A145="","",FL145+(FN145-SUMIFS('Nursing Charges'!$J:$J,'Nursing Charges'!$A:$A,$A145,'Nursing Charges'!$C:$C,16))+(FM145-SUMIFS('Consumable Usage'!$F:$F,'Consumable Usage'!$A:$A,$A145,'Consumable Usage'!$D:$D,16)))</f>
        <v/>
      </c>
      <c r="FP145" s="63" t="str">
        <f t="shared" si="49"/>
        <v/>
      </c>
      <c r="FQ145" s="63"/>
      <c r="FR145" s="63" t="str">
        <f t="shared" si="50"/>
        <v/>
      </c>
      <c r="FS145" s="53" t="str">
        <f t="shared" si="51"/>
        <v/>
      </c>
    </row>
    <row r="146" ht="15.0" customHeight="1">
      <c r="A146" s="15"/>
      <c r="B146" s="15"/>
      <c r="C146" s="15"/>
      <c r="D146" s="15"/>
      <c r="E146" s="15"/>
      <c r="F146" s="15"/>
      <c r="G146" s="15"/>
      <c r="H146" s="20"/>
      <c r="I146" s="12" t="str">
        <f>IF($A146="","",SUMIFS('Consumable Usage'!$E:$E,'Consumable Usage'!$A:$A,$A146,'Consumable Usage'!$D:$D,1))</f>
        <v/>
      </c>
      <c r="J146" s="12" t="str">
        <f>IF($A146="","",SUMIFS('Nursing Charges'!$I:$I,'Nursing Charges'!$A:$A,$A146,'Nursing Charges'!$C:$C,1))</f>
        <v/>
      </c>
      <c r="K146" s="12" t="str">
        <f>IF($A146="","",H146+(J146-SUMIFS('Nursing Charges'!$J:$J,'Nursing Charges'!$A:$A,$A146,'Nursing Charges'!$C:$C,1))+(I146-SUMIFS('Consumable Usage'!$F:$F,'Consumable Usage'!$A:$A,$A146,'Consumable Usage'!$D:$D,1)))</f>
        <v/>
      </c>
      <c r="L146" s="12" t="str">
        <f t="shared" si="1"/>
        <v/>
      </c>
      <c r="M146" s="20"/>
      <c r="N146" s="12" t="str">
        <f t="shared" si="2"/>
        <v/>
      </c>
      <c r="O146" s="45" t="str">
        <f t="shared" si="3"/>
        <v/>
      </c>
      <c r="P146" s="15"/>
      <c r="Q146" s="15"/>
      <c r="R146" s="20"/>
      <c r="S146" s="12" t="str">
        <f>IF($A146="","",SUMIFS('Consumable Usage'!$E:$E,'Consumable Usage'!$A:$A,$A146,'Consumable Usage'!$D:$D,2))</f>
        <v/>
      </c>
      <c r="T146" s="12" t="str">
        <f>IF($A146="","",SUMIFS('Nursing Charges'!$I:$I,'Nursing Charges'!$A:$A,$A146,'Nursing Charges'!$C:$C,2))</f>
        <v/>
      </c>
      <c r="U146" s="12" t="str">
        <f>IF($A146="","",R146+(T146-SUMIFS('Nursing Charges'!$J:$J,'Nursing Charges'!$A:$A,$A146,'Nursing Charges'!$C:$C,2))+(S146-SUMIFS('Consumable Usage'!$F:$F,'Consumable Usage'!$A:$A,$A146,'Consumable Usage'!$D:$D,2)))</f>
        <v/>
      </c>
      <c r="V146" s="12" t="str">
        <f t="shared" si="4"/>
        <v/>
      </c>
      <c r="W146" s="20"/>
      <c r="X146" s="12" t="str">
        <f t="shared" si="5"/>
        <v/>
      </c>
      <c r="Y146" s="45" t="str">
        <f t="shared" si="6"/>
        <v/>
      </c>
      <c r="Z146" s="15"/>
      <c r="AA146" s="15"/>
      <c r="AB146" s="20"/>
      <c r="AC146" s="12" t="str">
        <f>IF($A146="","",SUMIFS('Consumable Usage'!$E:$E,'Consumable Usage'!$A:$A,$A146,'Consumable Usage'!$D:$D,3))</f>
        <v/>
      </c>
      <c r="AD146" s="12" t="str">
        <f>IF($A146="","",SUMIFS('Nursing Charges'!$I:$I,'Nursing Charges'!$A:$A,$A146,'Nursing Charges'!$C:$C,3))</f>
        <v/>
      </c>
      <c r="AE146" s="12" t="str">
        <f>IF($A146="","",AB146+(AD146-SUMIFS('Nursing Charges'!$J:$J,'Nursing Charges'!$A:$A,$A146,'Nursing Charges'!$C:$C,3))+(AC146-SUMIFS('Consumable Usage'!$F:$F,'Consumable Usage'!$A:$A,$A146,'Consumable Usage'!$D:$D,3)))</f>
        <v/>
      </c>
      <c r="AF146" s="12" t="str">
        <f t="shared" si="7"/>
        <v/>
      </c>
      <c r="AG146" s="20"/>
      <c r="AH146" s="12" t="str">
        <f t="shared" si="8"/>
        <v/>
      </c>
      <c r="AI146" s="45" t="str">
        <f t="shared" si="9"/>
        <v/>
      </c>
      <c r="AJ146" s="15"/>
      <c r="AK146" s="15"/>
      <c r="AL146" s="20"/>
      <c r="AM146" s="12" t="str">
        <f>IF($A146="","",SUMIFS('Consumable Usage'!$E:$E,'Consumable Usage'!$A:$A,$A146,'Consumable Usage'!$D:$D,4))</f>
        <v/>
      </c>
      <c r="AN146" s="12" t="str">
        <f>IF($A146="","",SUMIFS('Nursing Charges'!$I:$I,'Nursing Charges'!$A:$A,$A146,'Nursing Charges'!$C:$C,4))</f>
        <v/>
      </c>
      <c r="AO146" s="12" t="str">
        <f>IF($A146="","",AL146+(AN146-SUMIFS('Nursing Charges'!$J:$J,'Nursing Charges'!$A:$A,$A146,'Nursing Charges'!$C:$C,4))+(AM146-SUMIFS('Consumable Usage'!$F:$F,'Consumable Usage'!$A:$A,$A146,'Consumable Usage'!$D:$D,4)))</f>
        <v/>
      </c>
      <c r="AP146" s="12" t="str">
        <f t="shared" si="10"/>
        <v/>
      </c>
      <c r="AQ146" s="20"/>
      <c r="AR146" s="12" t="str">
        <f t="shared" si="11"/>
        <v/>
      </c>
      <c r="AS146" s="45" t="str">
        <f t="shared" si="12"/>
        <v/>
      </c>
      <c r="AT146" s="15"/>
      <c r="AU146" s="15"/>
      <c r="AV146" s="20"/>
      <c r="AW146" s="12" t="str">
        <f>IF($A146="","",SUMIFS('Consumable Usage'!$E:$E,'Consumable Usage'!$A:$A,$A146,'Consumable Usage'!$D:$D,5))</f>
        <v/>
      </c>
      <c r="AX146" s="12" t="str">
        <f>IF($A146="","",SUMIFS('Nursing Charges'!$I:$I,'Nursing Charges'!$A:$A,$A146,'Nursing Charges'!$C:$C,5))</f>
        <v/>
      </c>
      <c r="AY146" s="12" t="str">
        <f>IF($A146="","",AV146+(AX146-SUMIFS('Nursing Charges'!$J:$J,'Nursing Charges'!$A:$A,$A146,'Nursing Charges'!$C:$C,5))+(AW146-SUMIFS('Consumable Usage'!$F:$F,'Consumable Usage'!$A:$A,$A146,'Consumable Usage'!$D:$D,5)))</f>
        <v/>
      </c>
      <c r="AZ146" s="12" t="str">
        <f t="shared" si="13"/>
        <v/>
      </c>
      <c r="BA146" s="20"/>
      <c r="BB146" s="12" t="str">
        <f t="shared" si="14"/>
        <v/>
      </c>
      <c r="BC146" s="45" t="str">
        <f t="shared" si="15"/>
        <v/>
      </c>
      <c r="BD146" s="15"/>
      <c r="BE146" s="15"/>
      <c r="BF146" s="20"/>
      <c r="BG146" s="12" t="str">
        <f>IF($A146="","",SUMIFS('Consumable Usage'!$E:$E,'Consumable Usage'!$A:$A,$A146,'Consumable Usage'!$D:$D,6))</f>
        <v/>
      </c>
      <c r="BH146" s="12" t="str">
        <f>IF($A146="","",SUMIFS('Nursing Charges'!$I:$I,'Nursing Charges'!$A:$A,$A146,'Nursing Charges'!$C:$C,6))</f>
        <v/>
      </c>
      <c r="BI146" s="12" t="str">
        <f>IF($A146="","",BF146+(BH146-SUMIFS('Nursing Charges'!$J:$J,'Nursing Charges'!$A:$A,$A146,'Nursing Charges'!$C:$C,6))+(BG146-SUMIFS('Consumable Usage'!$F:$F,'Consumable Usage'!$A:$A,$A146,'Consumable Usage'!$D:$D,6)))</f>
        <v/>
      </c>
      <c r="BJ146" s="12" t="str">
        <f t="shared" si="16"/>
        <v/>
      </c>
      <c r="BK146" s="20"/>
      <c r="BL146" s="12" t="str">
        <f t="shared" si="17"/>
        <v/>
      </c>
      <c r="BM146" s="45" t="str">
        <f t="shared" si="18"/>
        <v/>
      </c>
      <c r="BN146" s="15"/>
      <c r="BO146" s="15"/>
      <c r="BP146" s="20"/>
      <c r="BQ146" s="12" t="str">
        <f>IF($A146="","",SUMIFS('Consumable Usage'!$E:$E,'Consumable Usage'!$A:$A,$A146,'Consumable Usage'!$D:$D,7))</f>
        <v/>
      </c>
      <c r="BR146" s="12" t="str">
        <f>IF($A146="","",SUMIFS('Nursing Charges'!$I:$I,'Nursing Charges'!$A:$A,$A146,'Nursing Charges'!$C:$C,7))</f>
        <v/>
      </c>
      <c r="BS146" s="12" t="str">
        <f>IF($A146="","",BP146+(BR146-SUMIFS('Nursing Charges'!$J:$J,'Nursing Charges'!$A:$A,$A146,'Nursing Charges'!$C:$C,7))+(BQ146-SUMIFS('Consumable Usage'!$F:$F,'Consumable Usage'!$A:$A,$A146,'Consumable Usage'!$D:$D,7)))</f>
        <v/>
      </c>
      <c r="BT146" s="12" t="str">
        <f t="shared" si="19"/>
        <v/>
      </c>
      <c r="BU146" s="20"/>
      <c r="BV146" s="12" t="str">
        <f t="shared" si="20"/>
        <v/>
      </c>
      <c r="BW146" s="45" t="str">
        <f t="shared" si="21"/>
        <v/>
      </c>
      <c r="BX146" s="15"/>
      <c r="BY146" s="15"/>
      <c r="BZ146" s="20"/>
      <c r="CA146" s="12" t="str">
        <f>IF($A146="","",SUMIFS('Consumable Usage'!$E:$E,'Consumable Usage'!$A:$A,$A146,'Consumable Usage'!$D:$D,8))</f>
        <v/>
      </c>
      <c r="CB146" s="12" t="str">
        <f>IF($A146="","",SUMIFS('Nursing Charges'!$I:$I,'Nursing Charges'!$A:$A,$A146,'Nursing Charges'!$C:$C,8))</f>
        <v/>
      </c>
      <c r="CC146" s="12" t="str">
        <f>IF($A146="","",BZ146+(CB146-SUMIFS('Nursing Charges'!$J:$J,'Nursing Charges'!$A:$A,$A146,'Nursing Charges'!$C:$C,8))+(CA146-SUMIFS('Consumable Usage'!$F:$F,'Consumable Usage'!$A:$A,$A146,'Consumable Usage'!$D:$D,8)))</f>
        <v/>
      </c>
      <c r="CD146" s="12" t="str">
        <f t="shared" si="22"/>
        <v/>
      </c>
      <c r="CE146" s="20"/>
      <c r="CF146" s="12" t="str">
        <f t="shared" si="23"/>
        <v/>
      </c>
      <c r="CG146" s="45" t="str">
        <f t="shared" si="24"/>
        <v/>
      </c>
      <c r="CH146" s="15"/>
      <c r="CI146" s="15"/>
      <c r="CJ146" s="20"/>
      <c r="CK146" s="12" t="str">
        <f>IF($A146="","",SUMIFS('Consumable Usage'!$E:$E,'Consumable Usage'!$A:$A,$A146,'Consumable Usage'!$D:$D,9))</f>
        <v/>
      </c>
      <c r="CL146" s="12" t="str">
        <f>IF($A146="","",SUMIFS('Nursing Charges'!$I:$I,'Nursing Charges'!$A:$A,$A146,'Nursing Charges'!$C:$C,9))</f>
        <v/>
      </c>
      <c r="CM146" s="12" t="str">
        <f>IF($A146="","",CJ146+(CL146-SUMIFS('Nursing Charges'!$J:$J,'Nursing Charges'!$A:$A,$A146,'Nursing Charges'!$C:$C,9))+(CK146-SUMIFS('Consumable Usage'!$F:$F,'Consumable Usage'!$A:$A,$A146,'Consumable Usage'!$D:$D,9)))</f>
        <v/>
      </c>
      <c r="CN146" s="12" t="str">
        <f t="shared" si="25"/>
        <v/>
      </c>
      <c r="CO146" s="20"/>
      <c r="CP146" s="12" t="str">
        <f t="shared" si="26"/>
        <v/>
      </c>
      <c r="CQ146" s="45" t="str">
        <f t="shared" si="27"/>
        <v/>
      </c>
      <c r="CR146" s="15"/>
      <c r="CS146" s="15"/>
      <c r="CT146" s="20"/>
      <c r="CU146" s="12" t="str">
        <f>IF($A146="","",SUMIFS('Consumable Usage'!$E:$E,'Consumable Usage'!$A:$A,$A146,'Consumable Usage'!$D:$D,10))</f>
        <v/>
      </c>
      <c r="CV146" s="12" t="str">
        <f>IF($A146="","",SUMIFS('Nursing Charges'!$I:$I,'Nursing Charges'!$A:$A,$A146,'Nursing Charges'!$C:$C,10))</f>
        <v/>
      </c>
      <c r="CW146" s="12" t="str">
        <f>IF($A146="","",CT146+(CV146-SUMIFS('Nursing Charges'!$J:$J,'Nursing Charges'!$A:$A,$A146,'Nursing Charges'!$C:$C,10))+(CU146-SUMIFS('Consumable Usage'!$F:$F,'Consumable Usage'!$A:$A,$A146,'Consumable Usage'!$D:$D,10)))</f>
        <v/>
      </c>
      <c r="CX146" s="12" t="str">
        <f t="shared" si="28"/>
        <v/>
      </c>
      <c r="CY146" s="20"/>
      <c r="CZ146" s="12" t="str">
        <f t="shared" si="29"/>
        <v/>
      </c>
      <c r="DA146" s="45" t="str">
        <f t="shared" si="30"/>
        <v/>
      </c>
      <c r="DB146" s="15"/>
      <c r="DC146" s="15"/>
      <c r="DD146" s="20"/>
      <c r="DE146" s="12" t="str">
        <f>IF($A146="","",SUMIFS('Consumable Usage'!$E:$E,'Consumable Usage'!$A:$A,$A146,'Consumable Usage'!$D:$D,11))</f>
        <v/>
      </c>
      <c r="DF146" s="12" t="str">
        <f>IF($A146="","",SUMIFS('Nursing Charges'!$I:$I,'Nursing Charges'!$A:$A,$A146,'Nursing Charges'!$C:$C,11))</f>
        <v/>
      </c>
      <c r="DG146" s="12" t="str">
        <f>IF($A146="","",DD146+(DF146-SUMIFS('Nursing Charges'!$J:$J,'Nursing Charges'!$A:$A,$A146,'Nursing Charges'!$C:$C,11))+(DE146-SUMIFS('Consumable Usage'!$F:$F,'Consumable Usage'!$A:$A,$A146,'Consumable Usage'!$D:$D,11)))</f>
        <v/>
      </c>
      <c r="DH146" s="12" t="str">
        <f t="shared" si="31"/>
        <v/>
      </c>
      <c r="DI146" s="20"/>
      <c r="DJ146" s="12" t="str">
        <f t="shared" si="32"/>
        <v/>
      </c>
      <c r="DK146" s="45" t="str">
        <f t="shared" si="33"/>
        <v/>
      </c>
      <c r="DL146" s="15"/>
      <c r="DM146" s="15"/>
      <c r="DN146" s="20"/>
      <c r="DO146" s="12" t="str">
        <f>IF($A146="","",SUMIFS('Consumable Usage'!$E:$E,'Consumable Usage'!$A:$A,$A146,'Consumable Usage'!$D:$D,12))</f>
        <v/>
      </c>
      <c r="DP146" s="12" t="str">
        <f>IF($A146="","",SUMIFS('Nursing Charges'!$I:$I,'Nursing Charges'!$A:$A,$A146,'Nursing Charges'!$C:$C,12))</f>
        <v/>
      </c>
      <c r="DQ146" s="12" t="str">
        <f>IF($A146="","",DN146+(DP146-SUMIFS('Nursing Charges'!$J:$J,'Nursing Charges'!$A:$A,$A146,'Nursing Charges'!$C:$C,12))+(DO146-SUMIFS('Consumable Usage'!$F:$F,'Consumable Usage'!$A:$A,$A146,'Consumable Usage'!$D:$D,12)))</f>
        <v/>
      </c>
      <c r="DR146" s="12" t="str">
        <f t="shared" si="34"/>
        <v/>
      </c>
      <c r="DS146" s="20"/>
      <c r="DT146" s="12" t="str">
        <f t="shared" si="35"/>
        <v/>
      </c>
      <c r="DU146" s="45" t="str">
        <f t="shared" si="36"/>
        <v/>
      </c>
      <c r="DV146" s="15"/>
      <c r="DW146" s="15"/>
      <c r="DX146" s="20"/>
      <c r="DY146" s="12" t="str">
        <f>IF($A146="","",SUMIFS('Consumable Usage'!$E:$E,'Consumable Usage'!$A:$A,$A146,'Consumable Usage'!$D:$D,13))</f>
        <v/>
      </c>
      <c r="DZ146" s="12" t="str">
        <f>IF($A146="","",SUMIFS('Nursing Charges'!$I:$I,'Nursing Charges'!$A:$A,$A146,'Nursing Charges'!$C:$C,13))</f>
        <v/>
      </c>
      <c r="EA146" s="12" t="str">
        <f>IF($A146="","",DX146+(DZ146-SUMIFS('Nursing Charges'!$J:$J,'Nursing Charges'!$A:$A,$A146,'Nursing Charges'!$C:$C,13))+(DY146-SUMIFS('Consumable Usage'!$F:$F,'Consumable Usage'!$A:$A,$A146,'Consumable Usage'!$D:$D,13)))</f>
        <v/>
      </c>
      <c r="EB146" s="12" t="str">
        <f t="shared" si="37"/>
        <v/>
      </c>
      <c r="EC146" s="20"/>
      <c r="ED146" s="12" t="str">
        <f t="shared" si="38"/>
        <v/>
      </c>
      <c r="EE146" s="45" t="str">
        <f t="shared" si="39"/>
        <v/>
      </c>
      <c r="EF146" s="15"/>
      <c r="EG146" s="15"/>
      <c r="EH146" s="20"/>
      <c r="EI146" s="12" t="str">
        <f>IF($A146="","",SUMIFS('Consumable Usage'!$E:$E,'Consumable Usage'!$A:$A,$A146,'Consumable Usage'!$D:$D,14))</f>
        <v/>
      </c>
      <c r="EJ146" s="12" t="str">
        <f>IF($A146="","",SUMIFS('Nursing Charges'!$I:$I,'Nursing Charges'!$A:$A,$A146,'Nursing Charges'!$C:$C,14))</f>
        <v/>
      </c>
      <c r="EK146" s="12" t="str">
        <f>IF($A146="","",EH146+(EJ146-SUMIFS('Nursing Charges'!$J:$J,'Nursing Charges'!$A:$A,$A146,'Nursing Charges'!$C:$C,14))+(EI146-SUMIFS('Consumable Usage'!$F:$F,'Consumable Usage'!$A:$A,$A146,'Consumable Usage'!$D:$D,14)))</f>
        <v/>
      </c>
      <c r="EL146" s="12" t="str">
        <f t="shared" si="40"/>
        <v/>
      </c>
      <c r="EM146" s="20"/>
      <c r="EN146" s="12" t="str">
        <f t="shared" si="41"/>
        <v/>
      </c>
      <c r="EO146" s="45" t="str">
        <f t="shared" si="42"/>
        <v/>
      </c>
      <c r="EP146" s="15"/>
      <c r="EQ146" s="15"/>
      <c r="ER146" s="20"/>
      <c r="ES146" s="12" t="str">
        <f>IF($A146="","",SUMIFS('Consumable Usage'!$E:$E,'Consumable Usage'!$A:$A,$A146,'Consumable Usage'!$D:$D,15))</f>
        <v/>
      </c>
      <c r="ET146" s="12" t="str">
        <f>IF($A146="","",SUMIFS('Nursing Charges'!$I:$I,'Nursing Charges'!$A:$A,$A146,'Nursing Charges'!$C:$C,15))</f>
        <v/>
      </c>
      <c r="EU146" s="12" t="str">
        <f>IF($A146="","",ER146+(ET146-SUMIFS('Nursing Charges'!$J:$J,'Nursing Charges'!$A:$A,$A146,'Nursing Charges'!$C:$C,15))+(ES146-SUMIFS('Consumable Usage'!$F:$F,'Consumable Usage'!$A:$A,$A146,'Consumable Usage'!$D:$D,15)))</f>
        <v/>
      </c>
      <c r="EV146" s="12" t="str">
        <f t="shared" si="43"/>
        <v/>
      </c>
      <c r="EW146" s="20"/>
      <c r="EX146" s="12" t="str">
        <f t="shared" si="44"/>
        <v/>
      </c>
      <c r="EY146" s="45" t="str">
        <f t="shared" si="45"/>
        <v/>
      </c>
      <c r="EZ146" s="15"/>
      <c r="FA146" s="15"/>
      <c r="FB146" s="20"/>
      <c r="FC146" s="12" t="str">
        <f>IF($A146="","",SUMIFS('Consumable Usage'!$E:$E,'Consumable Usage'!$A:$A,$A146,'Consumable Usage'!$D:$D,16))</f>
        <v/>
      </c>
      <c r="FD146" s="12" t="str">
        <f>IF($A146="","",SUMIFS('Nursing Charges'!$I:$I,'Nursing Charges'!$A:$A,$A146,'Nursing Charges'!$C:$C,16))</f>
        <v/>
      </c>
      <c r="FE146" s="12" t="str">
        <f>IF($A146="","",FB146+(FD146-SUMIFS('Nursing Charges'!$J:$J,'Nursing Charges'!$A:$A,$A146,'Nursing Charges'!$C:$C,16))+(FC146-SUMIFS('Consumable Usage'!$F:$F,'Consumable Usage'!$A:$A,$A146,'Consumable Usage'!$D:$D,16)))</f>
        <v/>
      </c>
      <c r="FF146" s="12" t="str">
        <f t="shared" si="46"/>
        <v/>
      </c>
      <c r="FG146" s="20"/>
      <c r="FH146" s="12" t="str">
        <f t="shared" si="47"/>
        <v/>
      </c>
      <c r="FI146" s="45" t="str">
        <f t="shared" si="48"/>
        <v/>
      </c>
      <c r="FJ146" s="53"/>
      <c r="FK146" s="53"/>
      <c r="FL146" s="63"/>
      <c r="FM146" s="63" t="str">
        <f>IF($A146="","",SUMIFS('Consumable Usage'!$E:$E,'Consumable Usage'!$A:$A,$A146,'Consumable Usage'!$D:$D,16))</f>
        <v/>
      </c>
      <c r="FN146" s="63" t="str">
        <f>IF($A146="","",SUMIFS('Nursing Charges'!$I:$I,'Nursing Charges'!$A:$A,$A146,'Nursing Charges'!$C:$C,16))</f>
        <v/>
      </c>
      <c r="FO146" s="63" t="str">
        <f>IF($A146="","",FL146+(FN146-SUMIFS('Nursing Charges'!$J:$J,'Nursing Charges'!$A:$A,$A146,'Nursing Charges'!$C:$C,16))+(FM146-SUMIFS('Consumable Usage'!$F:$F,'Consumable Usage'!$A:$A,$A146,'Consumable Usage'!$D:$D,16)))</f>
        <v/>
      </c>
      <c r="FP146" s="63" t="str">
        <f t="shared" si="49"/>
        <v/>
      </c>
      <c r="FQ146" s="63"/>
      <c r="FR146" s="63" t="str">
        <f t="shared" si="50"/>
        <v/>
      </c>
      <c r="FS146" s="53" t="str">
        <f t="shared" si="51"/>
        <v/>
      </c>
    </row>
    <row r="147" ht="15.0" customHeight="1">
      <c r="A147" s="15"/>
      <c r="B147" s="15"/>
      <c r="C147" s="15"/>
      <c r="D147" s="15"/>
      <c r="E147" s="15"/>
      <c r="F147" s="15"/>
      <c r="G147" s="15"/>
      <c r="H147" s="20"/>
      <c r="I147" s="12" t="str">
        <f>IF($A147="","",SUMIFS('Consumable Usage'!$E:$E,'Consumable Usage'!$A:$A,$A147,'Consumable Usage'!$D:$D,1))</f>
        <v/>
      </c>
      <c r="J147" s="12" t="str">
        <f>IF($A147="","",SUMIFS('Nursing Charges'!$I:$I,'Nursing Charges'!$A:$A,$A147,'Nursing Charges'!$C:$C,1))</f>
        <v/>
      </c>
      <c r="K147" s="12" t="str">
        <f>IF($A147="","",H147+(J147-SUMIFS('Nursing Charges'!$J:$J,'Nursing Charges'!$A:$A,$A147,'Nursing Charges'!$C:$C,1))+(I147-SUMIFS('Consumable Usage'!$F:$F,'Consumable Usage'!$A:$A,$A147,'Consumable Usage'!$D:$D,1)))</f>
        <v/>
      </c>
      <c r="L147" s="12" t="str">
        <f t="shared" si="1"/>
        <v/>
      </c>
      <c r="M147" s="20"/>
      <c r="N147" s="12" t="str">
        <f t="shared" si="2"/>
        <v/>
      </c>
      <c r="O147" s="45" t="str">
        <f t="shared" si="3"/>
        <v/>
      </c>
      <c r="P147" s="15"/>
      <c r="Q147" s="15"/>
      <c r="R147" s="20"/>
      <c r="S147" s="12" t="str">
        <f>IF($A147="","",SUMIFS('Consumable Usage'!$E:$E,'Consumable Usage'!$A:$A,$A147,'Consumable Usage'!$D:$D,2))</f>
        <v/>
      </c>
      <c r="T147" s="12" t="str">
        <f>IF($A147="","",SUMIFS('Nursing Charges'!$I:$I,'Nursing Charges'!$A:$A,$A147,'Nursing Charges'!$C:$C,2))</f>
        <v/>
      </c>
      <c r="U147" s="12" t="str">
        <f>IF($A147="","",R147+(T147-SUMIFS('Nursing Charges'!$J:$J,'Nursing Charges'!$A:$A,$A147,'Nursing Charges'!$C:$C,2))+(S147-SUMIFS('Consumable Usage'!$F:$F,'Consumable Usage'!$A:$A,$A147,'Consumable Usage'!$D:$D,2)))</f>
        <v/>
      </c>
      <c r="V147" s="12" t="str">
        <f t="shared" si="4"/>
        <v/>
      </c>
      <c r="W147" s="20"/>
      <c r="X147" s="12" t="str">
        <f t="shared" si="5"/>
        <v/>
      </c>
      <c r="Y147" s="45" t="str">
        <f t="shared" si="6"/>
        <v/>
      </c>
      <c r="Z147" s="15"/>
      <c r="AA147" s="15"/>
      <c r="AB147" s="20"/>
      <c r="AC147" s="12" t="str">
        <f>IF($A147="","",SUMIFS('Consumable Usage'!$E:$E,'Consumable Usage'!$A:$A,$A147,'Consumable Usage'!$D:$D,3))</f>
        <v/>
      </c>
      <c r="AD147" s="12" t="str">
        <f>IF($A147="","",SUMIFS('Nursing Charges'!$I:$I,'Nursing Charges'!$A:$A,$A147,'Nursing Charges'!$C:$C,3))</f>
        <v/>
      </c>
      <c r="AE147" s="12" t="str">
        <f>IF($A147="","",AB147+(AD147-SUMIFS('Nursing Charges'!$J:$J,'Nursing Charges'!$A:$A,$A147,'Nursing Charges'!$C:$C,3))+(AC147-SUMIFS('Consumable Usage'!$F:$F,'Consumable Usage'!$A:$A,$A147,'Consumable Usage'!$D:$D,3)))</f>
        <v/>
      </c>
      <c r="AF147" s="12" t="str">
        <f t="shared" si="7"/>
        <v/>
      </c>
      <c r="AG147" s="20"/>
      <c r="AH147" s="12" t="str">
        <f t="shared" si="8"/>
        <v/>
      </c>
      <c r="AI147" s="45" t="str">
        <f t="shared" si="9"/>
        <v/>
      </c>
      <c r="AJ147" s="15"/>
      <c r="AK147" s="15"/>
      <c r="AL147" s="20"/>
      <c r="AM147" s="12" t="str">
        <f>IF($A147="","",SUMIFS('Consumable Usage'!$E:$E,'Consumable Usage'!$A:$A,$A147,'Consumable Usage'!$D:$D,4))</f>
        <v/>
      </c>
      <c r="AN147" s="12" t="str">
        <f>IF($A147="","",SUMIFS('Nursing Charges'!$I:$I,'Nursing Charges'!$A:$A,$A147,'Nursing Charges'!$C:$C,4))</f>
        <v/>
      </c>
      <c r="AO147" s="12" t="str">
        <f>IF($A147="","",AL147+(AN147-SUMIFS('Nursing Charges'!$J:$J,'Nursing Charges'!$A:$A,$A147,'Nursing Charges'!$C:$C,4))+(AM147-SUMIFS('Consumable Usage'!$F:$F,'Consumable Usage'!$A:$A,$A147,'Consumable Usage'!$D:$D,4)))</f>
        <v/>
      </c>
      <c r="AP147" s="12" t="str">
        <f t="shared" si="10"/>
        <v/>
      </c>
      <c r="AQ147" s="20"/>
      <c r="AR147" s="12" t="str">
        <f t="shared" si="11"/>
        <v/>
      </c>
      <c r="AS147" s="45" t="str">
        <f t="shared" si="12"/>
        <v/>
      </c>
      <c r="AT147" s="15"/>
      <c r="AU147" s="15"/>
      <c r="AV147" s="20"/>
      <c r="AW147" s="12" t="str">
        <f>IF($A147="","",SUMIFS('Consumable Usage'!$E:$E,'Consumable Usage'!$A:$A,$A147,'Consumable Usage'!$D:$D,5))</f>
        <v/>
      </c>
      <c r="AX147" s="12" t="str">
        <f>IF($A147="","",SUMIFS('Nursing Charges'!$I:$I,'Nursing Charges'!$A:$A,$A147,'Nursing Charges'!$C:$C,5))</f>
        <v/>
      </c>
      <c r="AY147" s="12" t="str">
        <f>IF($A147="","",AV147+(AX147-SUMIFS('Nursing Charges'!$J:$J,'Nursing Charges'!$A:$A,$A147,'Nursing Charges'!$C:$C,5))+(AW147-SUMIFS('Consumable Usage'!$F:$F,'Consumable Usage'!$A:$A,$A147,'Consumable Usage'!$D:$D,5)))</f>
        <v/>
      </c>
      <c r="AZ147" s="12" t="str">
        <f t="shared" si="13"/>
        <v/>
      </c>
      <c r="BA147" s="20"/>
      <c r="BB147" s="12" t="str">
        <f t="shared" si="14"/>
        <v/>
      </c>
      <c r="BC147" s="45" t="str">
        <f t="shared" si="15"/>
        <v/>
      </c>
      <c r="BD147" s="15"/>
      <c r="BE147" s="15"/>
      <c r="BF147" s="20"/>
      <c r="BG147" s="12" t="str">
        <f>IF($A147="","",SUMIFS('Consumable Usage'!$E:$E,'Consumable Usage'!$A:$A,$A147,'Consumable Usage'!$D:$D,6))</f>
        <v/>
      </c>
      <c r="BH147" s="12" t="str">
        <f>IF($A147="","",SUMIFS('Nursing Charges'!$I:$I,'Nursing Charges'!$A:$A,$A147,'Nursing Charges'!$C:$C,6))</f>
        <v/>
      </c>
      <c r="BI147" s="12" t="str">
        <f>IF($A147="","",BF147+(BH147-SUMIFS('Nursing Charges'!$J:$J,'Nursing Charges'!$A:$A,$A147,'Nursing Charges'!$C:$C,6))+(BG147-SUMIFS('Consumable Usage'!$F:$F,'Consumable Usage'!$A:$A,$A147,'Consumable Usage'!$D:$D,6)))</f>
        <v/>
      </c>
      <c r="BJ147" s="12" t="str">
        <f t="shared" si="16"/>
        <v/>
      </c>
      <c r="BK147" s="20"/>
      <c r="BL147" s="12" t="str">
        <f t="shared" si="17"/>
        <v/>
      </c>
      <c r="BM147" s="45" t="str">
        <f t="shared" si="18"/>
        <v/>
      </c>
      <c r="BN147" s="15"/>
      <c r="BO147" s="15"/>
      <c r="BP147" s="20"/>
      <c r="BQ147" s="12" t="str">
        <f>IF($A147="","",SUMIFS('Consumable Usage'!$E:$E,'Consumable Usage'!$A:$A,$A147,'Consumable Usage'!$D:$D,7))</f>
        <v/>
      </c>
      <c r="BR147" s="12" t="str">
        <f>IF($A147="","",SUMIFS('Nursing Charges'!$I:$I,'Nursing Charges'!$A:$A,$A147,'Nursing Charges'!$C:$C,7))</f>
        <v/>
      </c>
      <c r="BS147" s="12" t="str">
        <f>IF($A147="","",BP147+(BR147-SUMIFS('Nursing Charges'!$J:$J,'Nursing Charges'!$A:$A,$A147,'Nursing Charges'!$C:$C,7))+(BQ147-SUMIFS('Consumable Usage'!$F:$F,'Consumable Usage'!$A:$A,$A147,'Consumable Usage'!$D:$D,7)))</f>
        <v/>
      </c>
      <c r="BT147" s="12" t="str">
        <f t="shared" si="19"/>
        <v/>
      </c>
      <c r="BU147" s="20"/>
      <c r="BV147" s="12" t="str">
        <f t="shared" si="20"/>
        <v/>
      </c>
      <c r="BW147" s="45" t="str">
        <f t="shared" si="21"/>
        <v/>
      </c>
      <c r="BX147" s="15"/>
      <c r="BY147" s="15"/>
      <c r="BZ147" s="20"/>
      <c r="CA147" s="12" t="str">
        <f>IF($A147="","",SUMIFS('Consumable Usage'!$E:$E,'Consumable Usage'!$A:$A,$A147,'Consumable Usage'!$D:$D,8))</f>
        <v/>
      </c>
      <c r="CB147" s="12" t="str">
        <f>IF($A147="","",SUMIFS('Nursing Charges'!$I:$I,'Nursing Charges'!$A:$A,$A147,'Nursing Charges'!$C:$C,8))</f>
        <v/>
      </c>
      <c r="CC147" s="12" t="str">
        <f>IF($A147="","",BZ147+(CB147-SUMIFS('Nursing Charges'!$J:$J,'Nursing Charges'!$A:$A,$A147,'Nursing Charges'!$C:$C,8))+(CA147-SUMIFS('Consumable Usage'!$F:$F,'Consumable Usage'!$A:$A,$A147,'Consumable Usage'!$D:$D,8)))</f>
        <v/>
      </c>
      <c r="CD147" s="12" t="str">
        <f t="shared" si="22"/>
        <v/>
      </c>
      <c r="CE147" s="20"/>
      <c r="CF147" s="12" t="str">
        <f t="shared" si="23"/>
        <v/>
      </c>
      <c r="CG147" s="45" t="str">
        <f t="shared" si="24"/>
        <v/>
      </c>
      <c r="CH147" s="15"/>
      <c r="CI147" s="15"/>
      <c r="CJ147" s="20"/>
      <c r="CK147" s="12" t="str">
        <f>IF($A147="","",SUMIFS('Consumable Usage'!$E:$E,'Consumable Usage'!$A:$A,$A147,'Consumable Usage'!$D:$D,9))</f>
        <v/>
      </c>
      <c r="CL147" s="12" t="str">
        <f>IF($A147="","",SUMIFS('Nursing Charges'!$I:$I,'Nursing Charges'!$A:$A,$A147,'Nursing Charges'!$C:$C,9))</f>
        <v/>
      </c>
      <c r="CM147" s="12" t="str">
        <f>IF($A147="","",CJ147+(CL147-SUMIFS('Nursing Charges'!$J:$J,'Nursing Charges'!$A:$A,$A147,'Nursing Charges'!$C:$C,9))+(CK147-SUMIFS('Consumable Usage'!$F:$F,'Consumable Usage'!$A:$A,$A147,'Consumable Usage'!$D:$D,9)))</f>
        <v/>
      </c>
      <c r="CN147" s="12" t="str">
        <f t="shared" si="25"/>
        <v/>
      </c>
      <c r="CO147" s="20"/>
      <c r="CP147" s="12" t="str">
        <f t="shared" si="26"/>
        <v/>
      </c>
      <c r="CQ147" s="45" t="str">
        <f t="shared" si="27"/>
        <v/>
      </c>
      <c r="CR147" s="15"/>
      <c r="CS147" s="15"/>
      <c r="CT147" s="20"/>
      <c r="CU147" s="12" t="str">
        <f>IF($A147="","",SUMIFS('Consumable Usage'!$E:$E,'Consumable Usage'!$A:$A,$A147,'Consumable Usage'!$D:$D,10))</f>
        <v/>
      </c>
      <c r="CV147" s="12" t="str">
        <f>IF($A147="","",SUMIFS('Nursing Charges'!$I:$I,'Nursing Charges'!$A:$A,$A147,'Nursing Charges'!$C:$C,10))</f>
        <v/>
      </c>
      <c r="CW147" s="12" t="str">
        <f>IF($A147="","",CT147+(CV147-SUMIFS('Nursing Charges'!$J:$J,'Nursing Charges'!$A:$A,$A147,'Nursing Charges'!$C:$C,10))+(CU147-SUMIFS('Consumable Usage'!$F:$F,'Consumable Usage'!$A:$A,$A147,'Consumable Usage'!$D:$D,10)))</f>
        <v/>
      </c>
      <c r="CX147" s="12" t="str">
        <f t="shared" si="28"/>
        <v/>
      </c>
      <c r="CY147" s="20"/>
      <c r="CZ147" s="12" t="str">
        <f t="shared" si="29"/>
        <v/>
      </c>
      <c r="DA147" s="45" t="str">
        <f t="shared" si="30"/>
        <v/>
      </c>
      <c r="DB147" s="15"/>
      <c r="DC147" s="15"/>
      <c r="DD147" s="20"/>
      <c r="DE147" s="12" t="str">
        <f>IF($A147="","",SUMIFS('Consumable Usage'!$E:$E,'Consumable Usage'!$A:$A,$A147,'Consumable Usage'!$D:$D,11))</f>
        <v/>
      </c>
      <c r="DF147" s="12" t="str">
        <f>IF($A147="","",SUMIFS('Nursing Charges'!$I:$I,'Nursing Charges'!$A:$A,$A147,'Nursing Charges'!$C:$C,11))</f>
        <v/>
      </c>
      <c r="DG147" s="12" t="str">
        <f>IF($A147="","",DD147+(DF147-SUMIFS('Nursing Charges'!$J:$J,'Nursing Charges'!$A:$A,$A147,'Nursing Charges'!$C:$C,11))+(DE147-SUMIFS('Consumable Usage'!$F:$F,'Consumable Usage'!$A:$A,$A147,'Consumable Usage'!$D:$D,11)))</f>
        <v/>
      </c>
      <c r="DH147" s="12" t="str">
        <f t="shared" si="31"/>
        <v/>
      </c>
      <c r="DI147" s="20"/>
      <c r="DJ147" s="12" t="str">
        <f t="shared" si="32"/>
        <v/>
      </c>
      <c r="DK147" s="45" t="str">
        <f t="shared" si="33"/>
        <v/>
      </c>
      <c r="DL147" s="15"/>
      <c r="DM147" s="15"/>
      <c r="DN147" s="20"/>
      <c r="DO147" s="12" t="str">
        <f>IF($A147="","",SUMIFS('Consumable Usage'!$E:$E,'Consumable Usage'!$A:$A,$A147,'Consumable Usage'!$D:$D,12))</f>
        <v/>
      </c>
      <c r="DP147" s="12" t="str">
        <f>IF($A147="","",SUMIFS('Nursing Charges'!$I:$I,'Nursing Charges'!$A:$A,$A147,'Nursing Charges'!$C:$C,12))</f>
        <v/>
      </c>
      <c r="DQ147" s="12" t="str">
        <f>IF($A147="","",DN147+(DP147-SUMIFS('Nursing Charges'!$J:$J,'Nursing Charges'!$A:$A,$A147,'Nursing Charges'!$C:$C,12))+(DO147-SUMIFS('Consumable Usage'!$F:$F,'Consumable Usage'!$A:$A,$A147,'Consumable Usage'!$D:$D,12)))</f>
        <v/>
      </c>
      <c r="DR147" s="12" t="str">
        <f t="shared" si="34"/>
        <v/>
      </c>
      <c r="DS147" s="20"/>
      <c r="DT147" s="12" t="str">
        <f t="shared" si="35"/>
        <v/>
      </c>
      <c r="DU147" s="45" t="str">
        <f t="shared" si="36"/>
        <v/>
      </c>
      <c r="DV147" s="15"/>
      <c r="DW147" s="15"/>
      <c r="DX147" s="20"/>
      <c r="DY147" s="12" t="str">
        <f>IF($A147="","",SUMIFS('Consumable Usage'!$E:$E,'Consumable Usage'!$A:$A,$A147,'Consumable Usage'!$D:$D,13))</f>
        <v/>
      </c>
      <c r="DZ147" s="12" t="str">
        <f>IF($A147="","",SUMIFS('Nursing Charges'!$I:$I,'Nursing Charges'!$A:$A,$A147,'Nursing Charges'!$C:$C,13))</f>
        <v/>
      </c>
      <c r="EA147" s="12" t="str">
        <f>IF($A147="","",DX147+(DZ147-SUMIFS('Nursing Charges'!$J:$J,'Nursing Charges'!$A:$A,$A147,'Nursing Charges'!$C:$C,13))+(DY147-SUMIFS('Consumable Usage'!$F:$F,'Consumable Usage'!$A:$A,$A147,'Consumable Usage'!$D:$D,13)))</f>
        <v/>
      </c>
      <c r="EB147" s="12" t="str">
        <f t="shared" si="37"/>
        <v/>
      </c>
      <c r="EC147" s="20"/>
      <c r="ED147" s="12" t="str">
        <f t="shared" si="38"/>
        <v/>
      </c>
      <c r="EE147" s="45" t="str">
        <f t="shared" si="39"/>
        <v/>
      </c>
      <c r="EF147" s="15"/>
      <c r="EG147" s="15"/>
      <c r="EH147" s="20"/>
      <c r="EI147" s="12" t="str">
        <f>IF($A147="","",SUMIFS('Consumable Usage'!$E:$E,'Consumable Usage'!$A:$A,$A147,'Consumable Usage'!$D:$D,14))</f>
        <v/>
      </c>
      <c r="EJ147" s="12" t="str">
        <f>IF($A147="","",SUMIFS('Nursing Charges'!$I:$I,'Nursing Charges'!$A:$A,$A147,'Nursing Charges'!$C:$C,14))</f>
        <v/>
      </c>
      <c r="EK147" s="12" t="str">
        <f>IF($A147="","",EH147+(EJ147-SUMIFS('Nursing Charges'!$J:$J,'Nursing Charges'!$A:$A,$A147,'Nursing Charges'!$C:$C,14))+(EI147-SUMIFS('Consumable Usage'!$F:$F,'Consumable Usage'!$A:$A,$A147,'Consumable Usage'!$D:$D,14)))</f>
        <v/>
      </c>
      <c r="EL147" s="12" t="str">
        <f t="shared" si="40"/>
        <v/>
      </c>
      <c r="EM147" s="20"/>
      <c r="EN147" s="12" t="str">
        <f t="shared" si="41"/>
        <v/>
      </c>
      <c r="EO147" s="45" t="str">
        <f t="shared" si="42"/>
        <v/>
      </c>
      <c r="EP147" s="15"/>
      <c r="EQ147" s="15"/>
      <c r="ER147" s="20"/>
      <c r="ES147" s="12" t="str">
        <f>IF($A147="","",SUMIFS('Consumable Usage'!$E:$E,'Consumable Usage'!$A:$A,$A147,'Consumable Usage'!$D:$D,15))</f>
        <v/>
      </c>
      <c r="ET147" s="12" t="str">
        <f>IF($A147="","",SUMIFS('Nursing Charges'!$I:$I,'Nursing Charges'!$A:$A,$A147,'Nursing Charges'!$C:$C,15))</f>
        <v/>
      </c>
      <c r="EU147" s="12" t="str">
        <f>IF($A147="","",ER147+(ET147-SUMIFS('Nursing Charges'!$J:$J,'Nursing Charges'!$A:$A,$A147,'Nursing Charges'!$C:$C,15))+(ES147-SUMIFS('Consumable Usage'!$F:$F,'Consumable Usage'!$A:$A,$A147,'Consumable Usage'!$D:$D,15)))</f>
        <v/>
      </c>
      <c r="EV147" s="12" t="str">
        <f t="shared" si="43"/>
        <v/>
      </c>
      <c r="EW147" s="20"/>
      <c r="EX147" s="12" t="str">
        <f t="shared" si="44"/>
        <v/>
      </c>
      <c r="EY147" s="45" t="str">
        <f t="shared" si="45"/>
        <v/>
      </c>
      <c r="EZ147" s="15"/>
      <c r="FA147" s="15"/>
      <c r="FB147" s="20"/>
      <c r="FC147" s="12" t="str">
        <f>IF($A147="","",SUMIFS('Consumable Usage'!$E:$E,'Consumable Usage'!$A:$A,$A147,'Consumable Usage'!$D:$D,16))</f>
        <v/>
      </c>
      <c r="FD147" s="12" t="str">
        <f>IF($A147="","",SUMIFS('Nursing Charges'!$I:$I,'Nursing Charges'!$A:$A,$A147,'Nursing Charges'!$C:$C,16))</f>
        <v/>
      </c>
      <c r="FE147" s="12" t="str">
        <f>IF($A147="","",FB147+(FD147-SUMIFS('Nursing Charges'!$J:$J,'Nursing Charges'!$A:$A,$A147,'Nursing Charges'!$C:$C,16))+(FC147-SUMIFS('Consumable Usage'!$F:$F,'Consumable Usage'!$A:$A,$A147,'Consumable Usage'!$D:$D,16)))</f>
        <v/>
      </c>
      <c r="FF147" s="12" t="str">
        <f t="shared" si="46"/>
        <v/>
      </c>
      <c r="FG147" s="20"/>
      <c r="FH147" s="12" t="str">
        <f t="shared" si="47"/>
        <v/>
      </c>
      <c r="FI147" s="45" t="str">
        <f t="shared" si="48"/>
        <v/>
      </c>
      <c r="FJ147" s="53"/>
      <c r="FK147" s="53"/>
      <c r="FL147" s="63"/>
      <c r="FM147" s="63" t="str">
        <f>IF($A147="","",SUMIFS('Consumable Usage'!$E:$E,'Consumable Usage'!$A:$A,$A147,'Consumable Usage'!$D:$D,16))</f>
        <v/>
      </c>
      <c r="FN147" s="63" t="str">
        <f>IF($A147="","",SUMIFS('Nursing Charges'!$I:$I,'Nursing Charges'!$A:$A,$A147,'Nursing Charges'!$C:$C,16))</f>
        <v/>
      </c>
      <c r="FO147" s="63" t="str">
        <f>IF($A147="","",FL147+(FN147-SUMIFS('Nursing Charges'!$J:$J,'Nursing Charges'!$A:$A,$A147,'Nursing Charges'!$C:$C,16))+(FM147-SUMIFS('Consumable Usage'!$F:$F,'Consumable Usage'!$A:$A,$A147,'Consumable Usage'!$D:$D,16)))</f>
        <v/>
      </c>
      <c r="FP147" s="63" t="str">
        <f t="shared" si="49"/>
        <v/>
      </c>
      <c r="FQ147" s="63"/>
      <c r="FR147" s="63" t="str">
        <f t="shared" si="50"/>
        <v/>
      </c>
      <c r="FS147" s="53" t="str">
        <f t="shared" si="51"/>
        <v/>
      </c>
    </row>
    <row r="148" ht="15.0" customHeight="1">
      <c r="A148" s="15"/>
      <c r="B148" s="15"/>
      <c r="C148" s="15"/>
      <c r="D148" s="15"/>
      <c r="E148" s="15"/>
      <c r="F148" s="15"/>
      <c r="G148" s="15"/>
      <c r="H148" s="20"/>
      <c r="I148" s="12" t="str">
        <f>IF($A148="","",SUMIFS('Consumable Usage'!$E:$E,'Consumable Usage'!$A:$A,$A148,'Consumable Usage'!$D:$D,1))</f>
        <v/>
      </c>
      <c r="J148" s="12" t="str">
        <f>IF($A148="","",SUMIFS('Nursing Charges'!$I:$I,'Nursing Charges'!$A:$A,$A148,'Nursing Charges'!$C:$C,1))</f>
        <v/>
      </c>
      <c r="K148" s="12" t="str">
        <f>IF($A148="","",H148+(J148-SUMIFS('Nursing Charges'!$J:$J,'Nursing Charges'!$A:$A,$A148,'Nursing Charges'!$C:$C,1))+(I148-SUMIFS('Consumable Usage'!$F:$F,'Consumable Usage'!$A:$A,$A148,'Consumable Usage'!$D:$D,1)))</f>
        <v/>
      </c>
      <c r="L148" s="12" t="str">
        <f t="shared" si="1"/>
        <v/>
      </c>
      <c r="M148" s="20"/>
      <c r="N148" s="12" t="str">
        <f t="shared" si="2"/>
        <v/>
      </c>
      <c r="O148" s="45" t="str">
        <f t="shared" si="3"/>
        <v/>
      </c>
      <c r="P148" s="15"/>
      <c r="Q148" s="15"/>
      <c r="R148" s="20"/>
      <c r="S148" s="12" t="str">
        <f>IF($A148="","",SUMIFS('Consumable Usage'!$E:$E,'Consumable Usage'!$A:$A,$A148,'Consumable Usage'!$D:$D,2))</f>
        <v/>
      </c>
      <c r="T148" s="12" t="str">
        <f>IF($A148="","",SUMIFS('Nursing Charges'!$I:$I,'Nursing Charges'!$A:$A,$A148,'Nursing Charges'!$C:$C,2))</f>
        <v/>
      </c>
      <c r="U148" s="12" t="str">
        <f>IF($A148="","",R148+(T148-SUMIFS('Nursing Charges'!$J:$J,'Nursing Charges'!$A:$A,$A148,'Nursing Charges'!$C:$C,2))+(S148-SUMIFS('Consumable Usage'!$F:$F,'Consumable Usage'!$A:$A,$A148,'Consumable Usage'!$D:$D,2)))</f>
        <v/>
      </c>
      <c r="V148" s="12" t="str">
        <f t="shared" si="4"/>
        <v/>
      </c>
      <c r="W148" s="20"/>
      <c r="X148" s="12" t="str">
        <f t="shared" si="5"/>
        <v/>
      </c>
      <c r="Y148" s="45" t="str">
        <f t="shared" si="6"/>
        <v/>
      </c>
      <c r="Z148" s="15"/>
      <c r="AA148" s="15"/>
      <c r="AB148" s="20"/>
      <c r="AC148" s="12" t="str">
        <f>IF($A148="","",SUMIFS('Consumable Usage'!$E:$E,'Consumable Usage'!$A:$A,$A148,'Consumable Usage'!$D:$D,3))</f>
        <v/>
      </c>
      <c r="AD148" s="12" t="str">
        <f>IF($A148="","",SUMIFS('Nursing Charges'!$I:$I,'Nursing Charges'!$A:$A,$A148,'Nursing Charges'!$C:$C,3))</f>
        <v/>
      </c>
      <c r="AE148" s="12" t="str">
        <f>IF($A148="","",AB148+(AD148-SUMIFS('Nursing Charges'!$J:$J,'Nursing Charges'!$A:$A,$A148,'Nursing Charges'!$C:$C,3))+(AC148-SUMIFS('Consumable Usage'!$F:$F,'Consumable Usage'!$A:$A,$A148,'Consumable Usage'!$D:$D,3)))</f>
        <v/>
      </c>
      <c r="AF148" s="12" t="str">
        <f t="shared" si="7"/>
        <v/>
      </c>
      <c r="AG148" s="20"/>
      <c r="AH148" s="12" t="str">
        <f t="shared" si="8"/>
        <v/>
      </c>
      <c r="AI148" s="45" t="str">
        <f t="shared" si="9"/>
        <v/>
      </c>
      <c r="AJ148" s="15"/>
      <c r="AK148" s="15"/>
      <c r="AL148" s="20"/>
      <c r="AM148" s="12" t="str">
        <f>IF($A148="","",SUMIFS('Consumable Usage'!$E:$E,'Consumable Usage'!$A:$A,$A148,'Consumable Usage'!$D:$D,4))</f>
        <v/>
      </c>
      <c r="AN148" s="12" t="str">
        <f>IF($A148="","",SUMIFS('Nursing Charges'!$I:$I,'Nursing Charges'!$A:$A,$A148,'Nursing Charges'!$C:$C,4))</f>
        <v/>
      </c>
      <c r="AO148" s="12" t="str">
        <f>IF($A148="","",AL148+(AN148-SUMIFS('Nursing Charges'!$J:$J,'Nursing Charges'!$A:$A,$A148,'Nursing Charges'!$C:$C,4))+(AM148-SUMIFS('Consumable Usage'!$F:$F,'Consumable Usage'!$A:$A,$A148,'Consumable Usage'!$D:$D,4)))</f>
        <v/>
      </c>
      <c r="AP148" s="12" t="str">
        <f t="shared" si="10"/>
        <v/>
      </c>
      <c r="AQ148" s="20"/>
      <c r="AR148" s="12" t="str">
        <f t="shared" si="11"/>
        <v/>
      </c>
      <c r="AS148" s="45" t="str">
        <f t="shared" si="12"/>
        <v/>
      </c>
      <c r="AT148" s="15"/>
      <c r="AU148" s="15"/>
      <c r="AV148" s="20"/>
      <c r="AW148" s="12" t="str">
        <f>IF($A148="","",SUMIFS('Consumable Usage'!$E:$E,'Consumable Usage'!$A:$A,$A148,'Consumable Usage'!$D:$D,5))</f>
        <v/>
      </c>
      <c r="AX148" s="12" t="str">
        <f>IF($A148="","",SUMIFS('Nursing Charges'!$I:$I,'Nursing Charges'!$A:$A,$A148,'Nursing Charges'!$C:$C,5))</f>
        <v/>
      </c>
      <c r="AY148" s="12" t="str">
        <f>IF($A148="","",AV148+(AX148-SUMIFS('Nursing Charges'!$J:$J,'Nursing Charges'!$A:$A,$A148,'Nursing Charges'!$C:$C,5))+(AW148-SUMIFS('Consumable Usage'!$F:$F,'Consumable Usage'!$A:$A,$A148,'Consumable Usage'!$D:$D,5)))</f>
        <v/>
      </c>
      <c r="AZ148" s="12" t="str">
        <f t="shared" si="13"/>
        <v/>
      </c>
      <c r="BA148" s="20"/>
      <c r="BB148" s="12" t="str">
        <f t="shared" si="14"/>
        <v/>
      </c>
      <c r="BC148" s="45" t="str">
        <f t="shared" si="15"/>
        <v/>
      </c>
      <c r="BD148" s="15"/>
      <c r="BE148" s="15"/>
      <c r="BF148" s="20"/>
      <c r="BG148" s="12" t="str">
        <f>IF($A148="","",SUMIFS('Consumable Usage'!$E:$E,'Consumable Usage'!$A:$A,$A148,'Consumable Usage'!$D:$D,6))</f>
        <v/>
      </c>
      <c r="BH148" s="12" t="str">
        <f>IF($A148="","",SUMIFS('Nursing Charges'!$I:$I,'Nursing Charges'!$A:$A,$A148,'Nursing Charges'!$C:$C,6))</f>
        <v/>
      </c>
      <c r="BI148" s="12" t="str">
        <f>IF($A148="","",BF148+(BH148-SUMIFS('Nursing Charges'!$J:$J,'Nursing Charges'!$A:$A,$A148,'Nursing Charges'!$C:$C,6))+(BG148-SUMIFS('Consumable Usage'!$F:$F,'Consumable Usage'!$A:$A,$A148,'Consumable Usage'!$D:$D,6)))</f>
        <v/>
      </c>
      <c r="BJ148" s="12" t="str">
        <f t="shared" si="16"/>
        <v/>
      </c>
      <c r="BK148" s="20"/>
      <c r="BL148" s="12" t="str">
        <f t="shared" si="17"/>
        <v/>
      </c>
      <c r="BM148" s="45" t="str">
        <f t="shared" si="18"/>
        <v/>
      </c>
      <c r="BN148" s="15"/>
      <c r="BO148" s="15"/>
      <c r="BP148" s="20"/>
      <c r="BQ148" s="12" t="str">
        <f>IF($A148="","",SUMIFS('Consumable Usage'!$E:$E,'Consumable Usage'!$A:$A,$A148,'Consumable Usage'!$D:$D,7))</f>
        <v/>
      </c>
      <c r="BR148" s="12" t="str">
        <f>IF($A148="","",SUMIFS('Nursing Charges'!$I:$I,'Nursing Charges'!$A:$A,$A148,'Nursing Charges'!$C:$C,7))</f>
        <v/>
      </c>
      <c r="BS148" s="12" t="str">
        <f>IF($A148="","",BP148+(BR148-SUMIFS('Nursing Charges'!$J:$J,'Nursing Charges'!$A:$A,$A148,'Nursing Charges'!$C:$C,7))+(BQ148-SUMIFS('Consumable Usage'!$F:$F,'Consumable Usage'!$A:$A,$A148,'Consumable Usage'!$D:$D,7)))</f>
        <v/>
      </c>
      <c r="BT148" s="12" t="str">
        <f t="shared" si="19"/>
        <v/>
      </c>
      <c r="BU148" s="20"/>
      <c r="BV148" s="12" t="str">
        <f t="shared" si="20"/>
        <v/>
      </c>
      <c r="BW148" s="45" t="str">
        <f t="shared" si="21"/>
        <v/>
      </c>
      <c r="BX148" s="15"/>
      <c r="BY148" s="15"/>
      <c r="BZ148" s="20"/>
      <c r="CA148" s="12" t="str">
        <f>IF($A148="","",SUMIFS('Consumable Usage'!$E:$E,'Consumable Usage'!$A:$A,$A148,'Consumable Usage'!$D:$D,8))</f>
        <v/>
      </c>
      <c r="CB148" s="12" t="str">
        <f>IF($A148="","",SUMIFS('Nursing Charges'!$I:$I,'Nursing Charges'!$A:$A,$A148,'Nursing Charges'!$C:$C,8))</f>
        <v/>
      </c>
      <c r="CC148" s="12" t="str">
        <f>IF($A148="","",BZ148+(CB148-SUMIFS('Nursing Charges'!$J:$J,'Nursing Charges'!$A:$A,$A148,'Nursing Charges'!$C:$C,8))+(CA148-SUMIFS('Consumable Usage'!$F:$F,'Consumable Usage'!$A:$A,$A148,'Consumable Usage'!$D:$D,8)))</f>
        <v/>
      </c>
      <c r="CD148" s="12" t="str">
        <f t="shared" si="22"/>
        <v/>
      </c>
      <c r="CE148" s="20"/>
      <c r="CF148" s="12" t="str">
        <f t="shared" si="23"/>
        <v/>
      </c>
      <c r="CG148" s="45" t="str">
        <f t="shared" si="24"/>
        <v/>
      </c>
      <c r="CH148" s="15"/>
      <c r="CI148" s="15"/>
      <c r="CJ148" s="20"/>
      <c r="CK148" s="12" t="str">
        <f>IF($A148="","",SUMIFS('Consumable Usage'!$E:$E,'Consumable Usage'!$A:$A,$A148,'Consumable Usage'!$D:$D,9))</f>
        <v/>
      </c>
      <c r="CL148" s="12" t="str">
        <f>IF($A148="","",SUMIFS('Nursing Charges'!$I:$I,'Nursing Charges'!$A:$A,$A148,'Nursing Charges'!$C:$C,9))</f>
        <v/>
      </c>
      <c r="CM148" s="12" t="str">
        <f>IF($A148="","",CJ148+(CL148-SUMIFS('Nursing Charges'!$J:$J,'Nursing Charges'!$A:$A,$A148,'Nursing Charges'!$C:$C,9))+(CK148-SUMIFS('Consumable Usage'!$F:$F,'Consumable Usage'!$A:$A,$A148,'Consumable Usage'!$D:$D,9)))</f>
        <v/>
      </c>
      <c r="CN148" s="12" t="str">
        <f t="shared" si="25"/>
        <v/>
      </c>
      <c r="CO148" s="20"/>
      <c r="CP148" s="12" t="str">
        <f t="shared" si="26"/>
        <v/>
      </c>
      <c r="CQ148" s="45" t="str">
        <f t="shared" si="27"/>
        <v/>
      </c>
      <c r="CR148" s="15"/>
      <c r="CS148" s="15"/>
      <c r="CT148" s="20"/>
      <c r="CU148" s="12" t="str">
        <f>IF($A148="","",SUMIFS('Consumable Usage'!$E:$E,'Consumable Usage'!$A:$A,$A148,'Consumable Usage'!$D:$D,10))</f>
        <v/>
      </c>
      <c r="CV148" s="12" t="str">
        <f>IF($A148="","",SUMIFS('Nursing Charges'!$I:$I,'Nursing Charges'!$A:$A,$A148,'Nursing Charges'!$C:$C,10))</f>
        <v/>
      </c>
      <c r="CW148" s="12" t="str">
        <f>IF($A148="","",CT148+(CV148-SUMIFS('Nursing Charges'!$J:$J,'Nursing Charges'!$A:$A,$A148,'Nursing Charges'!$C:$C,10))+(CU148-SUMIFS('Consumable Usage'!$F:$F,'Consumable Usage'!$A:$A,$A148,'Consumable Usage'!$D:$D,10)))</f>
        <v/>
      </c>
      <c r="CX148" s="12" t="str">
        <f t="shared" si="28"/>
        <v/>
      </c>
      <c r="CY148" s="20"/>
      <c r="CZ148" s="12" t="str">
        <f t="shared" si="29"/>
        <v/>
      </c>
      <c r="DA148" s="45" t="str">
        <f t="shared" si="30"/>
        <v/>
      </c>
      <c r="DB148" s="15"/>
      <c r="DC148" s="15"/>
      <c r="DD148" s="20"/>
      <c r="DE148" s="12" t="str">
        <f>IF($A148="","",SUMIFS('Consumable Usage'!$E:$E,'Consumable Usage'!$A:$A,$A148,'Consumable Usage'!$D:$D,11))</f>
        <v/>
      </c>
      <c r="DF148" s="12" t="str">
        <f>IF($A148="","",SUMIFS('Nursing Charges'!$I:$I,'Nursing Charges'!$A:$A,$A148,'Nursing Charges'!$C:$C,11))</f>
        <v/>
      </c>
      <c r="DG148" s="12" t="str">
        <f>IF($A148="","",DD148+(DF148-SUMIFS('Nursing Charges'!$J:$J,'Nursing Charges'!$A:$A,$A148,'Nursing Charges'!$C:$C,11))+(DE148-SUMIFS('Consumable Usage'!$F:$F,'Consumable Usage'!$A:$A,$A148,'Consumable Usage'!$D:$D,11)))</f>
        <v/>
      </c>
      <c r="DH148" s="12" t="str">
        <f t="shared" si="31"/>
        <v/>
      </c>
      <c r="DI148" s="20"/>
      <c r="DJ148" s="12" t="str">
        <f t="shared" si="32"/>
        <v/>
      </c>
      <c r="DK148" s="45" t="str">
        <f t="shared" si="33"/>
        <v/>
      </c>
      <c r="DL148" s="15"/>
      <c r="DM148" s="15"/>
      <c r="DN148" s="20"/>
      <c r="DO148" s="12" t="str">
        <f>IF($A148="","",SUMIFS('Consumable Usage'!$E:$E,'Consumable Usage'!$A:$A,$A148,'Consumable Usage'!$D:$D,12))</f>
        <v/>
      </c>
      <c r="DP148" s="12" t="str">
        <f>IF($A148="","",SUMIFS('Nursing Charges'!$I:$I,'Nursing Charges'!$A:$A,$A148,'Nursing Charges'!$C:$C,12))</f>
        <v/>
      </c>
      <c r="DQ148" s="12" t="str">
        <f>IF($A148="","",DN148+(DP148-SUMIFS('Nursing Charges'!$J:$J,'Nursing Charges'!$A:$A,$A148,'Nursing Charges'!$C:$C,12))+(DO148-SUMIFS('Consumable Usage'!$F:$F,'Consumable Usage'!$A:$A,$A148,'Consumable Usage'!$D:$D,12)))</f>
        <v/>
      </c>
      <c r="DR148" s="12" t="str">
        <f t="shared" si="34"/>
        <v/>
      </c>
      <c r="DS148" s="20"/>
      <c r="DT148" s="12" t="str">
        <f t="shared" si="35"/>
        <v/>
      </c>
      <c r="DU148" s="45" t="str">
        <f t="shared" si="36"/>
        <v/>
      </c>
      <c r="DV148" s="15"/>
      <c r="DW148" s="15"/>
      <c r="DX148" s="20"/>
      <c r="DY148" s="12" t="str">
        <f>IF($A148="","",SUMIFS('Consumable Usage'!$E:$E,'Consumable Usage'!$A:$A,$A148,'Consumable Usage'!$D:$D,13))</f>
        <v/>
      </c>
      <c r="DZ148" s="12" t="str">
        <f>IF($A148="","",SUMIFS('Nursing Charges'!$I:$I,'Nursing Charges'!$A:$A,$A148,'Nursing Charges'!$C:$C,13))</f>
        <v/>
      </c>
      <c r="EA148" s="12" t="str">
        <f>IF($A148="","",DX148+(DZ148-SUMIFS('Nursing Charges'!$J:$J,'Nursing Charges'!$A:$A,$A148,'Nursing Charges'!$C:$C,13))+(DY148-SUMIFS('Consumable Usage'!$F:$F,'Consumable Usage'!$A:$A,$A148,'Consumable Usage'!$D:$D,13)))</f>
        <v/>
      </c>
      <c r="EB148" s="12" t="str">
        <f t="shared" si="37"/>
        <v/>
      </c>
      <c r="EC148" s="20"/>
      <c r="ED148" s="12" t="str">
        <f t="shared" si="38"/>
        <v/>
      </c>
      <c r="EE148" s="45" t="str">
        <f t="shared" si="39"/>
        <v/>
      </c>
      <c r="EF148" s="15"/>
      <c r="EG148" s="15"/>
      <c r="EH148" s="20"/>
      <c r="EI148" s="12" t="str">
        <f>IF($A148="","",SUMIFS('Consumable Usage'!$E:$E,'Consumable Usage'!$A:$A,$A148,'Consumable Usage'!$D:$D,14))</f>
        <v/>
      </c>
      <c r="EJ148" s="12" t="str">
        <f>IF($A148="","",SUMIFS('Nursing Charges'!$I:$I,'Nursing Charges'!$A:$A,$A148,'Nursing Charges'!$C:$C,14))</f>
        <v/>
      </c>
      <c r="EK148" s="12" t="str">
        <f>IF($A148="","",EH148+(EJ148-SUMIFS('Nursing Charges'!$J:$J,'Nursing Charges'!$A:$A,$A148,'Nursing Charges'!$C:$C,14))+(EI148-SUMIFS('Consumable Usage'!$F:$F,'Consumable Usage'!$A:$A,$A148,'Consumable Usage'!$D:$D,14)))</f>
        <v/>
      </c>
      <c r="EL148" s="12" t="str">
        <f t="shared" si="40"/>
        <v/>
      </c>
      <c r="EM148" s="20"/>
      <c r="EN148" s="12" t="str">
        <f t="shared" si="41"/>
        <v/>
      </c>
      <c r="EO148" s="45" t="str">
        <f t="shared" si="42"/>
        <v/>
      </c>
      <c r="EP148" s="15"/>
      <c r="EQ148" s="15"/>
      <c r="ER148" s="20"/>
      <c r="ES148" s="12" t="str">
        <f>IF($A148="","",SUMIFS('Consumable Usage'!$E:$E,'Consumable Usage'!$A:$A,$A148,'Consumable Usage'!$D:$D,15))</f>
        <v/>
      </c>
      <c r="ET148" s="12" t="str">
        <f>IF($A148="","",SUMIFS('Nursing Charges'!$I:$I,'Nursing Charges'!$A:$A,$A148,'Nursing Charges'!$C:$C,15))</f>
        <v/>
      </c>
      <c r="EU148" s="12" t="str">
        <f>IF($A148="","",ER148+(ET148-SUMIFS('Nursing Charges'!$J:$J,'Nursing Charges'!$A:$A,$A148,'Nursing Charges'!$C:$C,15))+(ES148-SUMIFS('Consumable Usage'!$F:$F,'Consumable Usage'!$A:$A,$A148,'Consumable Usage'!$D:$D,15)))</f>
        <v/>
      </c>
      <c r="EV148" s="12" t="str">
        <f t="shared" si="43"/>
        <v/>
      </c>
      <c r="EW148" s="20"/>
      <c r="EX148" s="12" t="str">
        <f t="shared" si="44"/>
        <v/>
      </c>
      <c r="EY148" s="45" t="str">
        <f t="shared" si="45"/>
        <v/>
      </c>
      <c r="EZ148" s="15"/>
      <c r="FA148" s="15"/>
      <c r="FB148" s="20"/>
      <c r="FC148" s="12" t="str">
        <f>IF($A148="","",SUMIFS('Consumable Usage'!$E:$E,'Consumable Usage'!$A:$A,$A148,'Consumable Usage'!$D:$D,16))</f>
        <v/>
      </c>
      <c r="FD148" s="12" t="str">
        <f>IF($A148="","",SUMIFS('Nursing Charges'!$I:$I,'Nursing Charges'!$A:$A,$A148,'Nursing Charges'!$C:$C,16))</f>
        <v/>
      </c>
      <c r="FE148" s="12" t="str">
        <f>IF($A148="","",FB148+(FD148-SUMIFS('Nursing Charges'!$J:$J,'Nursing Charges'!$A:$A,$A148,'Nursing Charges'!$C:$C,16))+(FC148-SUMIFS('Consumable Usage'!$F:$F,'Consumable Usage'!$A:$A,$A148,'Consumable Usage'!$D:$D,16)))</f>
        <v/>
      </c>
      <c r="FF148" s="12" t="str">
        <f t="shared" si="46"/>
        <v/>
      </c>
      <c r="FG148" s="20"/>
      <c r="FH148" s="12" t="str">
        <f t="shared" si="47"/>
        <v/>
      </c>
      <c r="FI148" s="45" t="str">
        <f t="shared" si="48"/>
        <v/>
      </c>
      <c r="FJ148" s="53"/>
      <c r="FK148" s="53"/>
      <c r="FL148" s="63"/>
      <c r="FM148" s="63" t="str">
        <f>IF($A148="","",SUMIFS('Consumable Usage'!$E:$E,'Consumable Usage'!$A:$A,$A148,'Consumable Usage'!$D:$D,16))</f>
        <v/>
      </c>
      <c r="FN148" s="63" t="str">
        <f>IF($A148="","",SUMIFS('Nursing Charges'!$I:$I,'Nursing Charges'!$A:$A,$A148,'Nursing Charges'!$C:$C,16))</f>
        <v/>
      </c>
      <c r="FO148" s="63" t="str">
        <f>IF($A148="","",FL148+(FN148-SUMIFS('Nursing Charges'!$J:$J,'Nursing Charges'!$A:$A,$A148,'Nursing Charges'!$C:$C,16))+(FM148-SUMIFS('Consumable Usage'!$F:$F,'Consumable Usage'!$A:$A,$A148,'Consumable Usage'!$D:$D,16)))</f>
        <v/>
      </c>
      <c r="FP148" s="63" t="str">
        <f t="shared" si="49"/>
        <v/>
      </c>
      <c r="FQ148" s="63"/>
      <c r="FR148" s="63" t="str">
        <f t="shared" si="50"/>
        <v/>
      </c>
      <c r="FS148" s="53" t="str">
        <f t="shared" si="51"/>
        <v/>
      </c>
    </row>
    <row r="149" ht="15.0" customHeight="1">
      <c r="A149" s="15"/>
      <c r="B149" s="15"/>
      <c r="C149" s="15"/>
      <c r="D149" s="15"/>
      <c r="E149" s="15"/>
      <c r="F149" s="15"/>
      <c r="G149" s="15"/>
      <c r="H149" s="20"/>
      <c r="I149" s="12" t="str">
        <f>IF($A149="","",SUMIFS('Consumable Usage'!$E:$E,'Consumable Usage'!$A:$A,$A149,'Consumable Usage'!$D:$D,1))</f>
        <v/>
      </c>
      <c r="J149" s="12" t="str">
        <f>IF($A149="","",SUMIFS('Nursing Charges'!$I:$I,'Nursing Charges'!$A:$A,$A149,'Nursing Charges'!$C:$C,1))</f>
        <v/>
      </c>
      <c r="K149" s="12" t="str">
        <f>IF($A149="","",H149+(J149-SUMIFS('Nursing Charges'!$J:$J,'Nursing Charges'!$A:$A,$A149,'Nursing Charges'!$C:$C,1))+(I149-SUMIFS('Consumable Usage'!$F:$F,'Consumable Usage'!$A:$A,$A149,'Consumable Usage'!$D:$D,1)))</f>
        <v/>
      </c>
      <c r="L149" s="12" t="str">
        <f t="shared" si="1"/>
        <v/>
      </c>
      <c r="M149" s="20"/>
      <c r="N149" s="12" t="str">
        <f t="shared" si="2"/>
        <v/>
      </c>
      <c r="O149" s="45" t="str">
        <f t="shared" si="3"/>
        <v/>
      </c>
      <c r="P149" s="15"/>
      <c r="Q149" s="15"/>
      <c r="R149" s="20"/>
      <c r="S149" s="12" t="str">
        <f>IF($A149="","",SUMIFS('Consumable Usage'!$E:$E,'Consumable Usage'!$A:$A,$A149,'Consumable Usage'!$D:$D,2))</f>
        <v/>
      </c>
      <c r="T149" s="12" t="str">
        <f>IF($A149="","",SUMIFS('Nursing Charges'!$I:$I,'Nursing Charges'!$A:$A,$A149,'Nursing Charges'!$C:$C,2))</f>
        <v/>
      </c>
      <c r="U149" s="12" t="str">
        <f>IF($A149="","",R149+(T149-SUMIFS('Nursing Charges'!$J:$J,'Nursing Charges'!$A:$A,$A149,'Nursing Charges'!$C:$C,2))+(S149-SUMIFS('Consumable Usage'!$F:$F,'Consumable Usage'!$A:$A,$A149,'Consumable Usage'!$D:$D,2)))</f>
        <v/>
      </c>
      <c r="V149" s="12" t="str">
        <f t="shared" si="4"/>
        <v/>
      </c>
      <c r="W149" s="20"/>
      <c r="X149" s="12" t="str">
        <f t="shared" si="5"/>
        <v/>
      </c>
      <c r="Y149" s="45" t="str">
        <f t="shared" si="6"/>
        <v/>
      </c>
      <c r="Z149" s="15"/>
      <c r="AA149" s="15"/>
      <c r="AB149" s="20"/>
      <c r="AC149" s="12" t="str">
        <f>IF($A149="","",SUMIFS('Consumable Usage'!$E:$E,'Consumable Usage'!$A:$A,$A149,'Consumable Usage'!$D:$D,3))</f>
        <v/>
      </c>
      <c r="AD149" s="12" t="str">
        <f>IF($A149="","",SUMIFS('Nursing Charges'!$I:$I,'Nursing Charges'!$A:$A,$A149,'Nursing Charges'!$C:$C,3))</f>
        <v/>
      </c>
      <c r="AE149" s="12" t="str">
        <f>IF($A149="","",AB149+(AD149-SUMIFS('Nursing Charges'!$J:$J,'Nursing Charges'!$A:$A,$A149,'Nursing Charges'!$C:$C,3))+(AC149-SUMIFS('Consumable Usage'!$F:$F,'Consumable Usage'!$A:$A,$A149,'Consumable Usage'!$D:$D,3)))</f>
        <v/>
      </c>
      <c r="AF149" s="12" t="str">
        <f t="shared" si="7"/>
        <v/>
      </c>
      <c r="AG149" s="20"/>
      <c r="AH149" s="12" t="str">
        <f t="shared" si="8"/>
        <v/>
      </c>
      <c r="AI149" s="45" t="str">
        <f t="shared" si="9"/>
        <v/>
      </c>
      <c r="AJ149" s="15"/>
      <c r="AK149" s="15"/>
      <c r="AL149" s="20"/>
      <c r="AM149" s="12" t="str">
        <f>IF($A149="","",SUMIFS('Consumable Usage'!$E:$E,'Consumable Usage'!$A:$A,$A149,'Consumable Usage'!$D:$D,4))</f>
        <v/>
      </c>
      <c r="AN149" s="12" t="str">
        <f>IF($A149="","",SUMIFS('Nursing Charges'!$I:$I,'Nursing Charges'!$A:$A,$A149,'Nursing Charges'!$C:$C,4))</f>
        <v/>
      </c>
      <c r="AO149" s="12" t="str">
        <f>IF($A149="","",AL149+(AN149-SUMIFS('Nursing Charges'!$J:$J,'Nursing Charges'!$A:$A,$A149,'Nursing Charges'!$C:$C,4))+(AM149-SUMIFS('Consumable Usage'!$F:$F,'Consumable Usage'!$A:$A,$A149,'Consumable Usage'!$D:$D,4)))</f>
        <v/>
      </c>
      <c r="AP149" s="12" t="str">
        <f t="shared" si="10"/>
        <v/>
      </c>
      <c r="AQ149" s="20"/>
      <c r="AR149" s="12" t="str">
        <f t="shared" si="11"/>
        <v/>
      </c>
      <c r="AS149" s="45" t="str">
        <f t="shared" si="12"/>
        <v/>
      </c>
      <c r="AT149" s="15"/>
      <c r="AU149" s="15"/>
      <c r="AV149" s="20"/>
      <c r="AW149" s="12" t="str">
        <f>IF($A149="","",SUMIFS('Consumable Usage'!$E:$E,'Consumable Usage'!$A:$A,$A149,'Consumable Usage'!$D:$D,5))</f>
        <v/>
      </c>
      <c r="AX149" s="12" t="str">
        <f>IF($A149="","",SUMIFS('Nursing Charges'!$I:$I,'Nursing Charges'!$A:$A,$A149,'Nursing Charges'!$C:$C,5))</f>
        <v/>
      </c>
      <c r="AY149" s="12" t="str">
        <f>IF($A149="","",AV149+(AX149-SUMIFS('Nursing Charges'!$J:$J,'Nursing Charges'!$A:$A,$A149,'Nursing Charges'!$C:$C,5))+(AW149-SUMIFS('Consumable Usage'!$F:$F,'Consumable Usage'!$A:$A,$A149,'Consumable Usage'!$D:$D,5)))</f>
        <v/>
      </c>
      <c r="AZ149" s="12" t="str">
        <f t="shared" si="13"/>
        <v/>
      </c>
      <c r="BA149" s="20"/>
      <c r="BB149" s="12" t="str">
        <f t="shared" si="14"/>
        <v/>
      </c>
      <c r="BC149" s="45" t="str">
        <f t="shared" si="15"/>
        <v/>
      </c>
      <c r="BD149" s="15"/>
      <c r="BE149" s="15"/>
      <c r="BF149" s="20"/>
      <c r="BG149" s="12" t="str">
        <f>IF($A149="","",SUMIFS('Consumable Usage'!$E:$E,'Consumable Usage'!$A:$A,$A149,'Consumable Usage'!$D:$D,6))</f>
        <v/>
      </c>
      <c r="BH149" s="12" t="str">
        <f>IF($A149="","",SUMIFS('Nursing Charges'!$I:$I,'Nursing Charges'!$A:$A,$A149,'Nursing Charges'!$C:$C,6))</f>
        <v/>
      </c>
      <c r="BI149" s="12" t="str">
        <f>IF($A149="","",BF149+(BH149-SUMIFS('Nursing Charges'!$J:$J,'Nursing Charges'!$A:$A,$A149,'Nursing Charges'!$C:$C,6))+(BG149-SUMIFS('Consumable Usage'!$F:$F,'Consumable Usage'!$A:$A,$A149,'Consumable Usage'!$D:$D,6)))</f>
        <v/>
      </c>
      <c r="BJ149" s="12" t="str">
        <f t="shared" si="16"/>
        <v/>
      </c>
      <c r="BK149" s="20"/>
      <c r="BL149" s="12" t="str">
        <f t="shared" si="17"/>
        <v/>
      </c>
      <c r="BM149" s="45" t="str">
        <f t="shared" si="18"/>
        <v/>
      </c>
      <c r="BN149" s="15"/>
      <c r="BO149" s="15"/>
      <c r="BP149" s="20"/>
      <c r="BQ149" s="12" t="str">
        <f>IF($A149="","",SUMIFS('Consumable Usage'!$E:$E,'Consumable Usage'!$A:$A,$A149,'Consumable Usage'!$D:$D,7))</f>
        <v/>
      </c>
      <c r="BR149" s="12" t="str">
        <f>IF($A149="","",SUMIFS('Nursing Charges'!$I:$I,'Nursing Charges'!$A:$A,$A149,'Nursing Charges'!$C:$C,7))</f>
        <v/>
      </c>
      <c r="BS149" s="12" t="str">
        <f>IF($A149="","",BP149+(BR149-SUMIFS('Nursing Charges'!$J:$J,'Nursing Charges'!$A:$A,$A149,'Nursing Charges'!$C:$C,7))+(BQ149-SUMIFS('Consumable Usage'!$F:$F,'Consumable Usage'!$A:$A,$A149,'Consumable Usage'!$D:$D,7)))</f>
        <v/>
      </c>
      <c r="BT149" s="12" t="str">
        <f t="shared" si="19"/>
        <v/>
      </c>
      <c r="BU149" s="20"/>
      <c r="BV149" s="12" t="str">
        <f t="shared" si="20"/>
        <v/>
      </c>
      <c r="BW149" s="45" t="str">
        <f t="shared" si="21"/>
        <v/>
      </c>
      <c r="BX149" s="15"/>
      <c r="BY149" s="15"/>
      <c r="BZ149" s="20"/>
      <c r="CA149" s="12" t="str">
        <f>IF($A149="","",SUMIFS('Consumable Usage'!$E:$E,'Consumable Usage'!$A:$A,$A149,'Consumable Usage'!$D:$D,8))</f>
        <v/>
      </c>
      <c r="CB149" s="12" t="str">
        <f>IF($A149="","",SUMIFS('Nursing Charges'!$I:$I,'Nursing Charges'!$A:$A,$A149,'Nursing Charges'!$C:$C,8))</f>
        <v/>
      </c>
      <c r="CC149" s="12" t="str">
        <f>IF($A149="","",BZ149+(CB149-SUMIFS('Nursing Charges'!$J:$J,'Nursing Charges'!$A:$A,$A149,'Nursing Charges'!$C:$C,8))+(CA149-SUMIFS('Consumable Usage'!$F:$F,'Consumable Usage'!$A:$A,$A149,'Consumable Usage'!$D:$D,8)))</f>
        <v/>
      </c>
      <c r="CD149" s="12" t="str">
        <f t="shared" si="22"/>
        <v/>
      </c>
      <c r="CE149" s="20"/>
      <c r="CF149" s="12" t="str">
        <f t="shared" si="23"/>
        <v/>
      </c>
      <c r="CG149" s="45" t="str">
        <f t="shared" si="24"/>
        <v/>
      </c>
      <c r="CH149" s="15"/>
      <c r="CI149" s="15"/>
      <c r="CJ149" s="20"/>
      <c r="CK149" s="12" t="str">
        <f>IF($A149="","",SUMIFS('Consumable Usage'!$E:$E,'Consumable Usage'!$A:$A,$A149,'Consumable Usage'!$D:$D,9))</f>
        <v/>
      </c>
      <c r="CL149" s="12" t="str">
        <f>IF($A149="","",SUMIFS('Nursing Charges'!$I:$I,'Nursing Charges'!$A:$A,$A149,'Nursing Charges'!$C:$C,9))</f>
        <v/>
      </c>
      <c r="CM149" s="12" t="str">
        <f>IF($A149="","",CJ149+(CL149-SUMIFS('Nursing Charges'!$J:$J,'Nursing Charges'!$A:$A,$A149,'Nursing Charges'!$C:$C,9))+(CK149-SUMIFS('Consumable Usage'!$F:$F,'Consumable Usage'!$A:$A,$A149,'Consumable Usage'!$D:$D,9)))</f>
        <v/>
      </c>
      <c r="CN149" s="12" t="str">
        <f t="shared" si="25"/>
        <v/>
      </c>
      <c r="CO149" s="20"/>
      <c r="CP149" s="12" t="str">
        <f t="shared" si="26"/>
        <v/>
      </c>
      <c r="CQ149" s="45" t="str">
        <f t="shared" si="27"/>
        <v/>
      </c>
      <c r="CR149" s="15"/>
      <c r="CS149" s="15"/>
      <c r="CT149" s="20"/>
      <c r="CU149" s="12" t="str">
        <f>IF($A149="","",SUMIFS('Consumable Usage'!$E:$E,'Consumable Usage'!$A:$A,$A149,'Consumable Usage'!$D:$D,10))</f>
        <v/>
      </c>
      <c r="CV149" s="12" t="str">
        <f>IF($A149="","",SUMIFS('Nursing Charges'!$I:$I,'Nursing Charges'!$A:$A,$A149,'Nursing Charges'!$C:$C,10))</f>
        <v/>
      </c>
      <c r="CW149" s="12" t="str">
        <f>IF($A149="","",CT149+(CV149-SUMIFS('Nursing Charges'!$J:$J,'Nursing Charges'!$A:$A,$A149,'Nursing Charges'!$C:$C,10))+(CU149-SUMIFS('Consumable Usage'!$F:$F,'Consumable Usage'!$A:$A,$A149,'Consumable Usage'!$D:$D,10)))</f>
        <v/>
      </c>
      <c r="CX149" s="12" t="str">
        <f t="shared" si="28"/>
        <v/>
      </c>
      <c r="CY149" s="20"/>
      <c r="CZ149" s="12" t="str">
        <f t="shared" si="29"/>
        <v/>
      </c>
      <c r="DA149" s="45" t="str">
        <f t="shared" si="30"/>
        <v/>
      </c>
      <c r="DB149" s="15"/>
      <c r="DC149" s="15"/>
      <c r="DD149" s="20"/>
      <c r="DE149" s="12" t="str">
        <f>IF($A149="","",SUMIFS('Consumable Usage'!$E:$E,'Consumable Usage'!$A:$A,$A149,'Consumable Usage'!$D:$D,11))</f>
        <v/>
      </c>
      <c r="DF149" s="12" t="str">
        <f>IF($A149="","",SUMIFS('Nursing Charges'!$I:$I,'Nursing Charges'!$A:$A,$A149,'Nursing Charges'!$C:$C,11))</f>
        <v/>
      </c>
      <c r="DG149" s="12" t="str">
        <f>IF($A149="","",DD149+(DF149-SUMIFS('Nursing Charges'!$J:$J,'Nursing Charges'!$A:$A,$A149,'Nursing Charges'!$C:$C,11))+(DE149-SUMIFS('Consumable Usage'!$F:$F,'Consumable Usage'!$A:$A,$A149,'Consumable Usage'!$D:$D,11)))</f>
        <v/>
      </c>
      <c r="DH149" s="12" t="str">
        <f t="shared" si="31"/>
        <v/>
      </c>
      <c r="DI149" s="20"/>
      <c r="DJ149" s="12" t="str">
        <f t="shared" si="32"/>
        <v/>
      </c>
      <c r="DK149" s="45" t="str">
        <f t="shared" si="33"/>
        <v/>
      </c>
      <c r="DL149" s="15"/>
      <c r="DM149" s="15"/>
      <c r="DN149" s="20"/>
      <c r="DO149" s="12" t="str">
        <f>IF($A149="","",SUMIFS('Consumable Usage'!$E:$E,'Consumable Usage'!$A:$A,$A149,'Consumable Usage'!$D:$D,12))</f>
        <v/>
      </c>
      <c r="DP149" s="12" t="str">
        <f>IF($A149="","",SUMIFS('Nursing Charges'!$I:$I,'Nursing Charges'!$A:$A,$A149,'Nursing Charges'!$C:$C,12))</f>
        <v/>
      </c>
      <c r="DQ149" s="12" t="str">
        <f>IF($A149="","",DN149+(DP149-SUMIFS('Nursing Charges'!$J:$J,'Nursing Charges'!$A:$A,$A149,'Nursing Charges'!$C:$C,12))+(DO149-SUMIFS('Consumable Usage'!$F:$F,'Consumable Usage'!$A:$A,$A149,'Consumable Usage'!$D:$D,12)))</f>
        <v/>
      </c>
      <c r="DR149" s="12" t="str">
        <f t="shared" si="34"/>
        <v/>
      </c>
      <c r="DS149" s="20"/>
      <c r="DT149" s="12" t="str">
        <f t="shared" si="35"/>
        <v/>
      </c>
      <c r="DU149" s="45" t="str">
        <f t="shared" si="36"/>
        <v/>
      </c>
      <c r="DV149" s="15"/>
      <c r="DW149" s="15"/>
      <c r="DX149" s="20"/>
      <c r="DY149" s="12" t="str">
        <f>IF($A149="","",SUMIFS('Consumable Usage'!$E:$E,'Consumable Usage'!$A:$A,$A149,'Consumable Usage'!$D:$D,13))</f>
        <v/>
      </c>
      <c r="DZ149" s="12" t="str">
        <f>IF($A149="","",SUMIFS('Nursing Charges'!$I:$I,'Nursing Charges'!$A:$A,$A149,'Nursing Charges'!$C:$C,13))</f>
        <v/>
      </c>
      <c r="EA149" s="12" t="str">
        <f>IF($A149="","",DX149+(DZ149-SUMIFS('Nursing Charges'!$J:$J,'Nursing Charges'!$A:$A,$A149,'Nursing Charges'!$C:$C,13))+(DY149-SUMIFS('Consumable Usage'!$F:$F,'Consumable Usage'!$A:$A,$A149,'Consumable Usage'!$D:$D,13)))</f>
        <v/>
      </c>
      <c r="EB149" s="12" t="str">
        <f t="shared" si="37"/>
        <v/>
      </c>
      <c r="EC149" s="20"/>
      <c r="ED149" s="12" t="str">
        <f t="shared" si="38"/>
        <v/>
      </c>
      <c r="EE149" s="45" t="str">
        <f t="shared" si="39"/>
        <v/>
      </c>
      <c r="EF149" s="15"/>
      <c r="EG149" s="15"/>
      <c r="EH149" s="20"/>
      <c r="EI149" s="12" t="str">
        <f>IF($A149="","",SUMIFS('Consumable Usage'!$E:$E,'Consumable Usage'!$A:$A,$A149,'Consumable Usage'!$D:$D,14))</f>
        <v/>
      </c>
      <c r="EJ149" s="12" t="str">
        <f>IF($A149="","",SUMIFS('Nursing Charges'!$I:$I,'Nursing Charges'!$A:$A,$A149,'Nursing Charges'!$C:$C,14))</f>
        <v/>
      </c>
      <c r="EK149" s="12" t="str">
        <f>IF($A149="","",EH149+(EJ149-SUMIFS('Nursing Charges'!$J:$J,'Nursing Charges'!$A:$A,$A149,'Nursing Charges'!$C:$C,14))+(EI149-SUMIFS('Consumable Usage'!$F:$F,'Consumable Usage'!$A:$A,$A149,'Consumable Usage'!$D:$D,14)))</f>
        <v/>
      </c>
      <c r="EL149" s="12" t="str">
        <f t="shared" si="40"/>
        <v/>
      </c>
      <c r="EM149" s="20"/>
      <c r="EN149" s="12" t="str">
        <f t="shared" si="41"/>
        <v/>
      </c>
      <c r="EO149" s="45" t="str">
        <f t="shared" si="42"/>
        <v/>
      </c>
      <c r="EP149" s="15"/>
      <c r="EQ149" s="15"/>
      <c r="ER149" s="20"/>
      <c r="ES149" s="12" t="str">
        <f>IF($A149="","",SUMIFS('Consumable Usage'!$E:$E,'Consumable Usage'!$A:$A,$A149,'Consumable Usage'!$D:$D,15))</f>
        <v/>
      </c>
      <c r="ET149" s="12" t="str">
        <f>IF($A149="","",SUMIFS('Nursing Charges'!$I:$I,'Nursing Charges'!$A:$A,$A149,'Nursing Charges'!$C:$C,15))</f>
        <v/>
      </c>
      <c r="EU149" s="12" t="str">
        <f>IF($A149="","",ER149+(ET149-SUMIFS('Nursing Charges'!$J:$J,'Nursing Charges'!$A:$A,$A149,'Nursing Charges'!$C:$C,15))+(ES149-SUMIFS('Consumable Usage'!$F:$F,'Consumable Usage'!$A:$A,$A149,'Consumable Usage'!$D:$D,15)))</f>
        <v/>
      </c>
      <c r="EV149" s="12" t="str">
        <f t="shared" si="43"/>
        <v/>
      </c>
      <c r="EW149" s="20"/>
      <c r="EX149" s="12" t="str">
        <f t="shared" si="44"/>
        <v/>
      </c>
      <c r="EY149" s="45" t="str">
        <f t="shared" si="45"/>
        <v/>
      </c>
      <c r="EZ149" s="15"/>
      <c r="FA149" s="15"/>
      <c r="FB149" s="20"/>
      <c r="FC149" s="12" t="str">
        <f>IF($A149="","",SUMIFS('Consumable Usage'!$E:$E,'Consumable Usage'!$A:$A,$A149,'Consumable Usage'!$D:$D,16))</f>
        <v/>
      </c>
      <c r="FD149" s="12" t="str">
        <f>IF($A149="","",SUMIFS('Nursing Charges'!$I:$I,'Nursing Charges'!$A:$A,$A149,'Nursing Charges'!$C:$C,16))</f>
        <v/>
      </c>
      <c r="FE149" s="12" t="str">
        <f>IF($A149="","",FB149+(FD149-SUMIFS('Nursing Charges'!$J:$J,'Nursing Charges'!$A:$A,$A149,'Nursing Charges'!$C:$C,16))+(FC149-SUMIFS('Consumable Usage'!$F:$F,'Consumable Usage'!$A:$A,$A149,'Consumable Usage'!$D:$D,16)))</f>
        <v/>
      </c>
      <c r="FF149" s="12" t="str">
        <f t="shared" si="46"/>
        <v/>
      </c>
      <c r="FG149" s="20"/>
      <c r="FH149" s="12" t="str">
        <f t="shared" si="47"/>
        <v/>
      </c>
      <c r="FI149" s="45" t="str">
        <f t="shared" si="48"/>
        <v/>
      </c>
      <c r="FJ149" s="53"/>
      <c r="FK149" s="53"/>
      <c r="FL149" s="63"/>
      <c r="FM149" s="63" t="str">
        <f>IF($A149="","",SUMIFS('Consumable Usage'!$E:$E,'Consumable Usage'!$A:$A,$A149,'Consumable Usage'!$D:$D,16))</f>
        <v/>
      </c>
      <c r="FN149" s="63" t="str">
        <f>IF($A149="","",SUMIFS('Nursing Charges'!$I:$I,'Nursing Charges'!$A:$A,$A149,'Nursing Charges'!$C:$C,16))</f>
        <v/>
      </c>
      <c r="FO149" s="63" t="str">
        <f>IF($A149="","",FL149+(FN149-SUMIFS('Nursing Charges'!$J:$J,'Nursing Charges'!$A:$A,$A149,'Nursing Charges'!$C:$C,16))+(FM149-SUMIFS('Consumable Usage'!$F:$F,'Consumable Usage'!$A:$A,$A149,'Consumable Usage'!$D:$D,16)))</f>
        <v/>
      </c>
      <c r="FP149" s="63" t="str">
        <f t="shared" si="49"/>
        <v/>
      </c>
      <c r="FQ149" s="63"/>
      <c r="FR149" s="63" t="str">
        <f t="shared" si="50"/>
        <v/>
      </c>
      <c r="FS149" s="53" t="str">
        <f t="shared" si="51"/>
        <v/>
      </c>
    </row>
    <row r="150" ht="15.0" customHeight="1">
      <c r="A150" s="15"/>
      <c r="B150" s="15"/>
      <c r="C150" s="15"/>
      <c r="D150" s="15"/>
      <c r="E150" s="15"/>
      <c r="F150" s="15"/>
      <c r="G150" s="15"/>
      <c r="H150" s="20"/>
      <c r="I150" s="12" t="str">
        <f>IF($A150="","",SUMIFS('Consumable Usage'!$E:$E,'Consumable Usage'!$A:$A,$A150,'Consumable Usage'!$D:$D,1))</f>
        <v/>
      </c>
      <c r="J150" s="12" t="str">
        <f>IF($A150="","",SUMIFS('Nursing Charges'!$I:$I,'Nursing Charges'!$A:$A,$A150,'Nursing Charges'!$C:$C,1))</f>
        <v/>
      </c>
      <c r="K150" s="12" t="str">
        <f>IF($A150="","",H150+(J150-SUMIFS('Nursing Charges'!$J:$J,'Nursing Charges'!$A:$A,$A150,'Nursing Charges'!$C:$C,1))+(I150-SUMIFS('Consumable Usage'!$F:$F,'Consumable Usage'!$A:$A,$A150,'Consumable Usage'!$D:$D,1)))</f>
        <v/>
      </c>
      <c r="L150" s="12" t="str">
        <f t="shared" si="1"/>
        <v/>
      </c>
      <c r="M150" s="20"/>
      <c r="N150" s="12" t="str">
        <f t="shared" si="2"/>
        <v/>
      </c>
      <c r="O150" s="45" t="str">
        <f t="shared" si="3"/>
        <v/>
      </c>
      <c r="P150" s="15"/>
      <c r="Q150" s="15"/>
      <c r="R150" s="20"/>
      <c r="S150" s="12" t="str">
        <f>IF($A150="","",SUMIFS('Consumable Usage'!$E:$E,'Consumable Usage'!$A:$A,$A150,'Consumable Usage'!$D:$D,2))</f>
        <v/>
      </c>
      <c r="T150" s="12" t="str">
        <f>IF($A150="","",SUMIFS('Nursing Charges'!$I:$I,'Nursing Charges'!$A:$A,$A150,'Nursing Charges'!$C:$C,2))</f>
        <v/>
      </c>
      <c r="U150" s="12" t="str">
        <f>IF($A150="","",R150+(T150-SUMIFS('Nursing Charges'!$J:$J,'Nursing Charges'!$A:$A,$A150,'Nursing Charges'!$C:$C,2))+(S150-SUMIFS('Consumable Usage'!$F:$F,'Consumable Usage'!$A:$A,$A150,'Consumable Usage'!$D:$D,2)))</f>
        <v/>
      </c>
      <c r="V150" s="12" t="str">
        <f t="shared" si="4"/>
        <v/>
      </c>
      <c r="W150" s="20"/>
      <c r="X150" s="12" t="str">
        <f t="shared" si="5"/>
        <v/>
      </c>
      <c r="Y150" s="45" t="str">
        <f t="shared" si="6"/>
        <v/>
      </c>
      <c r="Z150" s="15"/>
      <c r="AA150" s="15"/>
      <c r="AB150" s="20"/>
      <c r="AC150" s="12" t="str">
        <f>IF($A150="","",SUMIFS('Consumable Usage'!$E:$E,'Consumable Usage'!$A:$A,$A150,'Consumable Usage'!$D:$D,3))</f>
        <v/>
      </c>
      <c r="AD150" s="12" t="str">
        <f>IF($A150="","",SUMIFS('Nursing Charges'!$I:$I,'Nursing Charges'!$A:$A,$A150,'Nursing Charges'!$C:$C,3))</f>
        <v/>
      </c>
      <c r="AE150" s="12" t="str">
        <f>IF($A150="","",AB150+(AD150-SUMIFS('Nursing Charges'!$J:$J,'Nursing Charges'!$A:$A,$A150,'Nursing Charges'!$C:$C,3))+(AC150-SUMIFS('Consumable Usage'!$F:$F,'Consumable Usage'!$A:$A,$A150,'Consumable Usage'!$D:$D,3)))</f>
        <v/>
      </c>
      <c r="AF150" s="12" t="str">
        <f t="shared" si="7"/>
        <v/>
      </c>
      <c r="AG150" s="20"/>
      <c r="AH150" s="12" t="str">
        <f t="shared" si="8"/>
        <v/>
      </c>
      <c r="AI150" s="45" t="str">
        <f t="shared" si="9"/>
        <v/>
      </c>
      <c r="AJ150" s="15"/>
      <c r="AK150" s="15"/>
      <c r="AL150" s="20"/>
      <c r="AM150" s="12" t="str">
        <f>IF($A150="","",SUMIFS('Consumable Usage'!$E:$E,'Consumable Usage'!$A:$A,$A150,'Consumable Usage'!$D:$D,4))</f>
        <v/>
      </c>
      <c r="AN150" s="12" t="str">
        <f>IF($A150="","",SUMIFS('Nursing Charges'!$I:$I,'Nursing Charges'!$A:$A,$A150,'Nursing Charges'!$C:$C,4))</f>
        <v/>
      </c>
      <c r="AO150" s="12" t="str">
        <f>IF($A150="","",AL150+(AN150-SUMIFS('Nursing Charges'!$J:$J,'Nursing Charges'!$A:$A,$A150,'Nursing Charges'!$C:$C,4))+(AM150-SUMIFS('Consumable Usage'!$F:$F,'Consumable Usage'!$A:$A,$A150,'Consumable Usage'!$D:$D,4)))</f>
        <v/>
      </c>
      <c r="AP150" s="12" t="str">
        <f t="shared" si="10"/>
        <v/>
      </c>
      <c r="AQ150" s="20"/>
      <c r="AR150" s="12" t="str">
        <f t="shared" si="11"/>
        <v/>
      </c>
      <c r="AS150" s="45" t="str">
        <f t="shared" si="12"/>
        <v/>
      </c>
      <c r="AT150" s="15"/>
      <c r="AU150" s="15"/>
      <c r="AV150" s="20"/>
      <c r="AW150" s="12" t="str">
        <f>IF($A150="","",SUMIFS('Consumable Usage'!$E:$E,'Consumable Usage'!$A:$A,$A150,'Consumable Usage'!$D:$D,5))</f>
        <v/>
      </c>
      <c r="AX150" s="12" t="str">
        <f>IF($A150="","",SUMIFS('Nursing Charges'!$I:$I,'Nursing Charges'!$A:$A,$A150,'Nursing Charges'!$C:$C,5))</f>
        <v/>
      </c>
      <c r="AY150" s="12" t="str">
        <f>IF($A150="","",AV150+(AX150-SUMIFS('Nursing Charges'!$J:$J,'Nursing Charges'!$A:$A,$A150,'Nursing Charges'!$C:$C,5))+(AW150-SUMIFS('Consumable Usage'!$F:$F,'Consumable Usage'!$A:$A,$A150,'Consumable Usage'!$D:$D,5)))</f>
        <v/>
      </c>
      <c r="AZ150" s="12" t="str">
        <f t="shared" si="13"/>
        <v/>
      </c>
      <c r="BA150" s="20"/>
      <c r="BB150" s="12" t="str">
        <f t="shared" si="14"/>
        <v/>
      </c>
      <c r="BC150" s="45" t="str">
        <f t="shared" si="15"/>
        <v/>
      </c>
      <c r="BD150" s="15"/>
      <c r="BE150" s="15"/>
      <c r="BF150" s="20"/>
      <c r="BG150" s="12" t="str">
        <f>IF($A150="","",SUMIFS('Consumable Usage'!$E:$E,'Consumable Usage'!$A:$A,$A150,'Consumable Usage'!$D:$D,6))</f>
        <v/>
      </c>
      <c r="BH150" s="12" t="str">
        <f>IF($A150="","",SUMIFS('Nursing Charges'!$I:$I,'Nursing Charges'!$A:$A,$A150,'Nursing Charges'!$C:$C,6))</f>
        <v/>
      </c>
      <c r="BI150" s="12" t="str">
        <f>IF($A150="","",BF150+(BH150-SUMIFS('Nursing Charges'!$J:$J,'Nursing Charges'!$A:$A,$A150,'Nursing Charges'!$C:$C,6))+(BG150-SUMIFS('Consumable Usage'!$F:$F,'Consumable Usage'!$A:$A,$A150,'Consumable Usage'!$D:$D,6)))</f>
        <v/>
      </c>
      <c r="BJ150" s="12" t="str">
        <f t="shared" si="16"/>
        <v/>
      </c>
      <c r="BK150" s="20"/>
      <c r="BL150" s="12" t="str">
        <f t="shared" si="17"/>
        <v/>
      </c>
      <c r="BM150" s="45" t="str">
        <f t="shared" si="18"/>
        <v/>
      </c>
      <c r="BN150" s="15"/>
      <c r="BO150" s="15"/>
      <c r="BP150" s="20"/>
      <c r="BQ150" s="12" t="str">
        <f>IF($A150="","",SUMIFS('Consumable Usage'!$E:$E,'Consumable Usage'!$A:$A,$A150,'Consumable Usage'!$D:$D,7))</f>
        <v/>
      </c>
      <c r="BR150" s="12" t="str">
        <f>IF($A150="","",SUMIFS('Nursing Charges'!$I:$I,'Nursing Charges'!$A:$A,$A150,'Nursing Charges'!$C:$C,7))</f>
        <v/>
      </c>
      <c r="BS150" s="12" t="str">
        <f>IF($A150="","",BP150+(BR150-SUMIFS('Nursing Charges'!$J:$J,'Nursing Charges'!$A:$A,$A150,'Nursing Charges'!$C:$C,7))+(BQ150-SUMIFS('Consumable Usage'!$F:$F,'Consumable Usage'!$A:$A,$A150,'Consumable Usage'!$D:$D,7)))</f>
        <v/>
      </c>
      <c r="BT150" s="12" t="str">
        <f t="shared" si="19"/>
        <v/>
      </c>
      <c r="BU150" s="20"/>
      <c r="BV150" s="12" t="str">
        <f t="shared" si="20"/>
        <v/>
      </c>
      <c r="BW150" s="45" t="str">
        <f t="shared" si="21"/>
        <v/>
      </c>
      <c r="BX150" s="15"/>
      <c r="BY150" s="15"/>
      <c r="BZ150" s="20"/>
      <c r="CA150" s="12" t="str">
        <f>IF($A150="","",SUMIFS('Consumable Usage'!$E:$E,'Consumable Usage'!$A:$A,$A150,'Consumable Usage'!$D:$D,8))</f>
        <v/>
      </c>
      <c r="CB150" s="12" t="str">
        <f>IF($A150="","",SUMIFS('Nursing Charges'!$I:$I,'Nursing Charges'!$A:$A,$A150,'Nursing Charges'!$C:$C,8))</f>
        <v/>
      </c>
      <c r="CC150" s="12" t="str">
        <f>IF($A150="","",BZ150+(CB150-SUMIFS('Nursing Charges'!$J:$J,'Nursing Charges'!$A:$A,$A150,'Nursing Charges'!$C:$C,8))+(CA150-SUMIFS('Consumable Usage'!$F:$F,'Consumable Usage'!$A:$A,$A150,'Consumable Usage'!$D:$D,8)))</f>
        <v/>
      </c>
      <c r="CD150" s="12" t="str">
        <f t="shared" si="22"/>
        <v/>
      </c>
      <c r="CE150" s="20"/>
      <c r="CF150" s="12" t="str">
        <f t="shared" si="23"/>
        <v/>
      </c>
      <c r="CG150" s="45" t="str">
        <f t="shared" si="24"/>
        <v/>
      </c>
      <c r="CH150" s="15"/>
      <c r="CI150" s="15"/>
      <c r="CJ150" s="20"/>
      <c r="CK150" s="12" t="str">
        <f>IF($A150="","",SUMIFS('Consumable Usage'!$E:$E,'Consumable Usage'!$A:$A,$A150,'Consumable Usage'!$D:$D,9))</f>
        <v/>
      </c>
      <c r="CL150" s="12" t="str">
        <f>IF($A150="","",SUMIFS('Nursing Charges'!$I:$I,'Nursing Charges'!$A:$A,$A150,'Nursing Charges'!$C:$C,9))</f>
        <v/>
      </c>
      <c r="CM150" s="12" t="str">
        <f>IF($A150="","",CJ150+(CL150-SUMIFS('Nursing Charges'!$J:$J,'Nursing Charges'!$A:$A,$A150,'Nursing Charges'!$C:$C,9))+(CK150-SUMIFS('Consumable Usage'!$F:$F,'Consumable Usage'!$A:$A,$A150,'Consumable Usage'!$D:$D,9)))</f>
        <v/>
      </c>
      <c r="CN150" s="12" t="str">
        <f t="shared" si="25"/>
        <v/>
      </c>
      <c r="CO150" s="20"/>
      <c r="CP150" s="12" t="str">
        <f t="shared" si="26"/>
        <v/>
      </c>
      <c r="CQ150" s="45" t="str">
        <f t="shared" si="27"/>
        <v/>
      </c>
      <c r="CR150" s="15"/>
      <c r="CS150" s="15"/>
      <c r="CT150" s="20"/>
      <c r="CU150" s="12" t="str">
        <f>IF($A150="","",SUMIFS('Consumable Usage'!$E:$E,'Consumable Usage'!$A:$A,$A150,'Consumable Usage'!$D:$D,10))</f>
        <v/>
      </c>
      <c r="CV150" s="12" t="str">
        <f>IF($A150="","",SUMIFS('Nursing Charges'!$I:$I,'Nursing Charges'!$A:$A,$A150,'Nursing Charges'!$C:$C,10))</f>
        <v/>
      </c>
      <c r="CW150" s="12" t="str">
        <f>IF($A150="","",CT150+(CV150-SUMIFS('Nursing Charges'!$J:$J,'Nursing Charges'!$A:$A,$A150,'Nursing Charges'!$C:$C,10))+(CU150-SUMIFS('Consumable Usage'!$F:$F,'Consumable Usage'!$A:$A,$A150,'Consumable Usage'!$D:$D,10)))</f>
        <v/>
      </c>
      <c r="CX150" s="12" t="str">
        <f t="shared" si="28"/>
        <v/>
      </c>
      <c r="CY150" s="20"/>
      <c r="CZ150" s="12" t="str">
        <f t="shared" si="29"/>
        <v/>
      </c>
      <c r="DA150" s="45" t="str">
        <f t="shared" si="30"/>
        <v/>
      </c>
      <c r="DB150" s="15"/>
      <c r="DC150" s="15"/>
      <c r="DD150" s="20"/>
      <c r="DE150" s="12" t="str">
        <f>IF($A150="","",SUMIFS('Consumable Usage'!$E:$E,'Consumable Usage'!$A:$A,$A150,'Consumable Usage'!$D:$D,11))</f>
        <v/>
      </c>
      <c r="DF150" s="12" t="str">
        <f>IF($A150="","",SUMIFS('Nursing Charges'!$I:$I,'Nursing Charges'!$A:$A,$A150,'Nursing Charges'!$C:$C,11))</f>
        <v/>
      </c>
      <c r="DG150" s="12" t="str">
        <f>IF($A150="","",DD150+(DF150-SUMIFS('Nursing Charges'!$J:$J,'Nursing Charges'!$A:$A,$A150,'Nursing Charges'!$C:$C,11))+(DE150-SUMIFS('Consumable Usage'!$F:$F,'Consumable Usage'!$A:$A,$A150,'Consumable Usage'!$D:$D,11)))</f>
        <v/>
      </c>
      <c r="DH150" s="12" t="str">
        <f t="shared" si="31"/>
        <v/>
      </c>
      <c r="DI150" s="20"/>
      <c r="DJ150" s="12" t="str">
        <f t="shared" si="32"/>
        <v/>
      </c>
      <c r="DK150" s="45" t="str">
        <f t="shared" si="33"/>
        <v/>
      </c>
      <c r="DL150" s="15"/>
      <c r="DM150" s="15"/>
      <c r="DN150" s="20"/>
      <c r="DO150" s="12" t="str">
        <f>IF($A150="","",SUMIFS('Consumable Usage'!$E:$E,'Consumable Usage'!$A:$A,$A150,'Consumable Usage'!$D:$D,12))</f>
        <v/>
      </c>
      <c r="DP150" s="12" t="str">
        <f>IF($A150="","",SUMIFS('Nursing Charges'!$I:$I,'Nursing Charges'!$A:$A,$A150,'Nursing Charges'!$C:$C,12))</f>
        <v/>
      </c>
      <c r="DQ150" s="12" t="str">
        <f>IF($A150="","",DN150+(DP150-SUMIFS('Nursing Charges'!$J:$J,'Nursing Charges'!$A:$A,$A150,'Nursing Charges'!$C:$C,12))+(DO150-SUMIFS('Consumable Usage'!$F:$F,'Consumable Usage'!$A:$A,$A150,'Consumable Usage'!$D:$D,12)))</f>
        <v/>
      </c>
      <c r="DR150" s="12" t="str">
        <f t="shared" si="34"/>
        <v/>
      </c>
      <c r="DS150" s="20"/>
      <c r="DT150" s="12" t="str">
        <f t="shared" si="35"/>
        <v/>
      </c>
      <c r="DU150" s="45" t="str">
        <f t="shared" si="36"/>
        <v/>
      </c>
      <c r="DV150" s="15"/>
      <c r="DW150" s="15"/>
      <c r="DX150" s="20"/>
      <c r="DY150" s="12" t="str">
        <f>IF($A150="","",SUMIFS('Consumable Usage'!$E:$E,'Consumable Usage'!$A:$A,$A150,'Consumable Usage'!$D:$D,13))</f>
        <v/>
      </c>
      <c r="DZ150" s="12" t="str">
        <f>IF($A150="","",SUMIFS('Nursing Charges'!$I:$I,'Nursing Charges'!$A:$A,$A150,'Nursing Charges'!$C:$C,13))</f>
        <v/>
      </c>
      <c r="EA150" s="12" t="str">
        <f>IF($A150="","",DX150+(DZ150-SUMIFS('Nursing Charges'!$J:$J,'Nursing Charges'!$A:$A,$A150,'Nursing Charges'!$C:$C,13))+(DY150-SUMIFS('Consumable Usage'!$F:$F,'Consumable Usage'!$A:$A,$A150,'Consumable Usage'!$D:$D,13)))</f>
        <v/>
      </c>
      <c r="EB150" s="12" t="str">
        <f t="shared" si="37"/>
        <v/>
      </c>
      <c r="EC150" s="20"/>
      <c r="ED150" s="12" t="str">
        <f t="shared" si="38"/>
        <v/>
      </c>
      <c r="EE150" s="45" t="str">
        <f t="shared" si="39"/>
        <v/>
      </c>
      <c r="EF150" s="15"/>
      <c r="EG150" s="15"/>
      <c r="EH150" s="20"/>
      <c r="EI150" s="12" t="str">
        <f>IF($A150="","",SUMIFS('Consumable Usage'!$E:$E,'Consumable Usage'!$A:$A,$A150,'Consumable Usage'!$D:$D,14))</f>
        <v/>
      </c>
      <c r="EJ150" s="12" t="str">
        <f>IF($A150="","",SUMIFS('Nursing Charges'!$I:$I,'Nursing Charges'!$A:$A,$A150,'Nursing Charges'!$C:$C,14))</f>
        <v/>
      </c>
      <c r="EK150" s="12" t="str">
        <f>IF($A150="","",EH150+(EJ150-SUMIFS('Nursing Charges'!$J:$J,'Nursing Charges'!$A:$A,$A150,'Nursing Charges'!$C:$C,14))+(EI150-SUMIFS('Consumable Usage'!$F:$F,'Consumable Usage'!$A:$A,$A150,'Consumable Usage'!$D:$D,14)))</f>
        <v/>
      </c>
      <c r="EL150" s="12" t="str">
        <f t="shared" si="40"/>
        <v/>
      </c>
      <c r="EM150" s="20"/>
      <c r="EN150" s="12" t="str">
        <f t="shared" si="41"/>
        <v/>
      </c>
      <c r="EO150" s="45" t="str">
        <f t="shared" si="42"/>
        <v/>
      </c>
      <c r="EP150" s="15"/>
      <c r="EQ150" s="15"/>
      <c r="ER150" s="20"/>
      <c r="ES150" s="12" t="str">
        <f>IF($A150="","",SUMIFS('Consumable Usage'!$E:$E,'Consumable Usage'!$A:$A,$A150,'Consumable Usage'!$D:$D,15))</f>
        <v/>
      </c>
      <c r="ET150" s="12" t="str">
        <f>IF($A150="","",SUMIFS('Nursing Charges'!$I:$I,'Nursing Charges'!$A:$A,$A150,'Nursing Charges'!$C:$C,15))</f>
        <v/>
      </c>
      <c r="EU150" s="12" t="str">
        <f>IF($A150="","",ER150+(ET150-SUMIFS('Nursing Charges'!$J:$J,'Nursing Charges'!$A:$A,$A150,'Nursing Charges'!$C:$C,15))+(ES150-SUMIFS('Consumable Usage'!$F:$F,'Consumable Usage'!$A:$A,$A150,'Consumable Usage'!$D:$D,15)))</f>
        <v/>
      </c>
      <c r="EV150" s="12" t="str">
        <f t="shared" si="43"/>
        <v/>
      </c>
      <c r="EW150" s="20"/>
      <c r="EX150" s="12" t="str">
        <f t="shared" si="44"/>
        <v/>
      </c>
      <c r="EY150" s="45" t="str">
        <f t="shared" si="45"/>
        <v/>
      </c>
      <c r="EZ150" s="15"/>
      <c r="FA150" s="15"/>
      <c r="FB150" s="20"/>
      <c r="FC150" s="12" t="str">
        <f>IF($A150="","",SUMIFS('Consumable Usage'!$E:$E,'Consumable Usage'!$A:$A,$A150,'Consumable Usage'!$D:$D,16))</f>
        <v/>
      </c>
      <c r="FD150" s="12" t="str">
        <f>IF($A150="","",SUMIFS('Nursing Charges'!$I:$I,'Nursing Charges'!$A:$A,$A150,'Nursing Charges'!$C:$C,16))</f>
        <v/>
      </c>
      <c r="FE150" s="12" t="str">
        <f>IF($A150="","",FB150+(FD150-SUMIFS('Nursing Charges'!$J:$J,'Nursing Charges'!$A:$A,$A150,'Nursing Charges'!$C:$C,16))+(FC150-SUMIFS('Consumable Usage'!$F:$F,'Consumable Usage'!$A:$A,$A150,'Consumable Usage'!$D:$D,16)))</f>
        <v/>
      </c>
      <c r="FF150" s="12" t="str">
        <f t="shared" si="46"/>
        <v/>
      </c>
      <c r="FG150" s="20"/>
      <c r="FH150" s="12" t="str">
        <f t="shared" si="47"/>
        <v/>
      </c>
      <c r="FI150" s="45" t="str">
        <f t="shared" si="48"/>
        <v/>
      </c>
      <c r="FJ150" s="53"/>
      <c r="FK150" s="53"/>
      <c r="FL150" s="63"/>
      <c r="FM150" s="63" t="str">
        <f>IF($A150="","",SUMIFS('Consumable Usage'!$E:$E,'Consumable Usage'!$A:$A,$A150,'Consumable Usage'!$D:$D,16))</f>
        <v/>
      </c>
      <c r="FN150" s="63" t="str">
        <f>IF($A150="","",SUMIFS('Nursing Charges'!$I:$I,'Nursing Charges'!$A:$A,$A150,'Nursing Charges'!$C:$C,16))</f>
        <v/>
      </c>
      <c r="FO150" s="63" t="str">
        <f>IF($A150="","",FL150+(FN150-SUMIFS('Nursing Charges'!$J:$J,'Nursing Charges'!$A:$A,$A150,'Nursing Charges'!$C:$C,16))+(FM150-SUMIFS('Consumable Usage'!$F:$F,'Consumable Usage'!$A:$A,$A150,'Consumable Usage'!$D:$D,16)))</f>
        <v/>
      </c>
      <c r="FP150" s="63" t="str">
        <f t="shared" si="49"/>
        <v/>
      </c>
      <c r="FQ150" s="63"/>
      <c r="FR150" s="63" t="str">
        <f t="shared" si="50"/>
        <v/>
      </c>
      <c r="FS150" s="53" t="str">
        <f t="shared" si="51"/>
        <v/>
      </c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O151" s="2"/>
      <c r="DP151" s="2"/>
      <c r="DQ151" s="2"/>
      <c r="DY151" s="2"/>
      <c r="DZ151" s="2"/>
      <c r="EA151" s="2"/>
      <c r="EI151" s="2"/>
      <c r="EJ151" s="2"/>
      <c r="EK151" s="2"/>
      <c r="ES151" s="2"/>
      <c r="ET151" s="2"/>
      <c r="EU151" s="2"/>
      <c r="FC151" s="2"/>
      <c r="FD151" s="2"/>
      <c r="FE151" s="2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O152" s="2"/>
      <c r="DP152" s="2"/>
      <c r="DQ152" s="2"/>
      <c r="DY152" s="2"/>
      <c r="DZ152" s="2"/>
      <c r="EA152" s="2"/>
      <c r="EI152" s="2"/>
      <c r="EJ152" s="2"/>
      <c r="EK152" s="2"/>
      <c r="ES152" s="2"/>
      <c r="ET152" s="2"/>
      <c r="EU152" s="2"/>
      <c r="FC152" s="2"/>
      <c r="FD152" s="2"/>
      <c r="FE152" s="2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O153" s="2"/>
      <c r="DP153" s="2"/>
      <c r="DQ153" s="2"/>
      <c r="DY153" s="2"/>
      <c r="DZ153" s="2"/>
      <c r="EA153" s="2"/>
      <c r="EI153" s="2"/>
      <c r="EJ153" s="2"/>
      <c r="EK153" s="2"/>
      <c r="ES153" s="2"/>
      <c r="ET153" s="2"/>
      <c r="EU153" s="2"/>
      <c r="FC153" s="2"/>
      <c r="FD153" s="2"/>
      <c r="FE153" s="2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O154" s="2"/>
      <c r="DP154" s="2"/>
      <c r="DQ154" s="2"/>
      <c r="DY154" s="2"/>
      <c r="DZ154" s="2"/>
      <c r="EA154" s="2"/>
      <c r="EI154" s="2"/>
      <c r="EJ154" s="2"/>
      <c r="EK154" s="2"/>
      <c r="ES154" s="2"/>
      <c r="ET154" s="2"/>
      <c r="EU154" s="2"/>
      <c r="FC154" s="2"/>
      <c r="FD154" s="2"/>
      <c r="FE154" s="2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O155" s="2"/>
      <c r="DP155" s="2"/>
      <c r="DQ155" s="2"/>
      <c r="DY155" s="2"/>
      <c r="DZ155" s="2"/>
      <c r="EA155" s="2"/>
      <c r="EI155" s="2"/>
      <c r="EJ155" s="2"/>
      <c r="EK155" s="2"/>
      <c r="ES155" s="2"/>
      <c r="ET155" s="2"/>
      <c r="EU155" s="2"/>
      <c r="FC155" s="2"/>
      <c r="FD155" s="2"/>
      <c r="FE155" s="2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O156" s="2"/>
      <c r="DP156" s="2"/>
      <c r="DQ156" s="2"/>
      <c r="DY156" s="2"/>
      <c r="DZ156" s="2"/>
      <c r="EA156" s="2"/>
      <c r="EI156" s="2"/>
      <c r="EJ156" s="2"/>
      <c r="EK156" s="2"/>
      <c r="ES156" s="2"/>
      <c r="ET156" s="2"/>
      <c r="EU156" s="2"/>
      <c r="FC156" s="2"/>
      <c r="FD156" s="2"/>
      <c r="FE156" s="2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O157" s="2"/>
      <c r="DP157" s="2"/>
      <c r="DQ157" s="2"/>
      <c r="DY157" s="2"/>
      <c r="DZ157" s="2"/>
      <c r="EA157" s="2"/>
      <c r="EI157" s="2"/>
      <c r="EJ157" s="2"/>
      <c r="EK157" s="2"/>
      <c r="ES157" s="2"/>
      <c r="ET157" s="2"/>
      <c r="EU157" s="2"/>
      <c r="FC157" s="2"/>
      <c r="FD157" s="2"/>
      <c r="FE157" s="2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O158" s="2"/>
      <c r="DP158" s="2"/>
      <c r="DQ158" s="2"/>
      <c r="DY158" s="2"/>
      <c r="DZ158" s="2"/>
      <c r="EA158" s="2"/>
      <c r="EI158" s="2"/>
      <c r="EJ158" s="2"/>
      <c r="EK158" s="2"/>
      <c r="ES158" s="2"/>
      <c r="ET158" s="2"/>
      <c r="EU158" s="2"/>
      <c r="FC158" s="2"/>
      <c r="FD158" s="2"/>
      <c r="FE158" s="2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O159" s="2"/>
      <c r="DP159" s="2"/>
      <c r="DQ159" s="2"/>
      <c r="DY159" s="2"/>
      <c r="DZ159" s="2"/>
      <c r="EA159" s="2"/>
      <c r="EI159" s="2"/>
      <c r="EJ159" s="2"/>
      <c r="EK159" s="2"/>
      <c r="ES159" s="2"/>
      <c r="ET159" s="2"/>
      <c r="EU159" s="2"/>
      <c r="FC159" s="2"/>
      <c r="FD159" s="2"/>
      <c r="FE159" s="2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O160" s="2"/>
      <c r="DP160" s="2"/>
      <c r="DQ160" s="2"/>
      <c r="DY160" s="2"/>
      <c r="DZ160" s="2"/>
      <c r="EA160" s="2"/>
      <c r="EI160" s="2"/>
      <c r="EJ160" s="2"/>
      <c r="EK160" s="2"/>
      <c r="ES160" s="2"/>
      <c r="ET160" s="2"/>
      <c r="EU160" s="2"/>
      <c r="FC160" s="2"/>
      <c r="FD160" s="2"/>
      <c r="FE160" s="2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O161" s="2"/>
      <c r="DP161" s="2"/>
      <c r="DQ161" s="2"/>
      <c r="DY161" s="2"/>
      <c r="DZ161" s="2"/>
      <c r="EA161" s="2"/>
      <c r="EI161" s="2"/>
      <c r="EJ161" s="2"/>
      <c r="EK161" s="2"/>
      <c r="ES161" s="2"/>
      <c r="ET161" s="2"/>
      <c r="EU161" s="2"/>
      <c r="FC161" s="2"/>
      <c r="FD161" s="2"/>
      <c r="FE161" s="2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O162" s="2"/>
      <c r="DP162" s="2"/>
      <c r="DQ162" s="2"/>
      <c r="DY162" s="2"/>
      <c r="DZ162" s="2"/>
      <c r="EA162" s="2"/>
      <c r="EI162" s="2"/>
      <c r="EJ162" s="2"/>
      <c r="EK162" s="2"/>
      <c r="ES162" s="2"/>
      <c r="ET162" s="2"/>
      <c r="EU162" s="2"/>
      <c r="FC162" s="2"/>
      <c r="FD162" s="2"/>
      <c r="FE162" s="2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O163" s="2"/>
      <c r="DP163" s="2"/>
      <c r="DQ163" s="2"/>
      <c r="DY163" s="2"/>
      <c r="DZ163" s="2"/>
      <c r="EA163" s="2"/>
      <c r="EI163" s="2"/>
      <c r="EJ163" s="2"/>
      <c r="EK163" s="2"/>
      <c r="ES163" s="2"/>
      <c r="ET163" s="2"/>
      <c r="EU163" s="2"/>
      <c r="FC163" s="2"/>
      <c r="FD163" s="2"/>
      <c r="FE163" s="2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O164" s="2"/>
      <c r="DP164" s="2"/>
      <c r="DQ164" s="2"/>
      <c r="DY164" s="2"/>
      <c r="DZ164" s="2"/>
      <c r="EA164" s="2"/>
      <c r="EI164" s="2"/>
      <c r="EJ164" s="2"/>
      <c r="EK164" s="2"/>
      <c r="ES164" s="2"/>
      <c r="ET164" s="2"/>
      <c r="EU164" s="2"/>
      <c r="FC164" s="2"/>
      <c r="FD164" s="2"/>
      <c r="FE164" s="2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O165" s="2"/>
      <c r="DP165" s="2"/>
      <c r="DQ165" s="2"/>
      <c r="DY165" s="2"/>
      <c r="DZ165" s="2"/>
      <c r="EA165" s="2"/>
      <c r="EI165" s="2"/>
      <c r="EJ165" s="2"/>
      <c r="EK165" s="2"/>
      <c r="ES165" s="2"/>
      <c r="ET165" s="2"/>
      <c r="EU165" s="2"/>
      <c r="FC165" s="2"/>
      <c r="FD165" s="2"/>
      <c r="FE165" s="2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O166" s="2"/>
      <c r="DP166" s="2"/>
      <c r="DQ166" s="2"/>
      <c r="DY166" s="2"/>
      <c r="DZ166" s="2"/>
      <c r="EA166" s="2"/>
      <c r="EI166" s="2"/>
      <c r="EJ166" s="2"/>
      <c r="EK166" s="2"/>
      <c r="ES166" s="2"/>
      <c r="ET166" s="2"/>
      <c r="EU166" s="2"/>
      <c r="FC166" s="2"/>
      <c r="FD166" s="2"/>
      <c r="FE166" s="2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O167" s="2"/>
      <c r="DP167" s="2"/>
      <c r="DQ167" s="2"/>
      <c r="DY167" s="2"/>
      <c r="DZ167" s="2"/>
      <c r="EA167" s="2"/>
      <c r="EI167" s="2"/>
      <c r="EJ167" s="2"/>
      <c r="EK167" s="2"/>
      <c r="ES167" s="2"/>
      <c r="ET167" s="2"/>
      <c r="EU167" s="2"/>
      <c r="FC167" s="2"/>
      <c r="FD167" s="2"/>
      <c r="FE167" s="2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O168" s="2"/>
      <c r="DP168" s="2"/>
      <c r="DQ168" s="2"/>
      <c r="DY168" s="2"/>
      <c r="DZ168" s="2"/>
      <c r="EA168" s="2"/>
      <c r="EI168" s="2"/>
      <c r="EJ168" s="2"/>
      <c r="EK168" s="2"/>
      <c r="ES168" s="2"/>
      <c r="ET168" s="2"/>
      <c r="EU168" s="2"/>
      <c r="FC168" s="2"/>
      <c r="FD168" s="2"/>
      <c r="FE168" s="2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O169" s="2"/>
      <c r="DP169" s="2"/>
      <c r="DQ169" s="2"/>
      <c r="DY169" s="2"/>
      <c r="DZ169" s="2"/>
      <c r="EA169" s="2"/>
      <c r="EI169" s="2"/>
      <c r="EJ169" s="2"/>
      <c r="EK169" s="2"/>
      <c r="ES169" s="2"/>
      <c r="ET169" s="2"/>
      <c r="EU169" s="2"/>
      <c r="FC169" s="2"/>
      <c r="FD169" s="2"/>
      <c r="FE169" s="2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O170" s="2"/>
      <c r="DP170" s="2"/>
      <c r="DQ170" s="2"/>
      <c r="DY170" s="2"/>
      <c r="DZ170" s="2"/>
      <c r="EA170" s="2"/>
      <c r="EI170" s="2"/>
      <c r="EJ170" s="2"/>
      <c r="EK170" s="2"/>
      <c r="ES170" s="2"/>
      <c r="ET170" s="2"/>
      <c r="EU170" s="2"/>
      <c r="FC170" s="2"/>
      <c r="FD170" s="2"/>
      <c r="FE170" s="2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O171" s="2"/>
      <c r="DP171" s="2"/>
      <c r="DQ171" s="2"/>
      <c r="DY171" s="2"/>
      <c r="DZ171" s="2"/>
      <c r="EA171" s="2"/>
      <c r="EI171" s="2"/>
      <c r="EJ171" s="2"/>
      <c r="EK171" s="2"/>
      <c r="ES171" s="2"/>
      <c r="ET171" s="2"/>
      <c r="EU171" s="2"/>
      <c r="FC171" s="2"/>
      <c r="FD171" s="2"/>
      <c r="FE171" s="2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O172" s="2"/>
      <c r="DP172" s="2"/>
      <c r="DQ172" s="2"/>
      <c r="DY172" s="2"/>
      <c r="DZ172" s="2"/>
      <c r="EA172" s="2"/>
      <c r="EI172" s="2"/>
      <c r="EJ172" s="2"/>
      <c r="EK172" s="2"/>
      <c r="ES172" s="2"/>
      <c r="ET172" s="2"/>
      <c r="EU172" s="2"/>
      <c r="FC172" s="2"/>
      <c r="FD172" s="2"/>
      <c r="FE172" s="2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O173" s="2"/>
      <c r="DP173" s="2"/>
      <c r="DQ173" s="2"/>
      <c r="DY173" s="2"/>
      <c r="DZ173" s="2"/>
      <c r="EA173" s="2"/>
      <c r="EI173" s="2"/>
      <c r="EJ173" s="2"/>
      <c r="EK173" s="2"/>
      <c r="ES173" s="2"/>
      <c r="ET173" s="2"/>
      <c r="EU173" s="2"/>
      <c r="FC173" s="2"/>
      <c r="FD173" s="2"/>
      <c r="FE173" s="2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O174" s="2"/>
      <c r="DP174" s="2"/>
      <c r="DQ174" s="2"/>
      <c r="DY174" s="2"/>
      <c r="DZ174" s="2"/>
      <c r="EA174" s="2"/>
      <c r="EI174" s="2"/>
      <c r="EJ174" s="2"/>
      <c r="EK174" s="2"/>
      <c r="ES174" s="2"/>
      <c r="ET174" s="2"/>
      <c r="EU174" s="2"/>
      <c r="FC174" s="2"/>
      <c r="FD174" s="2"/>
      <c r="FE174" s="2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O175" s="2"/>
      <c r="DP175" s="2"/>
      <c r="DQ175" s="2"/>
      <c r="DY175" s="2"/>
      <c r="DZ175" s="2"/>
      <c r="EA175" s="2"/>
      <c r="EI175" s="2"/>
      <c r="EJ175" s="2"/>
      <c r="EK175" s="2"/>
      <c r="ES175" s="2"/>
      <c r="ET175" s="2"/>
      <c r="EU175" s="2"/>
      <c r="FC175" s="2"/>
      <c r="FD175" s="2"/>
      <c r="FE175" s="2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O176" s="2"/>
      <c r="DP176" s="2"/>
      <c r="DQ176" s="2"/>
      <c r="DY176" s="2"/>
      <c r="DZ176" s="2"/>
      <c r="EA176" s="2"/>
      <c r="EI176" s="2"/>
      <c r="EJ176" s="2"/>
      <c r="EK176" s="2"/>
      <c r="ES176" s="2"/>
      <c r="ET176" s="2"/>
      <c r="EU176" s="2"/>
      <c r="FC176" s="2"/>
      <c r="FD176" s="2"/>
      <c r="FE176" s="2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O177" s="2"/>
      <c r="DP177" s="2"/>
      <c r="DQ177" s="2"/>
      <c r="DY177" s="2"/>
      <c r="DZ177" s="2"/>
      <c r="EA177" s="2"/>
      <c r="EI177" s="2"/>
      <c r="EJ177" s="2"/>
      <c r="EK177" s="2"/>
      <c r="ES177" s="2"/>
      <c r="ET177" s="2"/>
      <c r="EU177" s="2"/>
      <c r="FC177" s="2"/>
      <c r="FD177" s="2"/>
      <c r="FE177" s="2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O178" s="2"/>
      <c r="DP178" s="2"/>
      <c r="DQ178" s="2"/>
      <c r="DY178" s="2"/>
      <c r="DZ178" s="2"/>
      <c r="EA178" s="2"/>
      <c r="EI178" s="2"/>
      <c r="EJ178" s="2"/>
      <c r="EK178" s="2"/>
      <c r="ES178" s="2"/>
      <c r="ET178" s="2"/>
      <c r="EU178" s="2"/>
      <c r="FC178" s="2"/>
      <c r="FD178" s="2"/>
      <c r="FE178" s="2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O179" s="2"/>
      <c r="DP179" s="2"/>
      <c r="DQ179" s="2"/>
      <c r="DY179" s="2"/>
      <c r="DZ179" s="2"/>
      <c r="EA179" s="2"/>
      <c r="EI179" s="2"/>
      <c r="EJ179" s="2"/>
      <c r="EK179" s="2"/>
      <c r="ES179" s="2"/>
      <c r="ET179" s="2"/>
      <c r="EU179" s="2"/>
      <c r="FC179" s="2"/>
      <c r="FD179" s="2"/>
      <c r="FE179" s="2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O180" s="2"/>
      <c r="DP180" s="2"/>
      <c r="DQ180" s="2"/>
      <c r="DY180" s="2"/>
      <c r="DZ180" s="2"/>
      <c r="EA180" s="2"/>
      <c r="EI180" s="2"/>
      <c r="EJ180" s="2"/>
      <c r="EK180" s="2"/>
      <c r="ES180" s="2"/>
      <c r="ET180" s="2"/>
      <c r="EU180" s="2"/>
      <c r="FC180" s="2"/>
      <c r="FD180" s="2"/>
      <c r="FE180" s="2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O181" s="2"/>
      <c r="DP181" s="2"/>
      <c r="DQ181" s="2"/>
      <c r="DY181" s="2"/>
      <c r="DZ181" s="2"/>
      <c r="EA181" s="2"/>
      <c r="EI181" s="2"/>
      <c r="EJ181" s="2"/>
      <c r="EK181" s="2"/>
      <c r="ES181" s="2"/>
      <c r="ET181" s="2"/>
      <c r="EU181" s="2"/>
      <c r="FC181" s="2"/>
      <c r="FD181" s="2"/>
      <c r="FE181" s="2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O182" s="2"/>
      <c r="DP182" s="2"/>
      <c r="DQ182" s="2"/>
      <c r="DY182" s="2"/>
      <c r="DZ182" s="2"/>
      <c r="EA182" s="2"/>
      <c r="EI182" s="2"/>
      <c r="EJ182" s="2"/>
      <c r="EK182" s="2"/>
      <c r="ES182" s="2"/>
      <c r="ET182" s="2"/>
      <c r="EU182" s="2"/>
      <c r="FC182" s="2"/>
      <c r="FD182" s="2"/>
      <c r="FE182" s="2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O183" s="2"/>
      <c r="DP183" s="2"/>
      <c r="DQ183" s="2"/>
      <c r="DY183" s="2"/>
      <c r="DZ183" s="2"/>
      <c r="EA183" s="2"/>
      <c r="EI183" s="2"/>
      <c r="EJ183" s="2"/>
      <c r="EK183" s="2"/>
      <c r="ES183" s="2"/>
      <c r="ET183" s="2"/>
      <c r="EU183" s="2"/>
      <c r="FC183" s="2"/>
      <c r="FD183" s="2"/>
      <c r="FE183" s="2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O184" s="2"/>
      <c r="DP184" s="2"/>
      <c r="DQ184" s="2"/>
      <c r="DY184" s="2"/>
      <c r="DZ184" s="2"/>
      <c r="EA184" s="2"/>
      <c r="EI184" s="2"/>
      <c r="EJ184" s="2"/>
      <c r="EK184" s="2"/>
      <c r="ES184" s="2"/>
      <c r="ET184" s="2"/>
      <c r="EU184" s="2"/>
      <c r="FC184" s="2"/>
      <c r="FD184" s="2"/>
      <c r="FE184" s="2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O185" s="2"/>
      <c r="DP185" s="2"/>
      <c r="DQ185" s="2"/>
      <c r="DY185" s="2"/>
      <c r="DZ185" s="2"/>
      <c r="EA185" s="2"/>
      <c r="EI185" s="2"/>
      <c r="EJ185" s="2"/>
      <c r="EK185" s="2"/>
      <c r="ES185" s="2"/>
      <c r="ET185" s="2"/>
      <c r="EU185" s="2"/>
      <c r="FC185" s="2"/>
      <c r="FD185" s="2"/>
      <c r="FE185" s="2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O186" s="2"/>
      <c r="DP186" s="2"/>
      <c r="DQ186" s="2"/>
      <c r="DY186" s="2"/>
      <c r="DZ186" s="2"/>
      <c r="EA186" s="2"/>
      <c r="EI186" s="2"/>
      <c r="EJ186" s="2"/>
      <c r="EK186" s="2"/>
      <c r="ES186" s="2"/>
      <c r="ET186" s="2"/>
      <c r="EU186" s="2"/>
      <c r="FC186" s="2"/>
      <c r="FD186" s="2"/>
      <c r="FE186" s="2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O187" s="2"/>
      <c r="DP187" s="2"/>
      <c r="DQ187" s="2"/>
      <c r="DY187" s="2"/>
      <c r="DZ187" s="2"/>
      <c r="EA187" s="2"/>
      <c r="EI187" s="2"/>
      <c r="EJ187" s="2"/>
      <c r="EK187" s="2"/>
      <c r="ES187" s="2"/>
      <c r="ET187" s="2"/>
      <c r="EU187" s="2"/>
      <c r="FC187" s="2"/>
      <c r="FD187" s="2"/>
      <c r="FE187" s="2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O188" s="2"/>
      <c r="DP188" s="2"/>
      <c r="DQ188" s="2"/>
      <c r="DY188" s="2"/>
      <c r="DZ188" s="2"/>
      <c r="EA188" s="2"/>
      <c r="EI188" s="2"/>
      <c r="EJ188" s="2"/>
      <c r="EK188" s="2"/>
      <c r="ES188" s="2"/>
      <c r="ET188" s="2"/>
      <c r="EU188" s="2"/>
      <c r="FC188" s="2"/>
      <c r="FD188" s="2"/>
      <c r="FE188" s="2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O189" s="2"/>
      <c r="DP189" s="2"/>
      <c r="DQ189" s="2"/>
      <c r="DY189" s="2"/>
      <c r="DZ189" s="2"/>
      <c r="EA189" s="2"/>
      <c r="EI189" s="2"/>
      <c r="EJ189" s="2"/>
      <c r="EK189" s="2"/>
      <c r="ES189" s="2"/>
      <c r="ET189" s="2"/>
      <c r="EU189" s="2"/>
      <c r="FC189" s="2"/>
      <c r="FD189" s="2"/>
      <c r="FE189" s="2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O190" s="2"/>
      <c r="DP190" s="2"/>
      <c r="DQ190" s="2"/>
      <c r="DY190" s="2"/>
      <c r="DZ190" s="2"/>
      <c r="EA190" s="2"/>
      <c r="EI190" s="2"/>
      <c r="EJ190" s="2"/>
      <c r="EK190" s="2"/>
      <c r="ES190" s="2"/>
      <c r="ET190" s="2"/>
      <c r="EU190" s="2"/>
      <c r="FC190" s="2"/>
      <c r="FD190" s="2"/>
      <c r="FE190" s="2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O191" s="2"/>
      <c r="DP191" s="2"/>
      <c r="DQ191" s="2"/>
      <c r="DY191" s="2"/>
      <c r="DZ191" s="2"/>
      <c r="EA191" s="2"/>
      <c r="EI191" s="2"/>
      <c r="EJ191" s="2"/>
      <c r="EK191" s="2"/>
      <c r="ES191" s="2"/>
      <c r="ET191" s="2"/>
      <c r="EU191" s="2"/>
      <c r="FC191" s="2"/>
      <c r="FD191" s="2"/>
      <c r="FE191" s="2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O192" s="2"/>
      <c r="DP192" s="2"/>
      <c r="DQ192" s="2"/>
      <c r="DY192" s="2"/>
      <c r="DZ192" s="2"/>
      <c r="EA192" s="2"/>
      <c r="EI192" s="2"/>
      <c r="EJ192" s="2"/>
      <c r="EK192" s="2"/>
      <c r="ES192" s="2"/>
      <c r="ET192" s="2"/>
      <c r="EU192" s="2"/>
      <c r="FC192" s="2"/>
      <c r="FD192" s="2"/>
      <c r="FE192" s="2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O193" s="2"/>
      <c r="DP193" s="2"/>
      <c r="DQ193" s="2"/>
      <c r="DY193" s="2"/>
      <c r="DZ193" s="2"/>
      <c r="EA193" s="2"/>
      <c r="EI193" s="2"/>
      <c r="EJ193" s="2"/>
      <c r="EK193" s="2"/>
      <c r="ES193" s="2"/>
      <c r="ET193" s="2"/>
      <c r="EU193" s="2"/>
      <c r="FC193" s="2"/>
      <c r="FD193" s="2"/>
      <c r="FE193" s="2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O194" s="2"/>
      <c r="DP194" s="2"/>
      <c r="DQ194" s="2"/>
      <c r="DY194" s="2"/>
      <c r="DZ194" s="2"/>
      <c r="EA194" s="2"/>
      <c r="EI194" s="2"/>
      <c r="EJ194" s="2"/>
      <c r="EK194" s="2"/>
      <c r="ES194" s="2"/>
      <c r="ET194" s="2"/>
      <c r="EU194" s="2"/>
      <c r="FC194" s="2"/>
      <c r="FD194" s="2"/>
      <c r="FE194" s="2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O195" s="2"/>
      <c r="DP195" s="2"/>
      <c r="DQ195" s="2"/>
      <c r="DY195" s="2"/>
      <c r="DZ195" s="2"/>
      <c r="EA195" s="2"/>
      <c r="EI195" s="2"/>
      <c r="EJ195" s="2"/>
      <c r="EK195" s="2"/>
      <c r="ES195" s="2"/>
      <c r="ET195" s="2"/>
      <c r="EU195" s="2"/>
      <c r="FC195" s="2"/>
      <c r="FD195" s="2"/>
      <c r="FE195" s="2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O196" s="2"/>
      <c r="DP196" s="2"/>
      <c r="DQ196" s="2"/>
      <c r="DY196" s="2"/>
      <c r="DZ196" s="2"/>
      <c r="EA196" s="2"/>
      <c r="EI196" s="2"/>
      <c r="EJ196" s="2"/>
      <c r="EK196" s="2"/>
      <c r="ES196" s="2"/>
      <c r="ET196" s="2"/>
      <c r="EU196" s="2"/>
      <c r="FC196" s="2"/>
      <c r="FD196" s="2"/>
      <c r="FE196" s="2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O197" s="2"/>
      <c r="DP197" s="2"/>
      <c r="DQ197" s="2"/>
      <c r="DY197" s="2"/>
      <c r="DZ197" s="2"/>
      <c r="EA197" s="2"/>
      <c r="EI197" s="2"/>
      <c r="EJ197" s="2"/>
      <c r="EK197" s="2"/>
      <c r="ES197" s="2"/>
      <c r="ET197" s="2"/>
      <c r="EU197" s="2"/>
      <c r="FC197" s="2"/>
      <c r="FD197" s="2"/>
      <c r="FE197" s="2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O198" s="2"/>
      <c r="DP198" s="2"/>
      <c r="DQ198" s="2"/>
      <c r="DY198" s="2"/>
      <c r="DZ198" s="2"/>
      <c r="EA198" s="2"/>
      <c r="EI198" s="2"/>
      <c r="EJ198" s="2"/>
      <c r="EK198" s="2"/>
      <c r="ES198" s="2"/>
      <c r="ET198" s="2"/>
      <c r="EU198" s="2"/>
      <c r="FC198" s="2"/>
      <c r="FD198" s="2"/>
      <c r="FE198" s="2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O199" s="2"/>
      <c r="DP199" s="2"/>
      <c r="DQ199" s="2"/>
      <c r="DY199" s="2"/>
      <c r="DZ199" s="2"/>
      <c r="EA199" s="2"/>
      <c r="EI199" s="2"/>
      <c r="EJ199" s="2"/>
      <c r="EK199" s="2"/>
      <c r="ES199" s="2"/>
      <c r="ET199" s="2"/>
      <c r="EU199" s="2"/>
      <c r="FC199" s="2"/>
      <c r="FD199" s="2"/>
      <c r="FE199" s="2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O200" s="2"/>
      <c r="DP200" s="2"/>
      <c r="DQ200" s="2"/>
      <c r="DY200" s="2"/>
      <c r="DZ200" s="2"/>
      <c r="EA200" s="2"/>
      <c r="EI200" s="2"/>
      <c r="EJ200" s="2"/>
      <c r="EK200" s="2"/>
      <c r="ES200" s="2"/>
      <c r="ET200" s="2"/>
      <c r="EU200" s="2"/>
      <c r="FC200" s="2"/>
      <c r="FD200" s="2"/>
      <c r="FE200" s="2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O201" s="2"/>
      <c r="DP201" s="2"/>
      <c r="DQ201" s="2"/>
      <c r="DY201" s="2"/>
      <c r="DZ201" s="2"/>
      <c r="EA201" s="2"/>
      <c r="EI201" s="2"/>
      <c r="EJ201" s="2"/>
      <c r="EK201" s="2"/>
      <c r="ES201" s="2"/>
      <c r="ET201" s="2"/>
      <c r="EU201" s="2"/>
      <c r="FC201" s="2"/>
      <c r="FD201" s="2"/>
      <c r="FE201" s="2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O202" s="2"/>
      <c r="DP202" s="2"/>
      <c r="DQ202" s="2"/>
      <c r="DY202" s="2"/>
      <c r="DZ202" s="2"/>
      <c r="EA202" s="2"/>
      <c r="EI202" s="2"/>
      <c r="EJ202" s="2"/>
      <c r="EK202" s="2"/>
      <c r="ES202" s="2"/>
      <c r="ET202" s="2"/>
      <c r="EU202" s="2"/>
      <c r="FC202" s="2"/>
      <c r="FD202" s="2"/>
      <c r="FE202" s="2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O203" s="2"/>
      <c r="DP203" s="2"/>
      <c r="DQ203" s="2"/>
      <c r="DY203" s="2"/>
      <c r="DZ203" s="2"/>
      <c r="EA203" s="2"/>
      <c r="EI203" s="2"/>
      <c r="EJ203" s="2"/>
      <c r="EK203" s="2"/>
      <c r="ES203" s="2"/>
      <c r="ET203" s="2"/>
      <c r="EU203" s="2"/>
      <c r="FC203" s="2"/>
      <c r="FD203" s="2"/>
      <c r="FE203" s="2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O204" s="2"/>
      <c r="DP204" s="2"/>
      <c r="DQ204" s="2"/>
      <c r="DY204" s="2"/>
      <c r="DZ204" s="2"/>
      <c r="EA204" s="2"/>
      <c r="EI204" s="2"/>
      <c r="EJ204" s="2"/>
      <c r="EK204" s="2"/>
      <c r="ES204" s="2"/>
      <c r="ET204" s="2"/>
      <c r="EU204" s="2"/>
      <c r="FC204" s="2"/>
      <c r="FD204" s="2"/>
      <c r="FE204" s="2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O205" s="2"/>
      <c r="DP205" s="2"/>
      <c r="DQ205" s="2"/>
      <c r="DY205" s="2"/>
      <c r="DZ205" s="2"/>
      <c r="EA205" s="2"/>
      <c r="EI205" s="2"/>
      <c r="EJ205" s="2"/>
      <c r="EK205" s="2"/>
      <c r="ES205" s="2"/>
      <c r="ET205" s="2"/>
      <c r="EU205" s="2"/>
      <c r="FC205" s="2"/>
      <c r="FD205" s="2"/>
      <c r="FE205" s="2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O206" s="2"/>
      <c r="DP206" s="2"/>
      <c r="DQ206" s="2"/>
      <c r="DY206" s="2"/>
      <c r="DZ206" s="2"/>
      <c r="EA206" s="2"/>
      <c r="EI206" s="2"/>
      <c r="EJ206" s="2"/>
      <c r="EK206" s="2"/>
      <c r="ES206" s="2"/>
      <c r="ET206" s="2"/>
      <c r="EU206" s="2"/>
      <c r="FC206" s="2"/>
      <c r="FD206" s="2"/>
      <c r="FE206" s="2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O207" s="2"/>
      <c r="DP207" s="2"/>
      <c r="DQ207" s="2"/>
      <c r="DY207" s="2"/>
      <c r="DZ207" s="2"/>
      <c r="EA207" s="2"/>
      <c r="EI207" s="2"/>
      <c r="EJ207" s="2"/>
      <c r="EK207" s="2"/>
      <c r="ES207" s="2"/>
      <c r="ET207" s="2"/>
      <c r="EU207" s="2"/>
      <c r="FC207" s="2"/>
      <c r="FD207" s="2"/>
      <c r="FE207" s="2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O208" s="2"/>
      <c r="DP208" s="2"/>
      <c r="DQ208" s="2"/>
      <c r="DY208" s="2"/>
      <c r="DZ208" s="2"/>
      <c r="EA208" s="2"/>
      <c r="EI208" s="2"/>
      <c r="EJ208" s="2"/>
      <c r="EK208" s="2"/>
      <c r="ES208" s="2"/>
      <c r="ET208" s="2"/>
      <c r="EU208" s="2"/>
      <c r="FC208" s="2"/>
      <c r="FD208" s="2"/>
      <c r="FE208" s="2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O209" s="2"/>
      <c r="DP209" s="2"/>
      <c r="DQ209" s="2"/>
      <c r="DY209" s="2"/>
      <c r="DZ209" s="2"/>
      <c r="EA209" s="2"/>
      <c r="EI209" s="2"/>
      <c r="EJ209" s="2"/>
      <c r="EK209" s="2"/>
      <c r="ES209" s="2"/>
      <c r="ET209" s="2"/>
      <c r="EU209" s="2"/>
      <c r="FC209" s="2"/>
      <c r="FD209" s="2"/>
      <c r="FE209" s="2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O210" s="2"/>
      <c r="DP210" s="2"/>
      <c r="DQ210" s="2"/>
      <c r="DY210" s="2"/>
      <c r="DZ210" s="2"/>
      <c r="EA210" s="2"/>
      <c r="EI210" s="2"/>
      <c r="EJ210" s="2"/>
      <c r="EK210" s="2"/>
      <c r="ES210" s="2"/>
      <c r="ET210" s="2"/>
      <c r="EU210" s="2"/>
      <c r="FC210" s="2"/>
      <c r="FD210" s="2"/>
      <c r="FE210" s="2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O211" s="2"/>
      <c r="DP211" s="2"/>
      <c r="DQ211" s="2"/>
      <c r="DY211" s="2"/>
      <c r="DZ211" s="2"/>
      <c r="EA211" s="2"/>
      <c r="EI211" s="2"/>
      <c r="EJ211" s="2"/>
      <c r="EK211" s="2"/>
      <c r="ES211" s="2"/>
      <c r="ET211" s="2"/>
      <c r="EU211" s="2"/>
      <c r="FC211" s="2"/>
      <c r="FD211" s="2"/>
      <c r="FE211" s="2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O212" s="2"/>
      <c r="DP212" s="2"/>
      <c r="DQ212" s="2"/>
      <c r="DY212" s="2"/>
      <c r="DZ212" s="2"/>
      <c r="EA212" s="2"/>
      <c r="EI212" s="2"/>
      <c r="EJ212" s="2"/>
      <c r="EK212" s="2"/>
      <c r="ES212" s="2"/>
      <c r="ET212" s="2"/>
      <c r="EU212" s="2"/>
      <c r="FC212" s="2"/>
      <c r="FD212" s="2"/>
      <c r="FE212" s="2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O213" s="2"/>
      <c r="DP213" s="2"/>
      <c r="DQ213" s="2"/>
      <c r="DY213" s="2"/>
      <c r="DZ213" s="2"/>
      <c r="EA213" s="2"/>
      <c r="EI213" s="2"/>
      <c r="EJ213" s="2"/>
      <c r="EK213" s="2"/>
      <c r="ES213" s="2"/>
      <c r="ET213" s="2"/>
      <c r="EU213" s="2"/>
      <c r="FC213" s="2"/>
      <c r="FD213" s="2"/>
      <c r="FE213" s="2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O214" s="2"/>
      <c r="DP214" s="2"/>
      <c r="DQ214" s="2"/>
      <c r="DY214" s="2"/>
      <c r="DZ214" s="2"/>
      <c r="EA214" s="2"/>
      <c r="EI214" s="2"/>
      <c r="EJ214" s="2"/>
      <c r="EK214" s="2"/>
      <c r="ES214" s="2"/>
      <c r="ET214" s="2"/>
      <c r="EU214" s="2"/>
      <c r="FC214" s="2"/>
      <c r="FD214" s="2"/>
      <c r="FE214" s="2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O215" s="2"/>
      <c r="DP215" s="2"/>
      <c r="DQ215" s="2"/>
      <c r="DY215" s="2"/>
      <c r="DZ215" s="2"/>
      <c r="EA215" s="2"/>
      <c r="EI215" s="2"/>
      <c r="EJ215" s="2"/>
      <c r="EK215" s="2"/>
      <c r="ES215" s="2"/>
      <c r="ET215" s="2"/>
      <c r="EU215" s="2"/>
      <c r="FC215" s="2"/>
      <c r="FD215" s="2"/>
      <c r="FE215" s="2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O216" s="2"/>
      <c r="DP216" s="2"/>
      <c r="DQ216" s="2"/>
      <c r="DY216" s="2"/>
      <c r="DZ216" s="2"/>
      <c r="EA216" s="2"/>
      <c r="EI216" s="2"/>
      <c r="EJ216" s="2"/>
      <c r="EK216" s="2"/>
      <c r="ES216" s="2"/>
      <c r="ET216" s="2"/>
      <c r="EU216" s="2"/>
      <c r="FC216" s="2"/>
      <c r="FD216" s="2"/>
      <c r="FE216" s="2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O217" s="2"/>
      <c r="DP217" s="2"/>
      <c r="DQ217" s="2"/>
      <c r="DY217" s="2"/>
      <c r="DZ217" s="2"/>
      <c r="EA217" s="2"/>
      <c r="EI217" s="2"/>
      <c r="EJ217" s="2"/>
      <c r="EK217" s="2"/>
      <c r="ES217" s="2"/>
      <c r="ET217" s="2"/>
      <c r="EU217" s="2"/>
      <c r="FC217" s="2"/>
      <c r="FD217" s="2"/>
      <c r="FE217" s="2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O218" s="2"/>
      <c r="DP218" s="2"/>
      <c r="DQ218" s="2"/>
      <c r="DY218" s="2"/>
      <c r="DZ218" s="2"/>
      <c r="EA218" s="2"/>
      <c r="EI218" s="2"/>
      <c r="EJ218" s="2"/>
      <c r="EK218" s="2"/>
      <c r="ES218" s="2"/>
      <c r="ET218" s="2"/>
      <c r="EU218" s="2"/>
      <c r="FC218" s="2"/>
      <c r="FD218" s="2"/>
      <c r="FE218" s="2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O219" s="2"/>
      <c r="DP219" s="2"/>
      <c r="DQ219" s="2"/>
      <c r="DY219" s="2"/>
      <c r="DZ219" s="2"/>
      <c r="EA219" s="2"/>
      <c r="EI219" s="2"/>
      <c r="EJ219" s="2"/>
      <c r="EK219" s="2"/>
      <c r="ES219" s="2"/>
      <c r="ET219" s="2"/>
      <c r="EU219" s="2"/>
      <c r="FC219" s="2"/>
      <c r="FD219" s="2"/>
      <c r="FE219" s="2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O220" s="2"/>
      <c r="DP220" s="2"/>
      <c r="DQ220" s="2"/>
      <c r="DY220" s="2"/>
      <c r="DZ220" s="2"/>
      <c r="EA220" s="2"/>
      <c r="EI220" s="2"/>
      <c r="EJ220" s="2"/>
      <c r="EK220" s="2"/>
      <c r="ES220" s="2"/>
      <c r="ET220" s="2"/>
      <c r="EU220" s="2"/>
      <c r="FC220" s="2"/>
      <c r="FD220" s="2"/>
      <c r="FE220" s="2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O221" s="2"/>
      <c r="DP221" s="2"/>
      <c r="DQ221" s="2"/>
      <c r="DY221" s="2"/>
      <c r="DZ221" s="2"/>
      <c r="EA221" s="2"/>
      <c r="EI221" s="2"/>
      <c r="EJ221" s="2"/>
      <c r="EK221" s="2"/>
      <c r="ES221" s="2"/>
      <c r="ET221" s="2"/>
      <c r="EU221" s="2"/>
      <c r="FC221" s="2"/>
      <c r="FD221" s="2"/>
      <c r="FE221" s="2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O222" s="2"/>
      <c r="DP222" s="2"/>
      <c r="DQ222" s="2"/>
      <c r="DY222" s="2"/>
      <c r="DZ222" s="2"/>
      <c r="EA222" s="2"/>
      <c r="EI222" s="2"/>
      <c r="EJ222" s="2"/>
      <c r="EK222" s="2"/>
      <c r="ES222" s="2"/>
      <c r="ET222" s="2"/>
      <c r="EU222" s="2"/>
      <c r="FC222" s="2"/>
      <c r="FD222" s="2"/>
      <c r="FE222" s="2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O223" s="2"/>
      <c r="DP223" s="2"/>
      <c r="DQ223" s="2"/>
      <c r="DY223" s="2"/>
      <c r="DZ223" s="2"/>
      <c r="EA223" s="2"/>
      <c r="EI223" s="2"/>
      <c r="EJ223" s="2"/>
      <c r="EK223" s="2"/>
      <c r="ES223" s="2"/>
      <c r="ET223" s="2"/>
      <c r="EU223" s="2"/>
      <c r="FC223" s="2"/>
      <c r="FD223" s="2"/>
      <c r="FE223" s="2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O224" s="2"/>
      <c r="DP224" s="2"/>
      <c r="DQ224" s="2"/>
      <c r="DY224" s="2"/>
      <c r="DZ224" s="2"/>
      <c r="EA224" s="2"/>
      <c r="EI224" s="2"/>
      <c r="EJ224" s="2"/>
      <c r="EK224" s="2"/>
      <c r="ES224" s="2"/>
      <c r="ET224" s="2"/>
      <c r="EU224" s="2"/>
      <c r="FC224" s="2"/>
      <c r="FD224" s="2"/>
      <c r="FE224" s="2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O225" s="2"/>
      <c r="DP225" s="2"/>
      <c r="DQ225" s="2"/>
      <c r="DY225" s="2"/>
      <c r="DZ225" s="2"/>
      <c r="EA225" s="2"/>
      <c r="EI225" s="2"/>
      <c r="EJ225" s="2"/>
      <c r="EK225" s="2"/>
      <c r="ES225" s="2"/>
      <c r="ET225" s="2"/>
      <c r="EU225" s="2"/>
      <c r="FC225" s="2"/>
      <c r="FD225" s="2"/>
      <c r="FE225" s="2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O226" s="2"/>
      <c r="DP226" s="2"/>
      <c r="DQ226" s="2"/>
      <c r="DY226" s="2"/>
      <c r="DZ226" s="2"/>
      <c r="EA226" s="2"/>
      <c r="EI226" s="2"/>
      <c r="EJ226" s="2"/>
      <c r="EK226" s="2"/>
      <c r="ES226" s="2"/>
      <c r="ET226" s="2"/>
      <c r="EU226" s="2"/>
      <c r="FC226" s="2"/>
      <c r="FD226" s="2"/>
      <c r="FE226" s="2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O227" s="2"/>
      <c r="DP227" s="2"/>
      <c r="DQ227" s="2"/>
      <c r="DY227" s="2"/>
      <c r="DZ227" s="2"/>
      <c r="EA227" s="2"/>
      <c r="EI227" s="2"/>
      <c r="EJ227" s="2"/>
      <c r="EK227" s="2"/>
      <c r="ES227" s="2"/>
      <c r="ET227" s="2"/>
      <c r="EU227" s="2"/>
      <c r="FC227" s="2"/>
      <c r="FD227" s="2"/>
      <c r="FE227" s="2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O228" s="2"/>
      <c r="DP228" s="2"/>
      <c r="DQ228" s="2"/>
      <c r="DY228" s="2"/>
      <c r="DZ228" s="2"/>
      <c r="EA228" s="2"/>
      <c r="EI228" s="2"/>
      <c r="EJ228" s="2"/>
      <c r="EK228" s="2"/>
      <c r="ES228" s="2"/>
      <c r="ET228" s="2"/>
      <c r="EU228" s="2"/>
      <c r="FC228" s="2"/>
      <c r="FD228" s="2"/>
      <c r="FE228" s="2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O229" s="2"/>
      <c r="DP229" s="2"/>
      <c r="DQ229" s="2"/>
      <c r="DY229" s="2"/>
      <c r="DZ229" s="2"/>
      <c r="EA229" s="2"/>
      <c r="EI229" s="2"/>
      <c r="EJ229" s="2"/>
      <c r="EK229" s="2"/>
      <c r="ES229" s="2"/>
      <c r="ET229" s="2"/>
      <c r="EU229" s="2"/>
      <c r="FC229" s="2"/>
      <c r="FD229" s="2"/>
      <c r="FE229" s="2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O230" s="2"/>
      <c r="DP230" s="2"/>
      <c r="DQ230" s="2"/>
      <c r="DY230" s="2"/>
      <c r="DZ230" s="2"/>
      <c r="EA230" s="2"/>
      <c r="EI230" s="2"/>
      <c r="EJ230" s="2"/>
      <c r="EK230" s="2"/>
      <c r="ES230" s="2"/>
      <c r="ET230" s="2"/>
      <c r="EU230" s="2"/>
      <c r="FC230" s="2"/>
      <c r="FD230" s="2"/>
      <c r="FE230" s="2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O231" s="2"/>
      <c r="DP231" s="2"/>
      <c r="DQ231" s="2"/>
      <c r="DY231" s="2"/>
      <c r="DZ231" s="2"/>
      <c r="EA231" s="2"/>
      <c r="EI231" s="2"/>
      <c r="EJ231" s="2"/>
      <c r="EK231" s="2"/>
      <c r="ES231" s="2"/>
      <c r="ET231" s="2"/>
      <c r="EU231" s="2"/>
      <c r="FC231" s="2"/>
      <c r="FD231" s="2"/>
      <c r="FE231" s="2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O232" s="2"/>
      <c r="DP232" s="2"/>
      <c r="DQ232" s="2"/>
      <c r="DY232" s="2"/>
      <c r="DZ232" s="2"/>
      <c r="EA232" s="2"/>
      <c r="EI232" s="2"/>
      <c r="EJ232" s="2"/>
      <c r="EK232" s="2"/>
      <c r="ES232" s="2"/>
      <c r="ET232" s="2"/>
      <c r="EU232" s="2"/>
      <c r="FC232" s="2"/>
      <c r="FD232" s="2"/>
      <c r="FE232" s="2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O233" s="2"/>
      <c r="DP233" s="2"/>
      <c r="DQ233" s="2"/>
      <c r="DY233" s="2"/>
      <c r="DZ233" s="2"/>
      <c r="EA233" s="2"/>
      <c r="EI233" s="2"/>
      <c r="EJ233" s="2"/>
      <c r="EK233" s="2"/>
      <c r="ES233" s="2"/>
      <c r="ET233" s="2"/>
      <c r="EU233" s="2"/>
      <c r="FC233" s="2"/>
      <c r="FD233" s="2"/>
      <c r="FE233" s="2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O234" s="2"/>
      <c r="DP234" s="2"/>
      <c r="DQ234" s="2"/>
      <c r="DY234" s="2"/>
      <c r="DZ234" s="2"/>
      <c r="EA234" s="2"/>
      <c r="EI234" s="2"/>
      <c r="EJ234" s="2"/>
      <c r="EK234" s="2"/>
      <c r="ES234" s="2"/>
      <c r="ET234" s="2"/>
      <c r="EU234" s="2"/>
      <c r="FC234" s="2"/>
      <c r="FD234" s="2"/>
      <c r="FE234" s="2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O235" s="2"/>
      <c r="DP235" s="2"/>
      <c r="DQ235" s="2"/>
      <c r="DY235" s="2"/>
      <c r="DZ235" s="2"/>
      <c r="EA235" s="2"/>
      <c r="EI235" s="2"/>
      <c r="EJ235" s="2"/>
      <c r="EK235" s="2"/>
      <c r="ES235" s="2"/>
      <c r="ET235" s="2"/>
      <c r="EU235" s="2"/>
      <c r="FC235" s="2"/>
      <c r="FD235" s="2"/>
      <c r="FE235" s="2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O236" s="2"/>
      <c r="DP236" s="2"/>
      <c r="DQ236" s="2"/>
      <c r="DY236" s="2"/>
      <c r="DZ236" s="2"/>
      <c r="EA236" s="2"/>
      <c r="EI236" s="2"/>
      <c r="EJ236" s="2"/>
      <c r="EK236" s="2"/>
      <c r="ES236" s="2"/>
      <c r="ET236" s="2"/>
      <c r="EU236" s="2"/>
      <c r="FC236" s="2"/>
      <c r="FD236" s="2"/>
      <c r="FE236" s="2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O237" s="2"/>
      <c r="DP237" s="2"/>
      <c r="DQ237" s="2"/>
      <c r="DY237" s="2"/>
      <c r="DZ237" s="2"/>
      <c r="EA237" s="2"/>
      <c r="EI237" s="2"/>
      <c r="EJ237" s="2"/>
      <c r="EK237" s="2"/>
      <c r="ES237" s="2"/>
      <c r="ET237" s="2"/>
      <c r="EU237" s="2"/>
      <c r="FC237" s="2"/>
      <c r="FD237" s="2"/>
      <c r="FE237" s="2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O238" s="2"/>
      <c r="DP238" s="2"/>
      <c r="DQ238" s="2"/>
      <c r="DY238" s="2"/>
      <c r="DZ238" s="2"/>
      <c r="EA238" s="2"/>
      <c r="EI238" s="2"/>
      <c r="EJ238" s="2"/>
      <c r="EK238" s="2"/>
      <c r="ES238" s="2"/>
      <c r="ET238" s="2"/>
      <c r="EU238" s="2"/>
      <c r="FC238" s="2"/>
      <c r="FD238" s="2"/>
      <c r="FE238" s="2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O239" s="2"/>
      <c r="DP239" s="2"/>
      <c r="DQ239" s="2"/>
      <c r="DY239" s="2"/>
      <c r="DZ239" s="2"/>
      <c r="EA239" s="2"/>
      <c r="EI239" s="2"/>
      <c r="EJ239" s="2"/>
      <c r="EK239" s="2"/>
      <c r="ES239" s="2"/>
      <c r="ET239" s="2"/>
      <c r="EU239" s="2"/>
      <c r="FC239" s="2"/>
      <c r="FD239" s="2"/>
      <c r="FE239" s="2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O240" s="2"/>
      <c r="DP240" s="2"/>
      <c r="DQ240" s="2"/>
      <c r="DY240" s="2"/>
      <c r="DZ240" s="2"/>
      <c r="EA240" s="2"/>
      <c r="EI240" s="2"/>
      <c r="EJ240" s="2"/>
      <c r="EK240" s="2"/>
      <c r="ES240" s="2"/>
      <c r="ET240" s="2"/>
      <c r="EU240" s="2"/>
      <c r="FC240" s="2"/>
      <c r="FD240" s="2"/>
      <c r="FE240" s="2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O241" s="2"/>
      <c r="DP241" s="2"/>
      <c r="DQ241" s="2"/>
      <c r="DY241" s="2"/>
      <c r="DZ241" s="2"/>
      <c r="EA241" s="2"/>
      <c r="EI241" s="2"/>
      <c r="EJ241" s="2"/>
      <c r="EK241" s="2"/>
      <c r="ES241" s="2"/>
      <c r="ET241" s="2"/>
      <c r="EU241" s="2"/>
      <c r="FC241" s="2"/>
      <c r="FD241" s="2"/>
      <c r="FE241" s="2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O242" s="2"/>
      <c r="DP242" s="2"/>
      <c r="DQ242" s="2"/>
      <c r="DY242" s="2"/>
      <c r="DZ242" s="2"/>
      <c r="EA242" s="2"/>
      <c r="EI242" s="2"/>
      <c r="EJ242" s="2"/>
      <c r="EK242" s="2"/>
      <c r="ES242" s="2"/>
      <c r="ET242" s="2"/>
      <c r="EU242" s="2"/>
      <c r="FC242" s="2"/>
      <c r="FD242" s="2"/>
      <c r="FE242" s="2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O243" s="2"/>
      <c r="DP243" s="2"/>
      <c r="DQ243" s="2"/>
      <c r="DY243" s="2"/>
      <c r="DZ243" s="2"/>
      <c r="EA243" s="2"/>
      <c r="EI243" s="2"/>
      <c r="EJ243" s="2"/>
      <c r="EK243" s="2"/>
      <c r="ES243" s="2"/>
      <c r="ET243" s="2"/>
      <c r="EU243" s="2"/>
      <c r="FC243" s="2"/>
      <c r="FD243" s="2"/>
      <c r="FE243" s="2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O244" s="2"/>
      <c r="DP244" s="2"/>
      <c r="DQ244" s="2"/>
      <c r="DY244" s="2"/>
      <c r="DZ244" s="2"/>
      <c r="EA244" s="2"/>
      <c r="EI244" s="2"/>
      <c r="EJ244" s="2"/>
      <c r="EK244" s="2"/>
      <c r="ES244" s="2"/>
      <c r="ET244" s="2"/>
      <c r="EU244" s="2"/>
      <c r="FC244" s="2"/>
      <c r="FD244" s="2"/>
      <c r="FE244" s="2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O245" s="2"/>
      <c r="DP245" s="2"/>
      <c r="DQ245" s="2"/>
      <c r="DY245" s="2"/>
      <c r="DZ245" s="2"/>
      <c r="EA245" s="2"/>
      <c r="EI245" s="2"/>
      <c r="EJ245" s="2"/>
      <c r="EK245" s="2"/>
      <c r="ES245" s="2"/>
      <c r="ET245" s="2"/>
      <c r="EU245" s="2"/>
      <c r="FC245" s="2"/>
      <c r="FD245" s="2"/>
      <c r="FE245" s="2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O246" s="2"/>
      <c r="DP246" s="2"/>
      <c r="DQ246" s="2"/>
      <c r="DY246" s="2"/>
      <c r="DZ246" s="2"/>
      <c r="EA246" s="2"/>
      <c r="EI246" s="2"/>
      <c r="EJ246" s="2"/>
      <c r="EK246" s="2"/>
      <c r="ES246" s="2"/>
      <c r="ET246" s="2"/>
      <c r="EU246" s="2"/>
      <c r="FC246" s="2"/>
      <c r="FD246" s="2"/>
      <c r="FE246" s="2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O247" s="2"/>
      <c r="DP247" s="2"/>
      <c r="DQ247" s="2"/>
      <c r="DY247" s="2"/>
      <c r="DZ247" s="2"/>
      <c r="EA247" s="2"/>
      <c r="EI247" s="2"/>
      <c r="EJ247" s="2"/>
      <c r="EK247" s="2"/>
      <c r="ES247" s="2"/>
      <c r="ET247" s="2"/>
      <c r="EU247" s="2"/>
      <c r="FC247" s="2"/>
      <c r="FD247" s="2"/>
      <c r="FE247" s="2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O248" s="2"/>
      <c r="DP248" s="2"/>
      <c r="DQ248" s="2"/>
      <c r="DY248" s="2"/>
      <c r="DZ248" s="2"/>
      <c r="EA248" s="2"/>
      <c r="EI248" s="2"/>
      <c r="EJ248" s="2"/>
      <c r="EK248" s="2"/>
      <c r="ES248" s="2"/>
      <c r="ET248" s="2"/>
      <c r="EU248" s="2"/>
      <c r="FC248" s="2"/>
      <c r="FD248" s="2"/>
      <c r="FE248" s="2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O249" s="2"/>
      <c r="DP249" s="2"/>
      <c r="DQ249" s="2"/>
      <c r="DY249" s="2"/>
      <c r="DZ249" s="2"/>
      <c r="EA249" s="2"/>
      <c r="EI249" s="2"/>
      <c r="EJ249" s="2"/>
      <c r="EK249" s="2"/>
      <c r="ES249" s="2"/>
      <c r="ET249" s="2"/>
      <c r="EU249" s="2"/>
      <c r="FC249" s="2"/>
      <c r="FD249" s="2"/>
      <c r="FE249" s="2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O250" s="2"/>
      <c r="DP250" s="2"/>
      <c r="DQ250" s="2"/>
      <c r="DY250" s="2"/>
      <c r="DZ250" s="2"/>
      <c r="EA250" s="2"/>
      <c r="EI250" s="2"/>
      <c r="EJ250" s="2"/>
      <c r="EK250" s="2"/>
      <c r="ES250" s="2"/>
      <c r="ET250" s="2"/>
      <c r="EU250" s="2"/>
      <c r="FC250" s="2"/>
      <c r="FD250" s="2"/>
      <c r="FE250" s="2"/>
      <c r="FJ250" s="13"/>
      <c r="FK250" s="13"/>
      <c r="FL250" s="13"/>
      <c r="FM250" s="13"/>
      <c r="FN250" s="13"/>
      <c r="FO250" s="13"/>
      <c r="FP250" s="13"/>
      <c r="FQ250" s="13"/>
      <c r="FR250" s="13"/>
      <c r="FS250" s="1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O251" s="2"/>
      <c r="DP251" s="2"/>
      <c r="DQ251" s="2"/>
      <c r="DY251" s="2"/>
      <c r="DZ251" s="2"/>
      <c r="EA251" s="2"/>
      <c r="EI251" s="2"/>
      <c r="EJ251" s="2"/>
      <c r="EK251" s="2"/>
      <c r="ES251" s="2"/>
      <c r="ET251" s="2"/>
      <c r="EU251" s="2"/>
      <c r="FC251" s="2"/>
      <c r="FD251" s="2"/>
      <c r="FE251" s="2"/>
      <c r="FJ251" s="13"/>
      <c r="FK251" s="13"/>
      <c r="FL251" s="13"/>
      <c r="FM251" s="13"/>
      <c r="FN251" s="13"/>
      <c r="FO251" s="13"/>
      <c r="FP251" s="13"/>
      <c r="FQ251" s="13"/>
      <c r="FR251" s="13"/>
      <c r="FS251" s="1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O252" s="2"/>
      <c r="DP252" s="2"/>
      <c r="DQ252" s="2"/>
      <c r="DY252" s="2"/>
      <c r="DZ252" s="2"/>
      <c r="EA252" s="2"/>
      <c r="EI252" s="2"/>
      <c r="EJ252" s="2"/>
      <c r="EK252" s="2"/>
      <c r="ES252" s="2"/>
      <c r="ET252" s="2"/>
      <c r="EU252" s="2"/>
      <c r="FC252" s="2"/>
      <c r="FD252" s="2"/>
      <c r="FE252" s="2"/>
      <c r="FJ252" s="13"/>
      <c r="FK252" s="13"/>
      <c r="FL252" s="13"/>
      <c r="FM252" s="13"/>
      <c r="FN252" s="13"/>
      <c r="FO252" s="13"/>
      <c r="FP252" s="13"/>
      <c r="FQ252" s="13"/>
      <c r="FR252" s="13"/>
      <c r="FS252" s="1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O253" s="2"/>
      <c r="DP253" s="2"/>
      <c r="DQ253" s="2"/>
      <c r="DY253" s="2"/>
      <c r="DZ253" s="2"/>
      <c r="EA253" s="2"/>
      <c r="EI253" s="2"/>
      <c r="EJ253" s="2"/>
      <c r="EK253" s="2"/>
      <c r="ES253" s="2"/>
      <c r="ET253" s="2"/>
      <c r="EU253" s="2"/>
      <c r="FC253" s="2"/>
      <c r="FD253" s="2"/>
      <c r="FE253" s="2"/>
      <c r="FJ253" s="13"/>
      <c r="FK253" s="13"/>
      <c r="FL253" s="13"/>
      <c r="FM253" s="13"/>
      <c r="FN253" s="13"/>
      <c r="FO253" s="13"/>
      <c r="FP253" s="13"/>
      <c r="FQ253" s="13"/>
      <c r="FR253" s="13"/>
      <c r="FS253" s="1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O254" s="2"/>
      <c r="DP254" s="2"/>
      <c r="DQ254" s="2"/>
      <c r="DY254" s="2"/>
      <c r="DZ254" s="2"/>
      <c r="EA254" s="2"/>
      <c r="EI254" s="2"/>
      <c r="EJ254" s="2"/>
      <c r="EK254" s="2"/>
      <c r="ES254" s="2"/>
      <c r="ET254" s="2"/>
      <c r="EU254" s="2"/>
      <c r="FC254" s="2"/>
      <c r="FD254" s="2"/>
      <c r="FE254" s="2"/>
      <c r="FJ254" s="13"/>
      <c r="FK254" s="13"/>
      <c r="FL254" s="13"/>
      <c r="FM254" s="13"/>
      <c r="FN254" s="13"/>
      <c r="FO254" s="13"/>
      <c r="FP254" s="13"/>
      <c r="FQ254" s="13"/>
      <c r="FR254" s="13"/>
      <c r="FS254" s="1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O255" s="2"/>
      <c r="DP255" s="2"/>
      <c r="DQ255" s="2"/>
      <c r="DY255" s="2"/>
      <c r="DZ255" s="2"/>
      <c r="EA255" s="2"/>
      <c r="EI255" s="2"/>
      <c r="EJ255" s="2"/>
      <c r="EK255" s="2"/>
      <c r="ES255" s="2"/>
      <c r="ET255" s="2"/>
      <c r="EU255" s="2"/>
      <c r="FC255" s="2"/>
      <c r="FD255" s="2"/>
      <c r="FE255" s="2"/>
      <c r="FJ255" s="13"/>
      <c r="FK255" s="13"/>
      <c r="FL255" s="13"/>
      <c r="FM255" s="13"/>
      <c r="FN255" s="13"/>
      <c r="FO255" s="13"/>
      <c r="FP255" s="13"/>
      <c r="FQ255" s="13"/>
      <c r="FR255" s="13"/>
      <c r="FS255" s="1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O256" s="2"/>
      <c r="DP256" s="2"/>
      <c r="DQ256" s="2"/>
      <c r="DY256" s="2"/>
      <c r="DZ256" s="2"/>
      <c r="EA256" s="2"/>
      <c r="EI256" s="2"/>
      <c r="EJ256" s="2"/>
      <c r="EK256" s="2"/>
      <c r="ES256" s="2"/>
      <c r="ET256" s="2"/>
      <c r="EU256" s="2"/>
      <c r="FC256" s="2"/>
      <c r="FD256" s="2"/>
      <c r="FE256" s="2"/>
      <c r="FJ256" s="13"/>
      <c r="FK256" s="13"/>
      <c r="FL256" s="13"/>
      <c r="FM256" s="13"/>
      <c r="FN256" s="13"/>
      <c r="FO256" s="13"/>
      <c r="FP256" s="13"/>
      <c r="FQ256" s="13"/>
      <c r="FR256" s="13"/>
      <c r="FS256" s="1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O257" s="2"/>
      <c r="DP257" s="2"/>
      <c r="DQ257" s="2"/>
      <c r="DY257" s="2"/>
      <c r="DZ257" s="2"/>
      <c r="EA257" s="2"/>
      <c r="EI257" s="2"/>
      <c r="EJ257" s="2"/>
      <c r="EK257" s="2"/>
      <c r="ES257" s="2"/>
      <c r="ET257" s="2"/>
      <c r="EU257" s="2"/>
      <c r="FC257" s="2"/>
      <c r="FD257" s="2"/>
      <c r="FE257" s="2"/>
      <c r="FJ257" s="13"/>
      <c r="FK257" s="13"/>
      <c r="FL257" s="13"/>
      <c r="FM257" s="13"/>
      <c r="FN257" s="13"/>
      <c r="FO257" s="13"/>
      <c r="FP257" s="13"/>
      <c r="FQ257" s="13"/>
      <c r="FR257" s="13"/>
      <c r="FS257" s="1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O258" s="2"/>
      <c r="DP258" s="2"/>
      <c r="DQ258" s="2"/>
      <c r="DY258" s="2"/>
      <c r="DZ258" s="2"/>
      <c r="EA258" s="2"/>
      <c r="EI258" s="2"/>
      <c r="EJ258" s="2"/>
      <c r="EK258" s="2"/>
      <c r="ES258" s="2"/>
      <c r="ET258" s="2"/>
      <c r="EU258" s="2"/>
      <c r="FC258" s="2"/>
      <c r="FD258" s="2"/>
      <c r="FE258" s="2"/>
      <c r="FJ258" s="13"/>
      <c r="FK258" s="13"/>
      <c r="FL258" s="13"/>
      <c r="FM258" s="13"/>
      <c r="FN258" s="13"/>
      <c r="FO258" s="13"/>
      <c r="FP258" s="13"/>
      <c r="FQ258" s="13"/>
      <c r="FR258" s="13"/>
      <c r="FS258" s="1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O259" s="2"/>
      <c r="DP259" s="2"/>
      <c r="DQ259" s="2"/>
      <c r="DY259" s="2"/>
      <c r="DZ259" s="2"/>
      <c r="EA259" s="2"/>
      <c r="EI259" s="2"/>
      <c r="EJ259" s="2"/>
      <c r="EK259" s="2"/>
      <c r="ES259" s="2"/>
      <c r="ET259" s="2"/>
      <c r="EU259" s="2"/>
      <c r="FC259" s="2"/>
      <c r="FD259" s="2"/>
      <c r="FE259" s="2"/>
      <c r="FJ259" s="13"/>
      <c r="FK259" s="13"/>
      <c r="FL259" s="13"/>
      <c r="FM259" s="13"/>
      <c r="FN259" s="13"/>
      <c r="FO259" s="13"/>
      <c r="FP259" s="13"/>
      <c r="FQ259" s="13"/>
      <c r="FR259" s="13"/>
      <c r="FS259" s="1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O260" s="2"/>
      <c r="DP260" s="2"/>
      <c r="DQ260" s="2"/>
      <c r="DY260" s="2"/>
      <c r="DZ260" s="2"/>
      <c r="EA260" s="2"/>
      <c r="EI260" s="2"/>
      <c r="EJ260" s="2"/>
      <c r="EK260" s="2"/>
      <c r="ES260" s="2"/>
      <c r="ET260" s="2"/>
      <c r="EU260" s="2"/>
      <c r="FC260" s="2"/>
      <c r="FD260" s="2"/>
      <c r="FE260" s="2"/>
      <c r="FJ260" s="13"/>
      <c r="FK260" s="13"/>
      <c r="FL260" s="13"/>
      <c r="FM260" s="13"/>
      <c r="FN260" s="13"/>
      <c r="FO260" s="13"/>
      <c r="FP260" s="13"/>
      <c r="FQ260" s="13"/>
      <c r="FR260" s="13"/>
      <c r="FS260" s="1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O261" s="2"/>
      <c r="DP261" s="2"/>
      <c r="DQ261" s="2"/>
      <c r="DY261" s="2"/>
      <c r="DZ261" s="2"/>
      <c r="EA261" s="2"/>
      <c r="EI261" s="2"/>
      <c r="EJ261" s="2"/>
      <c r="EK261" s="2"/>
      <c r="ES261" s="2"/>
      <c r="ET261" s="2"/>
      <c r="EU261" s="2"/>
      <c r="FC261" s="2"/>
      <c r="FD261" s="2"/>
      <c r="FE261" s="2"/>
      <c r="FJ261" s="13"/>
      <c r="FK261" s="13"/>
      <c r="FL261" s="13"/>
      <c r="FM261" s="13"/>
      <c r="FN261" s="13"/>
      <c r="FO261" s="13"/>
      <c r="FP261" s="13"/>
      <c r="FQ261" s="13"/>
      <c r="FR261" s="13"/>
      <c r="FS261" s="1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O262" s="2"/>
      <c r="DP262" s="2"/>
      <c r="DQ262" s="2"/>
      <c r="DY262" s="2"/>
      <c r="DZ262" s="2"/>
      <c r="EA262" s="2"/>
      <c r="EI262" s="2"/>
      <c r="EJ262" s="2"/>
      <c r="EK262" s="2"/>
      <c r="ES262" s="2"/>
      <c r="ET262" s="2"/>
      <c r="EU262" s="2"/>
      <c r="FC262" s="2"/>
      <c r="FD262" s="2"/>
      <c r="FE262" s="2"/>
      <c r="FJ262" s="13"/>
      <c r="FK262" s="13"/>
      <c r="FL262" s="13"/>
      <c r="FM262" s="13"/>
      <c r="FN262" s="13"/>
      <c r="FO262" s="13"/>
      <c r="FP262" s="13"/>
      <c r="FQ262" s="13"/>
      <c r="FR262" s="13"/>
      <c r="FS262" s="1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O263" s="2"/>
      <c r="DP263" s="2"/>
      <c r="DQ263" s="2"/>
      <c r="DY263" s="2"/>
      <c r="DZ263" s="2"/>
      <c r="EA263" s="2"/>
      <c r="EI263" s="2"/>
      <c r="EJ263" s="2"/>
      <c r="EK263" s="2"/>
      <c r="ES263" s="2"/>
      <c r="ET263" s="2"/>
      <c r="EU263" s="2"/>
      <c r="FC263" s="2"/>
      <c r="FD263" s="2"/>
      <c r="FE263" s="2"/>
      <c r="FJ263" s="13"/>
      <c r="FK263" s="13"/>
      <c r="FL263" s="13"/>
      <c r="FM263" s="13"/>
      <c r="FN263" s="13"/>
      <c r="FO263" s="13"/>
      <c r="FP263" s="13"/>
      <c r="FQ263" s="13"/>
      <c r="FR263" s="13"/>
      <c r="FS263" s="1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O264" s="2"/>
      <c r="DP264" s="2"/>
      <c r="DQ264" s="2"/>
      <c r="DY264" s="2"/>
      <c r="DZ264" s="2"/>
      <c r="EA264" s="2"/>
      <c r="EI264" s="2"/>
      <c r="EJ264" s="2"/>
      <c r="EK264" s="2"/>
      <c r="ES264" s="2"/>
      <c r="ET264" s="2"/>
      <c r="EU264" s="2"/>
      <c r="FC264" s="2"/>
      <c r="FD264" s="2"/>
      <c r="FE264" s="2"/>
      <c r="FJ264" s="13"/>
      <c r="FK264" s="13"/>
      <c r="FL264" s="13"/>
      <c r="FM264" s="13"/>
      <c r="FN264" s="13"/>
      <c r="FO264" s="13"/>
      <c r="FP264" s="13"/>
      <c r="FQ264" s="13"/>
      <c r="FR264" s="13"/>
      <c r="FS264" s="1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O265" s="2"/>
      <c r="DP265" s="2"/>
      <c r="DQ265" s="2"/>
      <c r="DY265" s="2"/>
      <c r="DZ265" s="2"/>
      <c r="EA265" s="2"/>
      <c r="EI265" s="2"/>
      <c r="EJ265" s="2"/>
      <c r="EK265" s="2"/>
      <c r="ES265" s="2"/>
      <c r="ET265" s="2"/>
      <c r="EU265" s="2"/>
      <c r="FC265" s="2"/>
      <c r="FD265" s="2"/>
      <c r="FE265" s="2"/>
      <c r="FJ265" s="13"/>
      <c r="FK265" s="13"/>
      <c r="FL265" s="13"/>
      <c r="FM265" s="13"/>
      <c r="FN265" s="13"/>
      <c r="FO265" s="13"/>
      <c r="FP265" s="13"/>
      <c r="FQ265" s="13"/>
      <c r="FR265" s="13"/>
      <c r="FS265" s="1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O266" s="2"/>
      <c r="DP266" s="2"/>
      <c r="DQ266" s="2"/>
      <c r="DY266" s="2"/>
      <c r="DZ266" s="2"/>
      <c r="EA266" s="2"/>
      <c r="EI266" s="2"/>
      <c r="EJ266" s="2"/>
      <c r="EK266" s="2"/>
      <c r="ES266" s="2"/>
      <c r="ET266" s="2"/>
      <c r="EU266" s="2"/>
      <c r="FC266" s="2"/>
      <c r="FD266" s="2"/>
      <c r="FE266" s="2"/>
      <c r="FJ266" s="13"/>
      <c r="FK266" s="13"/>
      <c r="FL266" s="13"/>
      <c r="FM266" s="13"/>
      <c r="FN266" s="13"/>
      <c r="FO266" s="13"/>
      <c r="FP266" s="13"/>
      <c r="FQ266" s="13"/>
      <c r="FR266" s="13"/>
      <c r="FS266" s="1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O267" s="2"/>
      <c r="DP267" s="2"/>
      <c r="DQ267" s="2"/>
      <c r="DY267" s="2"/>
      <c r="DZ267" s="2"/>
      <c r="EA267" s="2"/>
      <c r="EI267" s="2"/>
      <c r="EJ267" s="2"/>
      <c r="EK267" s="2"/>
      <c r="ES267" s="2"/>
      <c r="ET267" s="2"/>
      <c r="EU267" s="2"/>
      <c r="FC267" s="2"/>
      <c r="FD267" s="2"/>
      <c r="FE267" s="2"/>
      <c r="FJ267" s="13"/>
      <c r="FK267" s="13"/>
      <c r="FL267" s="13"/>
      <c r="FM267" s="13"/>
      <c r="FN267" s="13"/>
      <c r="FO267" s="13"/>
      <c r="FP267" s="13"/>
      <c r="FQ267" s="13"/>
      <c r="FR267" s="13"/>
      <c r="FS267" s="1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O268" s="2"/>
      <c r="DP268" s="2"/>
      <c r="DQ268" s="2"/>
      <c r="DY268" s="2"/>
      <c r="DZ268" s="2"/>
      <c r="EA268" s="2"/>
      <c r="EI268" s="2"/>
      <c r="EJ268" s="2"/>
      <c r="EK268" s="2"/>
      <c r="ES268" s="2"/>
      <c r="ET268" s="2"/>
      <c r="EU268" s="2"/>
      <c r="FC268" s="2"/>
      <c r="FD268" s="2"/>
      <c r="FE268" s="2"/>
      <c r="FJ268" s="13"/>
      <c r="FK268" s="13"/>
      <c r="FL268" s="13"/>
      <c r="FM268" s="13"/>
      <c r="FN268" s="13"/>
      <c r="FO268" s="13"/>
      <c r="FP268" s="13"/>
      <c r="FQ268" s="13"/>
      <c r="FR268" s="13"/>
      <c r="FS268" s="1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O269" s="2"/>
      <c r="DP269" s="2"/>
      <c r="DQ269" s="2"/>
      <c r="DY269" s="2"/>
      <c r="DZ269" s="2"/>
      <c r="EA269" s="2"/>
      <c r="EI269" s="2"/>
      <c r="EJ269" s="2"/>
      <c r="EK269" s="2"/>
      <c r="ES269" s="2"/>
      <c r="ET269" s="2"/>
      <c r="EU269" s="2"/>
      <c r="FC269" s="2"/>
      <c r="FD269" s="2"/>
      <c r="FE269" s="2"/>
      <c r="FJ269" s="13"/>
      <c r="FK269" s="13"/>
      <c r="FL269" s="13"/>
      <c r="FM269" s="13"/>
      <c r="FN269" s="13"/>
      <c r="FO269" s="13"/>
      <c r="FP269" s="13"/>
      <c r="FQ269" s="13"/>
      <c r="FR269" s="13"/>
      <c r="FS269" s="1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O270" s="2"/>
      <c r="DP270" s="2"/>
      <c r="DQ270" s="2"/>
      <c r="DY270" s="2"/>
      <c r="DZ270" s="2"/>
      <c r="EA270" s="2"/>
      <c r="EI270" s="2"/>
      <c r="EJ270" s="2"/>
      <c r="EK270" s="2"/>
      <c r="ES270" s="2"/>
      <c r="ET270" s="2"/>
      <c r="EU270" s="2"/>
      <c r="FC270" s="2"/>
      <c r="FD270" s="2"/>
      <c r="FE270" s="2"/>
      <c r="FJ270" s="13"/>
      <c r="FK270" s="13"/>
      <c r="FL270" s="13"/>
      <c r="FM270" s="13"/>
      <c r="FN270" s="13"/>
      <c r="FO270" s="13"/>
      <c r="FP270" s="13"/>
      <c r="FQ270" s="13"/>
      <c r="FR270" s="13"/>
      <c r="FS270" s="1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O271" s="2"/>
      <c r="DP271" s="2"/>
      <c r="DQ271" s="2"/>
      <c r="DY271" s="2"/>
      <c r="DZ271" s="2"/>
      <c r="EA271" s="2"/>
      <c r="EI271" s="2"/>
      <c r="EJ271" s="2"/>
      <c r="EK271" s="2"/>
      <c r="ES271" s="2"/>
      <c r="ET271" s="2"/>
      <c r="EU271" s="2"/>
      <c r="FC271" s="2"/>
      <c r="FD271" s="2"/>
      <c r="FE271" s="2"/>
      <c r="FJ271" s="13"/>
      <c r="FK271" s="13"/>
      <c r="FL271" s="13"/>
      <c r="FM271" s="13"/>
      <c r="FN271" s="13"/>
      <c r="FO271" s="13"/>
      <c r="FP271" s="13"/>
      <c r="FQ271" s="13"/>
      <c r="FR271" s="13"/>
      <c r="FS271" s="1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O272" s="2"/>
      <c r="DP272" s="2"/>
      <c r="DQ272" s="2"/>
      <c r="DY272" s="2"/>
      <c r="DZ272" s="2"/>
      <c r="EA272" s="2"/>
      <c r="EI272" s="2"/>
      <c r="EJ272" s="2"/>
      <c r="EK272" s="2"/>
      <c r="ES272" s="2"/>
      <c r="ET272" s="2"/>
      <c r="EU272" s="2"/>
      <c r="FC272" s="2"/>
      <c r="FD272" s="2"/>
      <c r="FE272" s="2"/>
      <c r="FJ272" s="13"/>
      <c r="FK272" s="13"/>
      <c r="FL272" s="13"/>
      <c r="FM272" s="13"/>
      <c r="FN272" s="13"/>
      <c r="FO272" s="13"/>
      <c r="FP272" s="13"/>
      <c r="FQ272" s="13"/>
      <c r="FR272" s="13"/>
      <c r="FS272" s="1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O273" s="2"/>
      <c r="DP273" s="2"/>
      <c r="DQ273" s="2"/>
      <c r="DY273" s="2"/>
      <c r="DZ273" s="2"/>
      <c r="EA273" s="2"/>
      <c r="EI273" s="2"/>
      <c r="EJ273" s="2"/>
      <c r="EK273" s="2"/>
      <c r="ES273" s="2"/>
      <c r="ET273" s="2"/>
      <c r="EU273" s="2"/>
      <c r="FC273" s="2"/>
      <c r="FD273" s="2"/>
      <c r="FE273" s="2"/>
      <c r="FJ273" s="13"/>
      <c r="FK273" s="13"/>
      <c r="FL273" s="13"/>
      <c r="FM273" s="13"/>
      <c r="FN273" s="13"/>
      <c r="FO273" s="13"/>
      <c r="FP273" s="13"/>
      <c r="FQ273" s="13"/>
      <c r="FR273" s="13"/>
      <c r="FS273" s="1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O274" s="2"/>
      <c r="DP274" s="2"/>
      <c r="DQ274" s="2"/>
      <c r="DY274" s="2"/>
      <c r="DZ274" s="2"/>
      <c r="EA274" s="2"/>
      <c r="EI274" s="2"/>
      <c r="EJ274" s="2"/>
      <c r="EK274" s="2"/>
      <c r="ES274" s="2"/>
      <c r="ET274" s="2"/>
      <c r="EU274" s="2"/>
      <c r="FC274" s="2"/>
      <c r="FD274" s="2"/>
      <c r="FE274" s="2"/>
      <c r="FJ274" s="13"/>
      <c r="FK274" s="13"/>
      <c r="FL274" s="13"/>
      <c r="FM274" s="13"/>
      <c r="FN274" s="13"/>
      <c r="FO274" s="13"/>
      <c r="FP274" s="13"/>
      <c r="FQ274" s="13"/>
      <c r="FR274" s="13"/>
      <c r="FS274" s="1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O275" s="2"/>
      <c r="DP275" s="2"/>
      <c r="DQ275" s="2"/>
      <c r="DY275" s="2"/>
      <c r="DZ275" s="2"/>
      <c r="EA275" s="2"/>
      <c r="EI275" s="2"/>
      <c r="EJ275" s="2"/>
      <c r="EK275" s="2"/>
      <c r="ES275" s="2"/>
      <c r="ET275" s="2"/>
      <c r="EU275" s="2"/>
      <c r="FC275" s="2"/>
      <c r="FD275" s="2"/>
      <c r="FE275" s="2"/>
      <c r="FJ275" s="13"/>
      <c r="FK275" s="13"/>
      <c r="FL275" s="13"/>
      <c r="FM275" s="13"/>
      <c r="FN275" s="13"/>
      <c r="FO275" s="13"/>
      <c r="FP275" s="13"/>
      <c r="FQ275" s="13"/>
      <c r="FR275" s="13"/>
      <c r="FS275" s="1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O276" s="2"/>
      <c r="DP276" s="2"/>
      <c r="DQ276" s="2"/>
      <c r="DY276" s="2"/>
      <c r="DZ276" s="2"/>
      <c r="EA276" s="2"/>
      <c r="EI276" s="2"/>
      <c r="EJ276" s="2"/>
      <c r="EK276" s="2"/>
      <c r="ES276" s="2"/>
      <c r="ET276" s="2"/>
      <c r="EU276" s="2"/>
      <c r="FC276" s="2"/>
      <c r="FD276" s="2"/>
      <c r="FE276" s="2"/>
      <c r="FJ276" s="13"/>
      <c r="FK276" s="13"/>
      <c r="FL276" s="13"/>
      <c r="FM276" s="13"/>
      <c r="FN276" s="13"/>
      <c r="FO276" s="13"/>
      <c r="FP276" s="13"/>
      <c r="FQ276" s="13"/>
      <c r="FR276" s="13"/>
      <c r="FS276" s="1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O277" s="2"/>
      <c r="DP277" s="2"/>
      <c r="DQ277" s="2"/>
      <c r="DY277" s="2"/>
      <c r="DZ277" s="2"/>
      <c r="EA277" s="2"/>
      <c r="EI277" s="2"/>
      <c r="EJ277" s="2"/>
      <c r="EK277" s="2"/>
      <c r="ES277" s="2"/>
      <c r="ET277" s="2"/>
      <c r="EU277" s="2"/>
      <c r="FC277" s="2"/>
      <c r="FD277" s="2"/>
      <c r="FE277" s="2"/>
      <c r="FJ277" s="13"/>
      <c r="FK277" s="13"/>
      <c r="FL277" s="13"/>
      <c r="FM277" s="13"/>
      <c r="FN277" s="13"/>
      <c r="FO277" s="13"/>
      <c r="FP277" s="13"/>
      <c r="FQ277" s="13"/>
      <c r="FR277" s="13"/>
      <c r="FS277" s="1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O278" s="2"/>
      <c r="DP278" s="2"/>
      <c r="DQ278" s="2"/>
      <c r="DY278" s="2"/>
      <c r="DZ278" s="2"/>
      <c r="EA278" s="2"/>
      <c r="EI278" s="2"/>
      <c r="EJ278" s="2"/>
      <c r="EK278" s="2"/>
      <c r="ES278" s="2"/>
      <c r="ET278" s="2"/>
      <c r="EU278" s="2"/>
      <c r="FC278" s="2"/>
      <c r="FD278" s="2"/>
      <c r="FE278" s="2"/>
      <c r="FJ278" s="13"/>
      <c r="FK278" s="13"/>
      <c r="FL278" s="13"/>
      <c r="FM278" s="13"/>
      <c r="FN278" s="13"/>
      <c r="FO278" s="13"/>
      <c r="FP278" s="13"/>
      <c r="FQ278" s="13"/>
      <c r="FR278" s="13"/>
      <c r="FS278" s="1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O279" s="2"/>
      <c r="DP279" s="2"/>
      <c r="DQ279" s="2"/>
      <c r="DY279" s="2"/>
      <c r="DZ279" s="2"/>
      <c r="EA279" s="2"/>
      <c r="EI279" s="2"/>
      <c r="EJ279" s="2"/>
      <c r="EK279" s="2"/>
      <c r="ES279" s="2"/>
      <c r="ET279" s="2"/>
      <c r="EU279" s="2"/>
      <c r="FC279" s="2"/>
      <c r="FD279" s="2"/>
      <c r="FE279" s="2"/>
      <c r="FJ279" s="13"/>
      <c r="FK279" s="13"/>
      <c r="FL279" s="13"/>
      <c r="FM279" s="13"/>
      <c r="FN279" s="13"/>
      <c r="FO279" s="13"/>
      <c r="FP279" s="13"/>
      <c r="FQ279" s="13"/>
      <c r="FR279" s="13"/>
      <c r="FS279" s="1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O280" s="2"/>
      <c r="DP280" s="2"/>
      <c r="DQ280" s="2"/>
      <c r="DY280" s="2"/>
      <c r="DZ280" s="2"/>
      <c r="EA280" s="2"/>
      <c r="EI280" s="2"/>
      <c r="EJ280" s="2"/>
      <c r="EK280" s="2"/>
      <c r="ES280" s="2"/>
      <c r="ET280" s="2"/>
      <c r="EU280" s="2"/>
      <c r="FC280" s="2"/>
      <c r="FD280" s="2"/>
      <c r="FE280" s="2"/>
      <c r="FJ280" s="13"/>
      <c r="FK280" s="13"/>
      <c r="FL280" s="13"/>
      <c r="FM280" s="13"/>
      <c r="FN280" s="13"/>
      <c r="FO280" s="13"/>
      <c r="FP280" s="13"/>
      <c r="FQ280" s="13"/>
      <c r="FR280" s="13"/>
      <c r="FS280" s="1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O281" s="2"/>
      <c r="DP281" s="2"/>
      <c r="DQ281" s="2"/>
      <c r="DY281" s="2"/>
      <c r="DZ281" s="2"/>
      <c r="EA281" s="2"/>
      <c r="EI281" s="2"/>
      <c r="EJ281" s="2"/>
      <c r="EK281" s="2"/>
      <c r="ES281" s="2"/>
      <c r="ET281" s="2"/>
      <c r="EU281" s="2"/>
      <c r="FC281" s="2"/>
      <c r="FD281" s="2"/>
      <c r="FE281" s="2"/>
      <c r="FJ281" s="13"/>
      <c r="FK281" s="13"/>
      <c r="FL281" s="13"/>
      <c r="FM281" s="13"/>
      <c r="FN281" s="13"/>
      <c r="FO281" s="13"/>
      <c r="FP281" s="13"/>
      <c r="FQ281" s="13"/>
      <c r="FR281" s="13"/>
      <c r="FS281" s="1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O282" s="2"/>
      <c r="DP282" s="2"/>
      <c r="DQ282" s="2"/>
      <c r="DY282" s="2"/>
      <c r="DZ282" s="2"/>
      <c r="EA282" s="2"/>
      <c r="EI282" s="2"/>
      <c r="EJ282" s="2"/>
      <c r="EK282" s="2"/>
      <c r="ES282" s="2"/>
      <c r="ET282" s="2"/>
      <c r="EU282" s="2"/>
      <c r="FC282" s="2"/>
      <c r="FD282" s="2"/>
      <c r="FE282" s="2"/>
      <c r="FJ282" s="13"/>
      <c r="FK282" s="13"/>
      <c r="FL282" s="13"/>
      <c r="FM282" s="13"/>
      <c r="FN282" s="13"/>
      <c r="FO282" s="13"/>
      <c r="FP282" s="13"/>
      <c r="FQ282" s="13"/>
      <c r="FR282" s="13"/>
      <c r="FS282" s="1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O283" s="2"/>
      <c r="DP283" s="2"/>
      <c r="DQ283" s="2"/>
      <c r="DY283" s="2"/>
      <c r="DZ283" s="2"/>
      <c r="EA283" s="2"/>
      <c r="EI283" s="2"/>
      <c r="EJ283" s="2"/>
      <c r="EK283" s="2"/>
      <c r="ES283" s="2"/>
      <c r="ET283" s="2"/>
      <c r="EU283" s="2"/>
      <c r="FC283" s="2"/>
      <c r="FD283" s="2"/>
      <c r="FE283" s="2"/>
      <c r="FJ283" s="13"/>
      <c r="FK283" s="13"/>
      <c r="FL283" s="13"/>
      <c r="FM283" s="13"/>
      <c r="FN283" s="13"/>
      <c r="FO283" s="13"/>
      <c r="FP283" s="13"/>
      <c r="FQ283" s="13"/>
      <c r="FR283" s="13"/>
      <c r="FS283" s="1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O284" s="2"/>
      <c r="DP284" s="2"/>
      <c r="DQ284" s="2"/>
      <c r="DY284" s="2"/>
      <c r="DZ284" s="2"/>
      <c r="EA284" s="2"/>
      <c r="EI284" s="2"/>
      <c r="EJ284" s="2"/>
      <c r="EK284" s="2"/>
      <c r="ES284" s="2"/>
      <c r="ET284" s="2"/>
      <c r="EU284" s="2"/>
      <c r="FC284" s="2"/>
      <c r="FD284" s="2"/>
      <c r="FE284" s="2"/>
      <c r="FJ284" s="13"/>
      <c r="FK284" s="13"/>
      <c r="FL284" s="13"/>
      <c r="FM284" s="13"/>
      <c r="FN284" s="13"/>
      <c r="FO284" s="13"/>
      <c r="FP284" s="13"/>
      <c r="FQ284" s="13"/>
      <c r="FR284" s="13"/>
      <c r="FS284" s="1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O285" s="2"/>
      <c r="DP285" s="2"/>
      <c r="DQ285" s="2"/>
      <c r="DY285" s="2"/>
      <c r="DZ285" s="2"/>
      <c r="EA285" s="2"/>
      <c r="EI285" s="2"/>
      <c r="EJ285" s="2"/>
      <c r="EK285" s="2"/>
      <c r="ES285" s="2"/>
      <c r="ET285" s="2"/>
      <c r="EU285" s="2"/>
      <c r="FC285" s="2"/>
      <c r="FD285" s="2"/>
      <c r="FE285" s="2"/>
      <c r="FJ285" s="13"/>
      <c r="FK285" s="13"/>
      <c r="FL285" s="13"/>
      <c r="FM285" s="13"/>
      <c r="FN285" s="13"/>
      <c r="FO285" s="13"/>
      <c r="FP285" s="13"/>
      <c r="FQ285" s="13"/>
      <c r="FR285" s="13"/>
      <c r="FS285" s="1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O286" s="2"/>
      <c r="DP286" s="2"/>
      <c r="DQ286" s="2"/>
      <c r="DY286" s="2"/>
      <c r="DZ286" s="2"/>
      <c r="EA286" s="2"/>
      <c r="EI286" s="2"/>
      <c r="EJ286" s="2"/>
      <c r="EK286" s="2"/>
      <c r="ES286" s="2"/>
      <c r="ET286" s="2"/>
      <c r="EU286" s="2"/>
      <c r="FC286" s="2"/>
      <c r="FD286" s="2"/>
      <c r="FE286" s="2"/>
      <c r="FJ286" s="13"/>
      <c r="FK286" s="13"/>
      <c r="FL286" s="13"/>
      <c r="FM286" s="13"/>
      <c r="FN286" s="13"/>
      <c r="FO286" s="13"/>
      <c r="FP286" s="13"/>
      <c r="FQ286" s="13"/>
      <c r="FR286" s="13"/>
      <c r="FS286" s="1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O287" s="2"/>
      <c r="DP287" s="2"/>
      <c r="DQ287" s="2"/>
      <c r="DY287" s="2"/>
      <c r="DZ287" s="2"/>
      <c r="EA287" s="2"/>
      <c r="EI287" s="2"/>
      <c r="EJ287" s="2"/>
      <c r="EK287" s="2"/>
      <c r="ES287" s="2"/>
      <c r="ET287" s="2"/>
      <c r="EU287" s="2"/>
      <c r="FC287" s="2"/>
      <c r="FD287" s="2"/>
      <c r="FE287" s="2"/>
      <c r="FJ287" s="13"/>
      <c r="FK287" s="13"/>
      <c r="FL287" s="13"/>
      <c r="FM287" s="13"/>
      <c r="FN287" s="13"/>
      <c r="FO287" s="13"/>
      <c r="FP287" s="13"/>
      <c r="FQ287" s="13"/>
      <c r="FR287" s="13"/>
      <c r="FS287" s="1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O288" s="2"/>
      <c r="DP288" s="2"/>
      <c r="DQ288" s="2"/>
      <c r="DY288" s="2"/>
      <c r="DZ288" s="2"/>
      <c r="EA288" s="2"/>
      <c r="EI288" s="2"/>
      <c r="EJ288" s="2"/>
      <c r="EK288" s="2"/>
      <c r="ES288" s="2"/>
      <c r="ET288" s="2"/>
      <c r="EU288" s="2"/>
      <c r="FC288" s="2"/>
      <c r="FD288" s="2"/>
      <c r="FE288" s="2"/>
      <c r="FJ288" s="13"/>
      <c r="FK288" s="13"/>
      <c r="FL288" s="13"/>
      <c r="FM288" s="13"/>
      <c r="FN288" s="13"/>
      <c r="FO288" s="13"/>
      <c r="FP288" s="13"/>
      <c r="FQ288" s="13"/>
      <c r="FR288" s="13"/>
      <c r="FS288" s="1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O289" s="2"/>
      <c r="DP289" s="2"/>
      <c r="DQ289" s="2"/>
      <c r="DY289" s="2"/>
      <c r="DZ289" s="2"/>
      <c r="EA289" s="2"/>
      <c r="EI289" s="2"/>
      <c r="EJ289" s="2"/>
      <c r="EK289" s="2"/>
      <c r="ES289" s="2"/>
      <c r="ET289" s="2"/>
      <c r="EU289" s="2"/>
      <c r="FC289" s="2"/>
      <c r="FD289" s="2"/>
      <c r="FE289" s="2"/>
      <c r="FJ289" s="13"/>
      <c r="FK289" s="13"/>
      <c r="FL289" s="13"/>
      <c r="FM289" s="13"/>
      <c r="FN289" s="13"/>
      <c r="FO289" s="13"/>
      <c r="FP289" s="13"/>
      <c r="FQ289" s="13"/>
      <c r="FR289" s="13"/>
      <c r="FS289" s="1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O290" s="2"/>
      <c r="DP290" s="2"/>
      <c r="DQ290" s="2"/>
      <c r="DY290" s="2"/>
      <c r="DZ290" s="2"/>
      <c r="EA290" s="2"/>
      <c r="EI290" s="2"/>
      <c r="EJ290" s="2"/>
      <c r="EK290" s="2"/>
      <c r="ES290" s="2"/>
      <c r="ET290" s="2"/>
      <c r="EU290" s="2"/>
      <c r="FC290" s="2"/>
      <c r="FD290" s="2"/>
      <c r="FE290" s="2"/>
      <c r="FJ290" s="13"/>
      <c r="FK290" s="13"/>
      <c r="FL290" s="13"/>
      <c r="FM290" s="13"/>
      <c r="FN290" s="13"/>
      <c r="FO290" s="13"/>
      <c r="FP290" s="13"/>
      <c r="FQ290" s="13"/>
      <c r="FR290" s="13"/>
      <c r="FS290" s="1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O291" s="2"/>
      <c r="DP291" s="2"/>
      <c r="DQ291" s="2"/>
      <c r="DY291" s="2"/>
      <c r="DZ291" s="2"/>
      <c r="EA291" s="2"/>
      <c r="EI291" s="2"/>
      <c r="EJ291" s="2"/>
      <c r="EK291" s="2"/>
      <c r="ES291" s="2"/>
      <c r="ET291" s="2"/>
      <c r="EU291" s="2"/>
      <c r="FC291" s="2"/>
      <c r="FD291" s="2"/>
      <c r="FE291" s="2"/>
      <c r="FJ291" s="13"/>
      <c r="FK291" s="13"/>
      <c r="FL291" s="13"/>
      <c r="FM291" s="13"/>
      <c r="FN291" s="13"/>
      <c r="FO291" s="13"/>
      <c r="FP291" s="13"/>
      <c r="FQ291" s="13"/>
      <c r="FR291" s="13"/>
      <c r="FS291" s="1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O292" s="2"/>
      <c r="DP292" s="2"/>
      <c r="DQ292" s="2"/>
      <c r="DY292" s="2"/>
      <c r="DZ292" s="2"/>
      <c r="EA292" s="2"/>
      <c r="EI292" s="2"/>
      <c r="EJ292" s="2"/>
      <c r="EK292" s="2"/>
      <c r="ES292" s="2"/>
      <c r="ET292" s="2"/>
      <c r="EU292" s="2"/>
      <c r="FC292" s="2"/>
      <c r="FD292" s="2"/>
      <c r="FE292" s="2"/>
      <c r="FJ292" s="13"/>
      <c r="FK292" s="13"/>
      <c r="FL292" s="13"/>
      <c r="FM292" s="13"/>
      <c r="FN292" s="13"/>
      <c r="FO292" s="13"/>
      <c r="FP292" s="13"/>
      <c r="FQ292" s="13"/>
      <c r="FR292" s="13"/>
      <c r="FS292" s="1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O293" s="2"/>
      <c r="DP293" s="2"/>
      <c r="DQ293" s="2"/>
      <c r="DY293" s="2"/>
      <c r="DZ293" s="2"/>
      <c r="EA293" s="2"/>
      <c r="EI293" s="2"/>
      <c r="EJ293" s="2"/>
      <c r="EK293" s="2"/>
      <c r="ES293" s="2"/>
      <c r="ET293" s="2"/>
      <c r="EU293" s="2"/>
      <c r="FC293" s="2"/>
      <c r="FD293" s="2"/>
      <c r="FE293" s="2"/>
      <c r="FJ293" s="13"/>
      <c r="FK293" s="13"/>
      <c r="FL293" s="13"/>
      <c r="FM293" s="13"/>
      <c r="FN293" s="13"/>
      <c r="FO293" s="13"/>
      <c r="FP293" s="13"/>
      <c r="FQ293" s="13"/>
      <c r="FR293" s="13"/>
      <c r="FS293" s="1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O294" s="2"/>
      <c r="DP294" s="2"/>
      <c r="DQ294" s="2"/>
      <c r="DY294" s="2"/>
      <c r="DZ294" s="2"/>
      <c r="EA294" s="2"/>
      <c r="EI294" s="2"/>
      <c r="EJ294" s="2"/>
      <c r="EK294" s="2"/>
      <c r="ES294" s="2"/>
      <c r="ET294" s="2"/>
      <c r="EU294" s="2"/>
      <c r="FC294" s="2"/>
      <c r="FD294" s="2"/>
      <c r="FE294" s="2"/>
      <c r="FJ294" s="13"/>
      <c r="FK294" s="13"/>
      <c r="FL294" s="13"/>
      <c r="FM294" s="13"/>
      <c r="FN294" s="13"/>
      <c r="FO294" s="13"/>
      <c r="FP294" s="13"/>
      <c r="FQ294" s="13"/>
      <c r="FR294" s="13"/>
      <c r="FS294" s="1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O295" s="2"/>
      <c r="DP295" s="2"/>
      <c r="DQ295" s="2"/>
      <c r="DY295" s="2"/>
      <c r="DZ295" s="2"/>
      <c r="EA295" s="2"/>
      <c r="EI295" s="2"/>
      <c r="EJ295" s="2"/>
      <c r="EK295" s="2"/>
      <c r="ES295" s="2"/>
      <c r="ET295" s="2"/>
      <c r="EU295" s="2"/>
      <c r="FC295" s="2"/>
      <c r="FD295" s="2"/>
      <c r="FE295" s="2"/>
      <c r="FJ295" s="13"/>
      <c r="FK295" s="13"/>
      <c r="FL295" s="13"/>
      <c r="FM295" s="13"/>
      <c r="FN295" s="13"/>
      <c r="FO295" s="13"/>
      <c r="FP295" s="13"/>
      <c r="FQ295" s="13"/>
      <c r="FR295" s="13"/>
      <c r="FS295" s="1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O296" s="2"/>
      <c r="DP296" s="2"/>
      <c r="DQ296" s="2"/>
      <c r="DY296" s="2"/>
      <c r="DZ296" s="2"/>
      <c r="EA296" s="2"/>
      <c r="EI296" s="2"/>
      <c r="EJ296" s="2"/>
      <c r="EK296" s="2"/>
      <c r="ES296" s="2"/>
      <c r="ET296" s="2"/>
      <c r="EU296" s="2"/>
      <c r="FC296" s="2"/>
      <c r="FD296" s="2"/>
      <c r="FE296" s="2"/>
      <c r="FJ296" s="13"/>
      <c r="FK296" s="13"/>
      <c r="FL296" s="13"/>
      <c r="FM296" s="13"/>
      <c r="FN296" s="13"/>
      <c r="FO296" s="13"/>
      <c r="FP296" s="13"/>
      <c r="FQ296" s="13"/>
      <c r="FR296" s="13"/>
      <c r="FS296" s="1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O297" s="2"/>
      <c r="DP297" s="2"/>
      <c r="DQ297" s="2"/>
      <c r="DY297" s="2"/>
      <c r="DZ297" s="2"/>
      <c r="EA297" s="2"/>
      <c r="EI297" s="2"/>
      <c r="EJ297" s="2"/>
      <c r="EK297" s="2"/>
      <c r="ES297" s="2"/>
      <c r="ET297" s="2"/>
      <c r="EU297" s="2"/>
      <c r="FC297" s="2"/>
      <c r="FD297" s="2"/>
      <c r="FE297" s="2"/>
      <c r="FJ297" s="13"/>
      <c r="FK297" s="13"/>
      <c r="FL297" s="13"/>
      <c r="FM297" s="13"/>
      <c r="FN297" s="13"/>
      <c r="FO297" s="13"/>
      <c r="FP297" s="13"/>
      <c r="FQ297" s="13"/>
      <c r="FR297" s="13"/>
      <c r="FS297" s="1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O298" s="2"/>
      <c r="DP298" s="2"/>
      <c r="DQ298" s="2"/>
      <c r="DY298" s="2"/>
      <c r="DZ298" s="2"/>
      <c r="EA298" s="2"/>
      <c r="EI298" s="2"/>
      <c r="EJ298" s="2"/>
      <c r="EK298" s="2"/>
      <c r="ES298" s="2"/>
      <c r="ET298" s="2"/>
      <c r="EU298" s="2"/>
      <c r="FC298" s="2"/>
      <c r="FD298" s="2"/>
      <c r="FE298" s="2"/>
      <c r="FJ298" s="13"/>
      <c r="FK298" s="13"/>
      <c r="FL298" s="13"/>
      <c r="FM298" s="13"/>
      <c r="FN298" s="13"/>
      <c r="FO298" s="13"/>
      <c r="FP298" s="13"/>
      <c r="FQ298" s="13"/>
      <c r="FR298" s="13"/>
      <c r="FS298" s="1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O299" s="2"/>
      <c r="DP299" s="2"/>
      <c r="DQ299" s="2"/>
      <c r="DY299" s="2"/>
      <c r="DZ299" s="2"/>
      <c r="EA299" s="2"/>
      <c r="EI299" s="2"/>
      <c r="EJ299" s="2"/>
      <c r="EK299" s="2"/>
      <c r="ES299" s="2"/>
      <c r="ET299" s="2"/>
      <c r="EU299" s="2"/>
      <c r="FC299" s="2"/>
      <c r="FD299" s="2"/>
      <c r="FE299" s="2"/>
      <c r="FJ299" s="13"/>
      <c r="FK299" s="13"/>
      <c r="FL299" s="13"/>
      <c r="FM299" s="13"/>
      <c r="FN299" s="13"/>
      <c r="FO299" s="13"/>
      <c r="FP299" s="13"/>
      <c r="FQ299" s="13"/>
      <c r="FR299" s="13"/>
      <c r="FS299" s="1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O300" s="2"/>
      <c r="DP300" s="2"/>
      <c r="DQ300" s="2"/>
      <c r="DY300" s="2"/>
      <c r="DZ300" s="2"/>
      <c r="EA300" s="2"/>
      <c r="EI300" s="2"/>
      <c r="EJ300" s="2"/>
      <c r="EK300" s="2"/>
      <c r="ES300" s="2"/>
      <c r="ET300" s="2"/>
      <c r="EU300" s="2"/>
      <c r="FC300" s="2"/>
      <c r="FD300" s="2"/>
      <c r="FE300" s="2"/>
      <c r="FJ300" s="13"/>
      <c r="FK300" s="13"/>
      <c r="FL300" s="13"/>
      <c r="FM300" s="13"/>
      <c r="FN300" s="13"/>
      <c r="FO300" s="13"/>
      <c r="FP300" s="13"/>
      <c r="FQ300" s="13"/>
      <c r="FR300" s="13"/>
      <c r="FS300" s="1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O301" s="2"/>
      <c r="DP301" s="2"/>
      <c r="DQ301" s="2"/>
      <c r="DY301" s="2"/>
      <c r="DZ301" s="2"/>
      <c r="EA301" s="2"/>
      <c r="EI301" s="2"/>
      <c r="EJ301" s="2"/>
      <c r="EK301" s="2"/>
      <c r="ES301" s="2"/>
      <c r="ET301" s="2"/>
      <c r="EU301" s="2"/>
      <c r="FC301" s="2"/>
      <c r="FD301" s="2"/>
      <c r="FE301" s="2"/>
      <c r="FJ301" s="13"/>
      <c r="FK301" s="13"/>
      <c r="FL301" s="13"/>
      <c r="FM301" s="13"/>
      <c r="FN301" s="13"/>
      <c r="FO301" s="13"/>
      <c r="FP301" s="13"/>
      <c r="FQ301" s="13"/>
      <c r="FR301" s="13"/>
      <c r="FS301" s="1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O302" s="2"/>
      <c r="DP302" s="2"/>
      <c r="DQ302" s="2"/>
      <c r="DY302" s="2"/>
      <c r="DZ302" s="2"/>
      <c r="EA302" s="2"/>
      <c r="EI302" s="2"/>
      <c r="EJ302" s="2"/>
      <c r="EK302" s="2"/>
      <c r="ES302" s="2"/>
      <c r="ET302" s="2"/>
      <c r="EU302" s="2"/>
      <c r="FC302" s="2"/>
      <c r="FD302" s="2"/>
      <c r="FE302" s="2"/>
      <c r="FJ302" s="13"/>
      <c r="FK302" s="13"/>
      <c r="FL302" s="13"/>
      <c r="FM302" s="13"/>
      <c r="FN302" s="13"/>
      <c r="FO302" s="13"/>
      <c r="FP302" s="13"/>
      <c r="FQ302" s="13"/>
      <c r="FR302" s="13"/>
      <c r="FS302" s="1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O303" s="2"/>
      <c r="DP303" s="2"/>
      <c r="DQ303" s="2"/>
      <c r="DY303" s="2"/>
      <c r="DZ303" s="2"/>
      <c r="EA303" s="2"/>
      <c r="EI303" s="2"/>
      <c r="EJ303" s="2"/>
      <c r="EK303" s="2"/>
      <c r="ES303" s="2"/>
      <c r="ET303" s="2"/>
      <c r="EU303" s="2"/>
      <c r="FC303" s="2"/>
      <c r="FD303" s="2"/>
      <c r="FE303" s="2"/>
      <c r="FJ303" s="13"/>
      <c r="FK303" s="13"/>
      <c r="FL303" s="13"/>
      <c r="FM303" s="13"/>
      <c r="FN303" s="13"/>
      <c r="FO303" s="13"/>
      <c r="FP303" s="13"/>
      <c r="FQ303" s="13"/>
      <c r="FR303" s="13"/>
      <c r="FS303" s="1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O304" s="2"/>
      <c r="DP304" s="2"/>
      <c r="DQ304" s="2"/>
      <c r="DY304" s="2"/>
      <c r="DZ304" s="2"/>
      <c r="EA304" s="2"/>
      <c r="EI304" s="2"/>
      <c r="EJ304" s="2"/>
      <c r="EK304" s="2"/>
      <c r="ES304" s="2"/>
      <c r="ET304" s="2"/>
      <c r="EU304" s="2"/>
      <c r="FC304" s="2"/>
      <c r="FD304" s="2"/>
      <c r="FE304" s="2"/>
      <c r="FJ304" s="13"/>
      <c r="FK304" s="13"/>
      <c r="FL304" s="13"/>
      <c r="FM304" s="13"/>
      <c r="FN304" s="13"/>
      <c r="FO304" s="13"/>
      <c r="FP304" s="13"/>
      <c r="FQ304" s="13"/>
      <c r="FR304" s="13"/>
      <c r="FS304" s="1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O305" s="2"/>
      <c r="DP305" s="2"/>
      <c r="DQ305" s="2"/>
      <c r="DY305" s="2"/>
      <c r="DZ305" s="2"/>
      <c r="EA305" s="2"/>
      <c r="EI305" s="2"/>
      <c r="EJ305" s="2"/>
      <c r="EK305" s="2"/>
      <c r="ES305" s="2"/>
      <c r="ET305" s="2"/>
      <c r="EU305" s="2"/>
      <c r="FC305" s="2"/>
      <c r="FD305" s="2"/>
      <c r="FE305" s="2"/>
      <c r="FJ305" s="13"/>
      <c r="FK305" s="13"/>
      <c r="FL305" s="13"/>
      <c r="FM305" s="13"/>
      <c r="FN305" s="13"/>
      <c r="FO305" s="13"/>
      <c r="FP305" s="13"/>
      <c r="FQ305" s="13"/>
      <c r="FR305" s="13"/>
      <c r="FS305" s="1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O306" s="2"/>
      <c r="DP306" s="2"/>
      <c r="DQ306" s="2"/>
      <c r="DY306" s="2"/>
      <c r="DZ306" s="2"/>
      <c r="EA306" s="2"/>
      <c r="EI306" s="2"/>
      <c r="EJ306" s="2"/>
      <c r="EK306" s="2"/>
      <c r="ES306" s="2"/>
      <c r="ET306" s="2"/>
      <c r="EU306" s="2"/>
      <c r="FC306" s="2"/>
      <c r="FD306" s="2"/>
      <c r="FE306" s="2"/>
      <c r="FJ306" s="13"/>
      <c r="FK306" s="13"/>
      <c r="FL306" s="13"/>
      <c r="FM306" s="13"/>
      <c r="FN306" s="13"/>
      <c r="FO306" s="13"/>
      <c r="FP306" s="13"/>
      <c r="FQ306" s="13"/>
      <c r="FR306" s="13"/>
      <c r="FS306" s="1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O307" s="2"/>
      <c r="DP307" s="2"/>
      <c r="DQ307" s="2"/>
      <c r="DY307" s="2"/>
      <c r="DZ307" s="2"/>
      <c r="EA307" s="2"/>
      <c r="EI307" s="2"/>
      <c r="EJ307" s="2"/>
      <c r="EK307" s="2"/>
      <c r="ES307" s="2"/>
      <c r="ET307" s="2"/>
      <c r="EU307" s="2"/>
      <c r="FC307" s="2"/>
      <c r="FD307" s="2"/>
      <c r="FE307" s="2"/>
      <c r="FJ307" s="13"/>
      <c r="FK307" s="13"/>
      <c r="FL307" s="13"/>
      <c r="FM307" s="13"/>
      <c r="FN307" s="13"/>
      <c r="FO307" s="13"/>
      <c r="FP307" s="13"/>
      <c r="FQ307" s="13"/>
      <c r="FR307" s="13"/>
      <c r="FS307" s="1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O308" s="2"/>
      <c r="DP308" s="2"/>
      <c r="DQ308" s="2"/>
      <c r="DY308" s="2"/>
      <c r="DZ308" s="2"/>
      <c r="EA308" s="2"/>
      <c r="EI308" s="2"/>
      <c r="EJ308" s="2"/>
      <c r="EK308" s="2"/>
      <c r="ES308" s="2"/>
      <c r="ET308" s="2"/>
      <c r="EU308" s="2"/>
      <c r="FC308" s="2"/>
      <c r="FD308" s="2"/>
      <c r="FE308" s="2"/>
      <c r="FJ308" s="13"/>
      <c r="FK308" s="13"/>
      <c r="FL308" s="13"/>
      <c r="FM308" s="13"/>
      <c r="FN308" s="13"/>
      <c r="FO308" s="13"/>
      <c r="FP308" s="13"/>
      <c r="FQ308" s="13"/>
      <c r="FR308" s="13"/>
      <c r="FS308" s="1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O309" s="2"/>
      <c r="DP309" s="2"/>
      <c r="DQ309" s="2"/>
      <c r="DY309" s="2"/>
      <c r="DZ309" s="2"/>
      <c r="EA309" s="2"/>
      <c r="EI309" s="2"/>
      <c r="EJ309" s="2"/>
      <c r="EK309" s="2"/>
      <c r="ES309" s="2"/>
      <c r="ET309" s="2"/>
      <c r="EU309" s="2"/>
      <c r="FC309" s="2"/>
      <c r="FD309" s="2"/>
      <c r="FE309" s="2"/>
      <c r="FJ309" s="13"/>
      <c r="FK309" s="13"/>
      <c r="FL309" s="13"/>
      <c r="FM309" s="13"/>
      <c r="FN309" s="13"/>
      <c r="FO309" s="13"/>
      <c r="FP309" s="13"/>
      <c r="FQ309" s="13"/>
      <c r="FR309" s="13"/>
      <c r="FS309" s="1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O310" s="2"/>
      <c r="DP310" s="2"/>
      <c r="DQ310" s="2"/>
      <c r="DY310" s="2"/>
      <c r="DZ310" s="2"/>
      <c r="EA310" s="2"/>
      <c r="EI310" s="2"/>
      <c r="EJ310" s="2"/>
      <c r="EK310" s="2"/>
      <c r="ES310" s="2"/>
      <c r="ET310" s="2"/>
      <c r="EU310" s="2"/>
      <c r="FC310" s="2"/>
      <c r="FD310" s="2"/>
      <c r="FE310" s="2"/>
      <c r="FJ310" s="13"/>
      <c r="FK310" s="13"/>
      <c r="FL310" s="13"/>
      <c r="FM310" s="13"/>
      <c r="FN310" s="13"/>
      <c r="FO310" s="13"/>
      <c r="FP310" s="13"/>
      <c r="FQ310" s="13"/>
      <c r="FR310" s="13"/>
      <c r="FS310" s="1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O311" s="2"/>
      <c r="DP311" s="2"/>
      <c r="DQ311" s="2"/>
      <c r="DY311" s="2"/>
      <c r="DZ311" s="2"/>
      <c r="EA311" s="2"/>
      <c r="EI311" s="2"/>
      <c r="EJ311" s="2"/>
      <c r="EK311" s="2"/>
      <c r="ES311" s="2"/>
      <c r="ET311" s="2"/>
      <c r="EU311" s="2"/>
      <c r="FC311" s="2"/>
      <c r="FD311" s="2"/>
      <c r="FE311" s="2"/>
      <c r="FJ311" s="13"/>
      <c r="FK311" s="13"/>
      <c r="FL311" s="13"/>
      <c r="FM311" s="13"/>
      <c r="FN311" s="13"/>
      <c r="FO311" s="13"/>
      <c r="FP311" s="13"/>
      <c r="FQ311" s="13"/>
      <c r="FR311" s="13"/>
      <c r="FS311" s="1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O312" s="2"/>
      <c r="DP312" s="2"/>
      <c r="DQ312" s="2"/>
      <c r="DY312" s="2"/>
      <c r="DZ312" s="2"/>
      <c r="EA312" s="2"/>
      <c r="EI312" s="2"/>
      <c r="EJ312" s="2"/>
      <c r="EK312" s="2"/>
      <c r="ES312" s="2"/>
      <c r="ET312" s="2"/>
      <c r="EU312" s="2"/>
      <c r="FC312" s="2"/>
      <c r="FD312" s="2"/>
      <c r="FE312" s="2"/>
      <c r="FJ312" s="13"/>
      <c r="FK312" s="13"/>
      <c r="FL312" s="13"/>
      <c r="FM312" s="13"/>
      <c r="FN312" s="13"/>
      <c r="FO312" s="13"/>
      <c r="FP312" s="13"/>
      <c r="FQ312" s="13"/>
      <c r="FR312" s="13"/>
      <c r="FS312" s="1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O313" s="2"/>
      <c r="DP313" s="2"/>
      <c r="DQ313" s="2"/>
      <c r="DY313" s="2"/>
      <c r="DZ313" s="2"/>
      <c r="EA313" s="2"/>
      <c r="EI313" s="2"/>
      <c r="EJ313" s="2"/>
      <c r="EK313" s="2"/>
      <c r="ES313" s="2"/>
      <c r="ET313" s="2"/>
      <c r="EU313" s="2"/>
      <c r="FC313" s="2"/>
      <c r="FD313" s="2"/>
      <c r="FE313" s="2"/>
      <c r="FJ313" s="13"/>
      <c r="FK313" s="13"/>
      <c r="FL313" s="13"/>
      <c r="FM313" s="13"/>
      <c r="FN313" s="13"/>
      <c r="FO313" s="13"/>
      <c r="FP313" s="13"/>
      <c r="FQ313" s="13"/>
      <c r="FR313" s="13"/>
      <c r="FS313" s="1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O314" s="2"/>
      <c r="DP314" s="2"/>
      <c r="DQ314" s="2"/>
      <c r="DY314" s="2"/>
      <c r="DZ314" s="2"/>
      <c r="EA314" s="2"/>
      <c r="EI314" s="2"/>
      <c r="EJ314" s="2"/>
      <c r="EK314" s="2"/>
      <c r="ES314" s="2"/>
      <c r="ET314" s="2"/>
      <c r="EU314" s="2"/>
      <c r="FC314" s="2"/>
      <c r="FD314" s="2"/>
      <c r="FE314" s="2"/>
      <c r="FJ314" s="13"/>
      <c r="FK314" s="13"/>
      <c r="FL314" s="13"/>
      <c r="FM314" s="13"/>
      <c r="FN314" s="13"/>
      <c r="FO314" s="13"/>
      <c r="FP314" s="13"/>
      <c r="FQ314" s="13"/>
      <c r="FR314" s="13"/>
      <c r="FS314" s="1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O315" s="2"/>
      <c r="DP315" s="2"/>
      <c r="DQ315" s="2"/>
      <c r="DY315" s="2"/>
      <c r="DZ315" s="2"/>
      <c r="EA315" s="2"/>
      <c r="EI315" s="2"/>
      <c r="EJ315" s="2"/>
      <c r="EK315" s="2"/>
      <c r="ES315" s="2"/>
      <c r="ET315" s="2"/>
      <c r="EU315" s="2"/>
      <c r="FC315" s="2"/>
      <c r="FD315" s="2"/>
      <c r="FE315" s="2"/>
      <c r="FJ315" s="13"/>
      <c r="FK315" s="13"/>
      <c r="FL315" s="13"/>
      <c r="FM315" s="13"/>
      <c r="FN315" s="13"/>
      <c r="FO315" s="13"/>
      <c r="FP315" s="13"/>
      <c r="FQ315" s="13"/>
      <c r="FR315" s="13"/>
      <c r="FS315" s="1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O316" s="2"/>
      <c r="DP316" s="2"/>
      <c r="DQ316" s="2"/>
      <c r="DY316" s="2"/>
      <c r="DZ316" s="2"/>
      <c r="EA316" s="2"/>
      <c r="EI316" s="2"/>
      <c r="EJ316" s="2"/>
      <c r="EK316" s="2"/>
      <c r="ES316" s="2"/>
      <c r="ET316" s="2"/>
      <c r="EU316" s="2"/>
      <c r="FC316" s="2"/>
      <c r="FD316" s="2"/>
      <c r="FE316" s="2"/>
      <c r="FJ316" s="13"/>
      <c r="FK316" s="13"/>
      <c r="FL316" s="13"/>
      <c r="FM316" s="13"/>
      <c r="FN316" s="13"/>
      <c r="FO316" s="13"/>
      <c r="FP316" s="13"/>
      <c r="FQ316" s="13"/>
      <c r="FR316" s="13"/>
      <c r="FS316" s="1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O317" s="2"/>
      <c r="DP317" s="2"/>
      <c r="DQ317" s="2"/>
      <c r="DY317" s="2"/>
      <c r="DZ317" s="2"/>
      <c r="EA317" s="2"/>
      <c r="EI317" s="2"/>
      <c r="EJ317" s="2"/>
      <c r="EK317" s="2"/>
      <c r="ES317" s="2"/>
      <c r="ET317" s="2"/>
      <c r="EU317" s="2"/>
      <c r="FC317" s="2"/>
      <c r="FD317" s="2"/>
      <c r="FE317" s="2"/>
      <c r="FJ317" s="13"/>
      <c r="FK317" s="13"/>
      <c r="FL317" s="13"/>
      <c r="FM317" s="13"/>
      <c r="FN317" s="13"/>
      <c r="FO317" s="13"/>
      <c r="FP317" s="13"/>
      <c r="FQ317" s="13"/>
      <c r="FR317" s="13"/>
      <c r="FS317" s="1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O318" s="2"/>
      <c r="DP318" s="2"/>
      <c r="DQ318" s="2"/>
      <c r="DY318" s="2"/>
      <c r="DZ318" s="2"/>
      <c r="EA318" s="2"/>
      <c r="EI318" s="2"/>
      <c r="EJ318" s="2"/>
      <c r="EK318" s="2"/>
      <c r="ES318" s="2"/>
      <c r="ET318" s="2"/>
      <c r="EU318" s="2"/>
      <c r="FC318" s="2"/>
      <c r="FD318" s="2"/>
      <c r="FE318" s="2"/>
      <c r="FJ318" s="13"/>
      <c r="FK318" s="13"/>
      <c r="FL318" s="13"/>
      <c r="FM318" s="13"/>
      <c r="FN318" s="13"/>
      <c r="FO318" s="13"/>
      <c r="FP318" s="13"/>
      <c r="FQ318" s="13"/>
      <c r="FR318" s="13"/>
      <c r="FS318" s="1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O319" s="2"/>
      <c r="DP319" s="2"/>
      <c r="DQ319" s="2"/>
      <c r="DY319" s="2"/>
      <c r="DZ319" s="2"/>
      <c r="EA319" s="2"/>
      <c r="EI319" s="2"/>
      <c r="EJ319" s="2"/>
      <c r="EK319" s="2"/>
      <c r="ES319" s="2"/>
      <c r="ET319" s="2"/>
      <c r="EU319" s="2"/>
      <c r="FC319" s="2"/>
      <c r="FD319" s="2"/>
      <c r="FE319" s="2"/>
      <c r="FJ319" s="13"/>
      <c r="FK319" s="13"/>
      <c r="FL319" s="13"/>
      <c r="FM319" s="13"/>
      <c r="FN319" s="13"/>
      <c r="FO319" s="13"/>
      <c r="FP319" s="13"/>
      <c r="FQ319" s="13"/>
      <c r="FR319" s="13"/>
      <c r="FS319" s="1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O320" s="2"/>
      <c r="DP320" s="2"/>
      <c r="DQ320" s="2"/>
      <c r="DY320" s="2"/>
      <c r="DZ320" s="2"/>
      <c r="EA320" s="2"/>
      <c r="EI320" s="2"/>
      <c r="EJ320" s="2"/>
      <c r="EK320" s="2"/>
      <c r="ES320" s="2"/>
      <c r="ET320" s="2"/>
      <c r="EU320" s="2"/>
      <c r="FC320" s="2"/>
      <c r="FD320" s="2"/>
      <c r="FE320" s="2"/>
      <c r="FJ320" s="13"/>
      <c r="FK320" s="13"/>
      <c r="FL320" s="13"/>
      <c r="FM320" s="13"/>
      <c r="FN320" s="13"/>
      <c r="FO320" s="13"/>
      <c r="FP320" s="13"/>
      <c r="FQ320" s="13"/>
      <c r="FR320" s="13"/>
      <c r="FS320" s="1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O321" s="2"/>
      <c r="DP321" s="2"/>
      <c r="DQ321" s="2"/>
      <c r="DY321" s="2"/>
      <c r="DZ321" s="2"/>
      <c r="EA321" s="2"/>
      <c r="EI321" s="2"/>
      <c r="EJ321" s="2"/>
      <c r="EK321" s="2"/>
      <c r="ES321" s="2"/>
      <c r="ET321" s="2"/>
      <c r="EU321" s="2"/>
      <c r="FC321" s="2"/>
      <c r="FD321" s="2"/>
      <c r="FE321" s="2"/>
      <c r="FJ321" s="13"/>
      <c r="FK321" s="13"/>
      <c r="FL321" s="13"/>
      <c r="FM321" s="13"/>
      <c r="FN321" s="13"/>
      <c r="FO321" s="13"/>
      <c r="FP321" s="13"/>
      <c r="FQ321" s="13"/>
      <c r="FR321" s="13"/>
      <c r="FS321" s="1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O322" s="2"/>
      <c r="DP322" s="2"/>
      <c r="DQ322" s="2"/>
      <c r="DY322" s="2"/>
      <c r="DZ322" s="2"/>
      <c r="EA322" s="2"/>
      <c r="EI322" s="2"/>
      <c r="EJ322" s="2"/>
      <c r="EK322" s="2"/>
      <c r="ES322" s="2"/>
      <c r="ET322" s="2"/>
      <c r="EU322" s="2"/>
      <c r="FC322" s="2"/>
      <c r="FD322" s="2"/>
      <c r="FE322" s="2"/>
      <c r="FJ322" s="13"/>
      <c r="FK322" s="13"/>
      <c r="FL322" s="13"/>
      <c r="FM322" s="13"/>
      <c r="FN322" s="13"/>
      <c r="FO322" s="13"/>
      <c r="FP322" s="13"/>
      <c r="FQ322" s="13"/>
      <c r="FR322" s="13"/>
      <c r="FS322" s="1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O323" s="2"/>
      <c r="DP323" s="2"/>
      <c r="DQ323" s="2"/>
      <c r="DY323" s="2"/>
      <c r="DZ323" s="2"/>
      <c r="EA323" s="2"/>
      <c r="EI323" s="2"/>
      <c r="EJ323" s="2"/>
      <c r="EK323" s="2"/>
      <c r="ES323" s="2"/>
      <c r="ET323" s="2"/>
      <c r="EU323" s="2"/>
      <c r="FC323" s="2"/>
      <c r="FD323" s="2"/>
      <c r="FE323" s="2"/>
      <c r="FJ323" s="13"/>
      <c r="FK323" s="13"/>
      <c r="FL323" s="13"/>
      <c r="FM323" s="13"/>
      <c r="FN323" s="13"/>
      <c r="FO323" s="13"/>
      <c r="FP323" s="13"/>
      <c r="FQ323" s="13"/>
      <c r="FR323" s="13"/>
      <c r="FS323" s="1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O324" s="2"/>
      <c r="DP324" s="2"/>
      <c r="DQ324" s="2"/>
      <c r="DY324" s="2"/>
      <c r="DZ324" s="2"/>
      <c r="EA324" s="2"/>
      <c r="EI324" s="2"/>
      <c r="EJ324" s="2"/>
      <c r="EK324" s="2"/>
      <c r="ES324" s="2"/>
      <c r="ET324" s="2"/>
      <c r="EU324" s="2"/>
      <c r="FC324" s="2"/>
      <c r="FD324" s="2"/>
      <c r="FE324" s="2"/>
      <c r="FJ324" s="13"/>
      <c r="FK324" s="13"/>
      <c r="FL324" s="13"/>
      <c r="FM324" s="13"/>
      <c r="FN324" s="13"/>
      <c r="FO324" s="13"/>
      <c r="FP324" s="13"/>
      <c r="FQ324" s="13"/>
      <c r="FR324" s="13"/>
      <c r="FS324" s="1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O325" s="2"/>
      <c r="DP325" s="2"/>
      <c r="DQ325" s="2"/>
      <c r="DY325" s="2"/>
      <c r="DZ325" s="2"/>
      <c r="EA325" s="2"/>
      <c r="EI325" s="2"/>
      <c r="EJ325" s="2"/>
      <c r="EK325" s="2"/>
      <c r="ES325" s="2"/>
      <c r="ET325" s="2"/>
      <c r="EU325" s="2"/>
      <c r="FC325" s="2"/>
      <c r="FD325" s="2"/>
      <c r="FE325" s="2"/>
      <c r="FJ325" s="13"/>
      <c r="FK325" s="13"/>
      <c r="FL325" s="13"/>
      <c r="FM325" s="13"/>
      <c r="FN325" s="13"/>
      <c r="FO325" s="13"/>
      <c r="FP325" s="13"/>
      <c r="FQ325" s="13"/>
      <c r="FR325" s="13"/>
      <c r="FS325" s="1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O326" s="2"/>
      <c r="DP326" s="2"/>
      <c r="DQ326" s="2"/>
      <c r="DY326" s="2"/>
      <c r="DZ326" s="2"/>
      <c r="EA326" s="2"/>
      <c r="EI326" s="2"/>
      <c r="EJ326" s="2"/>
      <c r="EK326" s="2"/>
      <c r="ES326" s="2"/>
      <c r="ET326" s="2"/>
      <c r="EU326" s="2"/>
      <c r="FC326" s="2"/>
      <c r="FD326" s="2"/>
      <c r="FE326" s="2"/>
      <c r="FJ326" s="13"/>
      <c r="FK326" s="13"/>
      <c r="FL326" s="13"/>
      <c r="FM326" s="13"/>
      <c r="FN326" s="13"/>
      <c r="FO326" s="13"/>
      <c r="FP326" s="13"/>
      <c r="FQ326" s="13"/>
      <c r="FR326" s="13"/>
      <c r="FS326" s="1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O327" s="2"/>
      <c r="DP327" s="2"/>
      <c r="DQ327" s="2"/>
      <c r="DY327" s="2"/>
      <c r="DZ327" s="2"/>
      <c r="EA327" s="2"/>
      <c r="EI327" s="2"/>
      <c r="EJ327" s="2"/>
      <c r="EK327" s="2"/>
      <c r="ES327" s="2"/>
      <c r="ET327" s="2"/>
      <c r="EU327" s="2"/>
      <c r="FC327" s="2"/>
      <c r="FD327" s="2"/>
      <c r="FE327" s="2"/>
      <c r="FJ327" s="13"/>
      <c r="FK327" s="13"/>
      <c r="FL327" s="13"/>
      <c r="FM327" s="13"/>
      <c r="FN327" s="13"/>
      <c r="FO327" s="13"/>
      <c r="FP327" s="13"/>
      <c r="FQ327" s="13"/>
      <c r="FR327" s="13"/>
      <c r="FS327" s="1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O328" s="2"/>
      <c r="DP328" s="2"/>
      <c r="DQ328" s="2"/>
      <c r="DY328" s="2"/>
      <c r="DZ328" s="2"/>
      <c r="EA328" s="2"/>
      <c r="EI328" s="2"/>
      <c r="EJ328" s="2"/>
      <c r="EK328" s="2"/>
      <c r="ES328" s="2"/>
      <c r="ET328" s="2"/>
      <c r="EU328" s="2"/>
      <c r="FC328" s="2"/>
      <c r="FD328" s="2"/>
      <c r="FE328" s="2"/>
      <c r="FJ328" s="13"/>
      <c r="FK328" s="13"/>
      <c r="FL328" s="13"/>
      <c r="FM328" s="13"/>
      <c r="FN328" s="13"/>
      <c r="FO328" s="13"/>
      <c r="FP328" s="13"/>
      <c r="FQ328" s="13"/>
      <c r="FR328" s="13"/>
      <c r="FS328" s="1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O329" s="2"/>
      <c r="DP329" s="2"/>
      <c r="DQ329" s="2"/>
      <c r="DY329" s="2"/>
      <c r="DZ329" s="2"/>
      <c r="EA329" s="2"/>
      <c r="EI329" s="2"/>
      <c r="EJ329" s="2"/>
      <c r="EK329" s="2"/>
      <c r="ES329" s="2"/>
      <c r="ET329" s="2"/>
      <c r="EU329" s="2"/>
      <c r="FC329" s="2"/>
      <c r="FD329" s="2"/>
      <c r="FE329" s="2"/>
      <c r="FJ329" s="13"/>
      <c r="FK329" s="13"/>
      <c r="FL329" s="13"/>
      <c r="FM329" s="13"/>
      <c r="FN329" s="13"/>
      <c r="FO329" s="13"/>
      <c r="FP329" s="13"/>
      <c r="FQ329" s="13"/>
      <c r="FR329" s="13"/>
      <c r="FS329" s="1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O330" s="2"/>
      <c r="DP330" s="2"/>
      <c r="DQ330" s="2"/>
      <c r="DY330" s="2"/>
      <c r="DZ330" s="2"/>
      <c r="EA330" s="2"/>
      <c r="EI330" s="2"/>
      <c r="EJ330" s="2"/>
      <c r="EK330" s="2"/>
      <c r="ES330" s="2"/>
      <c r="ET330" s="2"/>
      <c r="EU330" s="2"/>
      <c r="FC330" s="2"/>
      <c r="FD330" s="2"/>
      <c r="FE330" s="2"/>
      <c r="FJ330" s="13"/>
      <c r="FK330" s="13"/>
      <c r="FL330" s="13"/>
      <c r="FM330" s="13"/>
      <c r="FN330" s="13"/>
      <c r="FO330" s="13"/>
      <c r="FP330" s="13"/>
      <c r="FQ330" s="13"/>
      <c r="FR330" s="13"/>
      <c r="FS330" s="1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O331" s="2"/>
      <c r="DP331" s="2"/>
      <c r="DQ331" s="2"/>
      <c r="DY331" s="2"/>
      <c r="DZ331" s="2"/>
      <c r="EA331" s="2"/>
      <c r="EI331" s="2"/>
      <c r="EJ331" s="2"/>
      <c r="EK331" s="2"/>
      <c r="ES331" s="2"/>
      <c r="ET331" s="2"/>
      <c r="EU331" s="2"/>
      <c r="FC331" s="2"/>
      <c r="FD331" s="2"/>
      <c r="FE331" s="2"/>
      <c r="FJ331" s="13"/>
      <c r="FK331" s="13"/>
      <c r="FL331" s="13"/>
      <c r="FM331" s="13"/>
      <c r="FN331" s="13"/>
      <c r="FO331" s="13"/>
      <c r="FP331" s="13"/>
      <c r="FQ331" s="13"/>
      <c r="FR331" s="13"/>
      <c r="FS331" s="1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O332" s="2"/>
      <c r="DP332" s="2"/>
      <c r="DQ332" s="2"/>
      <c r="DY332" s="2"/>
      <c r="DZ332" s="2"/>
      <c r="EA332" s="2"/>
      <c r="EI332" s="2"/>
      <c r="EJ332" s="2"/>
      <c r="EK332" s="2"/>
      <c r="ES332" s="2"/>
      <c r="ET332" s="2"/>
      <c r="EU332" s="2"/>
      <c r="FC332" s="2"/>
      <c r="FD332" s="2"/>
      <c r="FE332" s="2"/>
      <c r="FJ332" s="13"/>
      <c r="FK332" s="13"/>
      <c r="FL332" s="13"/>
      <c r="FM332" s="13"/>
      <c r="FN332" s="13"/>
      <c r="FO332" s="13"/>
      <c r="FP332" s="13"/>
      <c r="FQ332" s="13"/>
      <c r="FR332" s="13"/>
      <c r="FS332" s="1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O333" s="2"/>
      <c r="DP333" s="2"/>
      <c r="DQ333" s="2"/>
      <c r="DY333" s="2"/>
      <c r="DZ333" s="2"/>
      <c r="EA333" s="2"/>
      <c r="EI333" s="2"/>
      <c r="EJ333" s="2"/>
      <c r="EK333" s="2"/>
      <c r="ES333" s="2"/>
      <c r="ET333" s="2"/>
      <c r="EU333" s="2"/>
      <c r="FC333" s="2"/>
      <c r="FD333" s="2"/>
      <c r="FE333" s="2"/>
      <c r="FJ333" s="13"/>
      <c r="FK333" s="13"/>
      <c r="FL333" s="13"/>
      <c r="FM333" s="13"/>
      <c r="FN333" s="13"/>
      <c r="FO333" s="13"/>
      <c r="FP333" s="13"/>
      <c r="FQ333" s="13"/>
      <c r="FR333" s="13"/>
      <c r="FS333" s="1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O334" s="2"/>
      <c r="DP334" s="2"/>
      <c r="DQ334" s="2"/>
      <c r="DY334" s="2"/>
      <c r="DZ334" s="2"/>
      <c r="EA334" s="2"/>
      <c r="EI334" s="2"/>
      <c r="EJ334" s="2"/>
      <c r="EK334" s="2"/>
      <c r="ES334" s="2"/>
      <c r="ET334" s="2"/>
      <c r="EU334" s="2"/>
      <c r="FC334" s="2"/>
      <c r="FD334" s="2"/>
      <c r="FE334" s="2"/>
      <c r="FJ334" s="13"/>
      <c r="FK334" s="13"/>
      <c r="FL334" s="13"/>
      <c r="FM334" s="13"/>
      <c r="FN334" s="13"/>
      <c r="FO334" s="13"/>
      <c r="FP334" s="13"/>
      <c r="FQ334" s="13"/>
      <c r="FR334" s="13"/>
      <c r="FS334" s="1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O335" s="2"/>
      <c r="DP335" s="2"/>
      <c r="DQ335" s="2"/>
      <c r="DY335" s="2"/>
      <c r="DZ335" s="2"/>
      <c r="EA335" s="2"/>
      <c r="EI335" s="2"/>
      <c r="EJ335" s="2"/>
      <c r="EK335" s="2"/>
      <c r="ES335" s="2"/>
      <c r="ET335" s="2"/>
      <c r="EU335" s="2"/>
      <c r="FC335" s="2"/>
      <c r="FD335" s="2"/>
      <c r="FE335" s="2"/>
      <c r="FJ335" s="13"/>
      <c r="FK335" s="13"/>
      <c r="FL335" s="13"/>
      <c r="FM335" s="13"/>
      <c r="FN335" s="13"/>
      <c r="FO335" s="13"/>
      <c r="FP335" s="13"/>
      <c r="FQ335" s="13"/>
      <c r="FR335" s="13"/>
      <c r="FS335" s="1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O336" s="2"/>
      <c r="DP336" s="2"/>
      <c r="DQ336" s="2"/>
      <c r="DY336" s="2"/>
      <c r="DZ336" s="2"/>
      <c r="EA336" s="2"/>
      <c r="EI336" s="2"/>
      <c r="EJ336" s="2"/>
      <c r="EK336" s="2"/>
      <c r="ES336" s="2"/>
      <c r="ET336" s="2"/>
      <c r="EU336" s="2"/>
      <c r="FC336" s="2"/>
      <c r="FD336" s="2"/>
      <c r="FE336" s="2"/>
      <c r="FJ336" s="13"/>
      <c r="FK336" s="13"/>
      <c r="FL336" s="13"/>
      <c r="FM336" s="13"/>
      <c r="FN336" s="13"/>
      <c r="FO336" s="13"/>
      <c r="FP336" s="13"/>
      <c r="FQ336" s="13"/>
      <c r="FR336" s="13"/>
      <c r="FS336" s="1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O337" s="2"/>
      <c r="DP337" s="2"/>
      <c r="DQ337" s="2"/>
      <c r="DY337" s="2"/>
      <c r="DZ337" s="2"/>
      <c r="EA337" s="2"/>
      <c r="EI337" s="2"/>
      <c r="EJ337" s="2"/>
      <c r="EK337" s="2"/>
      <c r="ES337" s="2"/>
      <c r="ET337" s="2"/>
      <c r="EU337" s="2"/>
      <c r="FC337" s="2"/>
      <c r="FD337" s="2"/>
      <c r="FE337" s="2"/>
      <c r="FJ337" s="13"/>
      <c r="FK337" s="13"/>
      <c r="FL337" s="13"/>
      <c r="FM337" s="13"/>
      <c r="FN337" s="13"/>
      <c r="FO337" s="13"/>
      <c r="FP337" s="13"/>
      <c r="FQ337" s="13"/>
      <c r="FR337" s="13"/>
      <c r="FS337" s="1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O338" s="2"/>
      <c r="DP338" s="2"/>
      <c r="DQ338" s="2"/>
      <c r="DY338" s="2"/>
      <c r="DZ338" s="2"/>
      <c r="EA338" s="2"/>
      <c r="EI338" s="2"/>
      <c r="EJ338" s="2"/>
      <c r="EK338" s="2"/>
      <c r="ES338" s="2"/>
      <c r="ET338" s="2"/>
      <c r="EU338" s="2"/>
      <c r="FC338" s="2"/>
      <c r="FD338" s="2"/>
      <c r="FE338" s="2"/>
      <c r="FJ338" s="13"/>
      <c r="FK338" s="13"/>
      <c r="FL338" s="13"/>
      <c r="FM338" s="13"/>
      <c r="FN338" s="13"/>
      <c r="FO338" s="13"/>
      <c r="FP338" s="13"/>
      <c r="FQ338" s="13"/>
      <c r="FR338" s="13"/>
      <c r="FS338" s="1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O339" s="2"/>
      <c r="DP339" s="2"/>
      <c r="DQ339" s="2"/>
      <c r="DY339" s="2"/>
      <c r="DZ339" s="2"/>
      <c r="EA339" s="2"/>
      <c r="EI339" s="2"/>
      <c r="EJ339" s="2"/>
      <c r="EK339" s="2"/>
      <c r="ES339" s="2"/>
      <c r="ET339" s="2"/>
      <c r="EU339" s="2"/>
      <c r="FC339" s="2"/>
      <c r="FD339" s="2"/>
      <c r="FE339" s="2"/>
      <c r="FJ339" s="13"/>
      <c r="FK339" s="13"/>
      <c r="FL339" s="13"/>
      <c r="FM339" s="13"/>
      <c r="FN339" s="13"/>
      <c r="FO339" s="13"/>
      <c r="FP339" s="13"/>
      <c r="FQ339" s="13"/>
      <c r="FR339" s="13"/>
      <c r="FS339" s="1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O340" s="2"/>
      <c r="DP340" s="2"/>
      <c r="DQ340" s="2"/>
      <c r="DY340" s="2"/>
      <c r="DZ340" s="2"/>
      <c r="EA340" s="2"/>
      <c r="EI340" s="2"/>
      <c r="EJ340" s="2"/>
      <c r="EK340" s="2"/>
      <c r="ES340" s="2"/>
      <c r="ET340" s="2"/>
      <c r="EU340" s="2"/>
      <c r="FC340" s="2"/>
      <c r="FD340" s="2"/>
      <c r="FE340" s="2"/>
      <c r="FJ340" s="13"/>
      <c r="FK340" s="13"/>
      <c r="FL340" s="13"/>
      <c r="FM340" s="13"/>
      <c r="FN340" s="13"/>
      <c r="FO340" s="13"/>
      <c r="FP340" s="13"/>
      <c r="FQ340" s="13"/>
      <c r="FR340" s="13"/>
      <c r="FS340" s="1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O341" s="2"/>
      <c r="DP341" s="2"/>
      <c r="DQ341" s="2"/>
      <c r="DY341" s="2"/>
      <c r="DZ341" s="2"/>
      <c r="EA341" s="2"/>
      <c r="EI341" s="2"/>
      <c r="EJ341" s="2"/>
      <c r="EK341" s="2"/>
      <c r="ES341" s="2"/>
      <c r="ET341" s="2"/>
      <c r="EU341" s="2"/>
      <c r="FC341" s="2"/>
      <c r="FD341" s="2"/>
      <c r="FE341" s="2"/>
      <c r="FJ341" s="13"/>
      <c r="FK341" s="13"/>
      <c r="FL341" s="13"/>
      <c r="FM341" s="13"/>
      <c r="FN341" s="13"/>
      <c r="FO341" s="13"/>
      <c r="FP341" s="13"/>
      <c r="FQ341" s="13"/>
      <c r="FR341" s="13"/>
      <c r="FS341" s="1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O342" s="2"/>
      <c r="DP342" s="2"/>
      <c r="DQ342" s="2"/>
      <c r="DY342" s="2"/>
      <c r="DZ342" s="2"/>
      <c r="EA342" s="2"/>
      <c r="EI342" s="2"/>
      <c r="EJ342" s="2"/>
      <c r="EK342" s="2"/>
      <c r="ES342" s="2"/>
      <c r="ET342" s="2"/>
      <c r="EU342" s="2"/>
      <c r="FC342" s="2"/>
      <c r="FD342" s="2"/>
      <c r="FE342" s="2"/>
      <c r="FJ342" s="13"/>
      <c r="FK342" s="13"/>
      <c r="FL342" s="13"/>
      <c r="FM342" s="13"/>
      <c r="FN342" s="13"/>
      <c r="FO342" s="13"/>
      <c r="FP342" s="13"/>
      <c r="FQ342" s="13"/>
      <c r="FR342" s="13"/>
      <c r="FS342" s="1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O343" s="2"/>
      <c r="DP343" s="2"/>
      <c r="DQ343" s="2"/>
      <c r="DY343" s="2"/>
      <c r="DZ343" s="2"/>
      <c r="EA343" s="2"/>
      <c r="EI343" s="2"/>
      <c r="EJ343" s="2"/>
      <c r="EK343" s="2"/>
      <c r="ES343" s="2"/>
      <c r="ET343" s="2"/>
      <c r="EU343" s="2"/>
      <c r="FC343" s="2"/>
      <c r="FD343" s="2"/>
      <c r="FE343" s="2"/>
      <c r="FJ343" s="13"/>
      <c r="FK343" s="13"/>
      <c r="FL343" s="13"/>
      <c r="FM343" s="13"/>
      <c r="FN343" s="13"/>
      <c r="FO343" s="13"/>
      <c r="FP343" s="13"/>
      <c r="FQ343" s="13"/>
      <c r="FR343" s="13"/>
      <c r="FS343" s="1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O344" s="2"/>
      <c r="DP344" s="2"/>
      <c r="DQ344" s="2"/>
      <c r="DY344" s="2"/>
      <c r="DZ344" s="2"/>
      <c r="EA344" s="2"/>
      <c r="EI344" s="2"/>
      <c r="EJ344" s="2"/>
      <c r="EK344" s="2"/>
      <c r="ES344" s="2"/>
      <c r="ET344" s="2"/>
      <c r="EU344" s="2"/>
      <c r="FC344" s="2"/>
      <c r="FD344" s="2"/>
      <c r="FE344" s="2"/>
      <c r="FJ344" s="13"/>
      <c r="FK344" s="13"/>
      <c r="FL344" s="13"/>
      <c r="FM344" s="13"/>
      <c r="FN344" s="13"/>
      <c r="FO344" s="13"/>
      <c r="FP344" s="13"/>
      <c r="FQ344" s="13"/>
      <c r="FR344" s="13"/>
      <c r="FS344" s="1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O345" s="2"/>
      <c r="DP345" s="2"/>
      <c r="DQ345" s="2"/>
      <c r="DY345" s="2"/>
      <c r="DZ345" s="2"/>
      <c r="EA345" s="2"/>
      <c r="EI345" s="2"/>
      <c r="EJ345" s="2"/>
      <c r="EK345" s="2"/>
      <c r="ES345" s="2"/>
      <c r="ET345" s="2"/>
      <c r="EU345" s="2"/>
      <c r="FC345" s="2"/>
      <c r="FD345" s="2"/>
      <c r="FE345" s="2"/>
      <c r="FJ345" s="13"/>
      <c r="FK345" s="13"/>
      <c r="FL345" s="13"/>
      <c r="FM345" s="13"/>
      <c r="FN345" s="13"/>
      <c r="FO345" s="13"/>
      <c r="FP345" s="13"/>
      <c r="FQ345" s="13"/>
      <c r="FR345" s="13"/>
      <c r="FS345" s="1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O346" s="2"/>
      <c r="DP346" s="2"/>
      <c r="DQ346" s="2"/>
      <c r="DY346" s="2"/>
      <c r="DZ346" s="2"/>
      <c r="EA346" s="2"/>
      <c r="EI346" s="2"/>
      <c r="EJ346" s="2"/>
      <c r="EK346" s="2"/>
      <c r="ES346" s="2"/>
      <c r="ET346" s="2"/>
      <c r="EU346" s="2"/>
      <c r="FC346" s="2"/>
      <c r="FD346" s="2"/>
      <c r="FE346" s="2"/>
      <c r="FJ346" s="13"/>
      <c r="FK346" s="13"/>
      <c r="FL346" s="13"/>
      <c r="FM346" s="13"/>
      <c r="FN346" s="13"/>
      <c r="FO346" s="13"/>
      <c r="FP346" s="13"/>
      <c r="FQ346" s="13"/>
      <c r="FR346" s="13"/>
      <c r="FS346" s="1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O347" s="2"/>
      <c r="DP347" s="2"/>
      <c r="DQ347" s="2"/>
      <c r="DY347" s="2"/>
      <c r="DZ347" s="2"/>
      <c r="EA347" s="2"/>
      <c r="EI347" s="2"/>
      <c r="EJ347" s="2"/>
      <c r="EK347" s="2"/>
      <c r="ES347" s="2"/>
      <c r="ET347" s="2"/>
      <c r="EU347" s="2"/>
      <c r="FC347" s="2"/>
      <c r="FD347" s="2"/>
      <c r="FE347" s="2"/>
      <c r="FJ347" s="13"/>
      <c r="FK347" s="13"/>
      <c r="FL347" s="13"/>
      <c r="FM347" s="13"/>
      <c r="FN347" s="13"/>
      <c r="FO347" s="13"/>
      <c r="FP347" s="13"/>
      <c r="FQ347" s="13"/>
      <c r="FR347" s="13"/>
      <c r="FS347" s="1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O348" s="2"/>
      <c r="DP348" s="2"/>
      <c r="DQ348" s="2"/>
      <c r="DY348" s="2"/>
      <c r="DZ348" s="2"/>
      <c r="EA348" s="2"/>
      <c r="EI348" s="2"/>
      <c r="EJ348" s="2"/>
      <c r="EK348" s="2"/>
      <c r="ES348" s="2"/>
      <c r="ET348" s="2"/>
      <c r="EU348" s="2"/>
      <c r="FC348" s="2"/>
      <c r="FD348" s="2"/>
      <c r="FE348" s="2"/>
      <c r="FJ348" s="13"/>
      <c r="FK348" s="13"/>
      <c r="FL348" s="13"/>
      <c r="FM348" s="13"/>
      <c r="FN348" s="13"/>
      <c r="FO348" s="13"/>
      <c r="FP348" s="13"/>
      <c r="FQ348" s="13"/>
      <c r="FR348" s="13"/>
      <c r="FS348" s="1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O349" s="2"/>
      <c r="DP349" s="2"/>
      <c r="DQ349" s="2"/>
      <c r="DY349" s="2"/>
      <c r="DZ349" s="2"/>
      <c r="EA349" s="2"/>
      <c r="EI349" s="2"/>
      <c r="EJ349" s="2"/>
      <c r="EK349" s="2"/>
      <c r="ES349" s="2"/>
      <c r="ET349" s="2"/>
      <c r="EU349" s="2"/>
      <c r="FC349" s="2"/>
      <c r="FD349" s="2"/>
      <c r="FE349" s="2"/>
      <c r="FJ349" s="13"/>
      <c r="FK349" s="13"/>
      <c r="FL349" s="13"/>
      <c r="FM349" s="13"/>
      <c r="FN349" s="13"/>
      <c r="FO349" s="13"/>
      <c r="FP349" s="13"/>
      <c r="FQ349" s="13"/>
      <c r="FR349" s="13"/>
      <c r="FS349" s="1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O350" s="2"/>
      <c r="DP350" s="2"/>
      <c r="DQ350" s="2"/>
      <c r="DY350" s="2"/>
      <c r="DZ350" s="2"/>
      <c r="EA350" s="2"/>
      <c r="EI350" s="2"/>
      <c r="EJ350" s="2"/>
      <c r="EK350" s="2"/>
      <c r="ES350" s="2"/>
      <c r="ET350" s="2"/>
      <c r="EU350" s="2"/>
      <c r="FC350" s="2"/>
      <c r="FD350" s="2"/>
      <c r="FE350" s="2"/>
      <c r="FJ350" s="13"/>
      <c r="FK350" s="13"/>
      <c r="FL350" s="13"/>
      <c r="FM350" s="13"/>
      <c r="FN350" s="13"/>
      <c r="FO350" s="13"/>
      <c r="FP350" s="13"/>
      <c r="FQ350" s="13"/>
      <c r="FR350" s="13"/>
      <c r="FS350" s="1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O351" s="2"/>
      <c r="DP351" s="2"/>
      <c r="DQ351" s="2"/>
      <c r="DY351" s="2"/>
      <c r="DZ351" s="2"/>
      <c r="EA351" s="2"/>
      <c r="EI351" s="2"/>
      <c r="EJ351" s="2"/>
      <c r="EK351" s="2"/>
      <c r="ES351" s="2"/>
      <c r="ET351" s="2"/>
      <c r="EU351" s="2"/>
      <c r="FC351" s="2"/>
      <c r="FD351" s="2"/>
      <c r="FE351" s="2"/>
      <c r="FJ351" s="13"/>
      <c r="FK351" s="13"/>
      <c r="FL351" s="13"/>
      <c r="FM351" s="13"/>
      <c r="FN351" s="13"/>
      <c r="FO351" s="13"/>
      <c r="FP351" s="13"/>
      <c r="FQ351" s="13"/>
      <c r="FR351" s="13"/>
      <c r="FS351" s="1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O352" s="2"/>
      <c r="DP352" s="2"/>
      <c r="DQ352" s="2"/>
      <c r="DY352" s="2"/>
      <c r="DZ352" s="2"/>
      <c r="EA352" s="2"/>
      <c r="EI352" s="2"/>
      <c r="EJ352" s="2"/>
      <c r="EK352" s="2"/>
      <c r="ES352" s="2"/>
      <c r="ET352" s="2"/>
      <c r="EU352" s="2"/>
      <c r="FC352" s="2"/>
      <c r="FD352" s="2"/>
      <c r="FE352" s="2"/>
      <c r="FJ352" s="13"/>
      <c r="FK352" s="13"/>
      <c r="FL352" s="13"/>
      <c r="FM352" s="13"/>
      <c r="FN352" s="13"/>
      <c r="FO352" s="13"/>
      <c r="FP352" s="13"/>
      <c r="FQ352" s="13"/>
      <c r="FR352" s="13"/>
      <c r="FS352" s="1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O353" s="2"/>
      <c r="DP353" s="2"/>
      <c r="DQ353" s="2"/>
      <c r="DY353" s="2"/>
      <c r="DZ353" s="2"/>
      <c r="EA353" s="2"/>
      <c r="EI353" s="2"/>
      <c r="EJ353" s="2"/>
      <c r="EK353" s="2"/>
      <c r="ES353" s="2"/>
      <c r="ET353" s="2"/>
      <c r="EU353" s="2"/>
      <c r="FC353" s="2"/>
      <c r="FD353" s="2"/>
      <c r="FE353" s="2"/>
      <c r="FJ353" s="13"/>
      <c r="FK353" s="13"/>
      <c r="FL353" s="13"/>
      <c r="FM353" s="13"/>
      <c r="FN353" s="13"/>
      <c r="FO353" s="13"/>
      <c r="FP353" s="13"/>
      <c r="FQ353" s="13"/>
      <c r="FR353" s="13"/>
      <c r="FS353" s="1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O354" s="2"/>
      <c r="DP354" s="2"/>
      <c r="DQ354" s="2"/>
      <c r="DY354" s="2"/>
      <c r="DZ354" s="2"/>
      <c r="EA354" s="2"/>
      <c r="EI354" s="2"/>
      <c r="EJ354" s="2"/>
      <c r="EK354" s="2"/>
      <c r="ES354" s="2"/>
      <c r="ET354" s="2"/>
      <c r="EU354" s="2"/>
      <c r="FC354" s="2"/>
      <c r="FD354" s="2"/>
      <c r="FE354" s="2"/>
      <c r="FJ354" s="13"/>
      <c r="FK354" s="13"/>
      <c r="FL354" s="13"/>
      <c r="FM354" s="13"/>
      <c r="FN354" s="13"/>
      <c r="FO354" s="13"/>
      <c r="FP354" s="13"/>
      <c r="FQ354" s="13"/>
      <c r="FR354" s="13"/>
      <c r="FS354" s="1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O355" s="2"/>
      <c r="DP355" s="2"/>
      <c r="DQ355" s="2"/>
      <c r="DY355" s="2"/>
      <c r="DZ355" s="2"/>
      <c r="EA355" s="2"/>
      <c r="EI355" s="2"/>
      <c r="EJ355" s="2"/>
      <c r="EK355" s="2"/>
      <c r="ES355" s="2"/>
      <c r="ET355" s="2"/>
      <c r="EU355" s="2"/>
      <c r="FC355" s="2"/>
      <c r="FD355" s="2"/>
      <c r="FE355" s="2"/>
      <c r="FJ355" s="13"/>
      <c r="FK355" s="13"/>
      <c r="FL355" s="13"/>
      <c r="FM355" s="13"/>
      <c r="FN355" s="13"/>
      <c r="FO355" s="13"/>
      <c r="FP355" s="13"/>
      <c r="FQ355" s="13"/>
      <c r="FR355" s="13"/>
      <c r="FS355" s="1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O356" s="2"/>
      <c r="DP356" s="2"/>
      <c r="DQ356" s="2"/>
      <c r="DY356" s="2"/>
      <c r="DZ356" s="2"/>
      <c r="EA356" s="2"/>
      <c r="EI356" s="2"/>
      <c r="EJ356" s="2"/>
      <c r="EK356" s="2"/>
      <c r="ES356" s="2"/>
      <c r="ET356" s="2"/>
      <c r="EU356" s="2"/>
      <c r="FC356" s="2"/>
      <c r="FD356" s="2"/>
      <c r="FE356" s="2"/>
      <c r="FJ356" s="13"/>
      <c r="FK356" s="13"/>
      <c r="FL356" s="13"/>
      <c r="FM356" s="13"/>
      <c r="FN356" s="13"/>
      <c r="FO356" s="13"/>
      <c r="FP356" s="13"/>
      <c r="FQ356" s="13"/>
      <c r="FR356" s="13"/>
      <c r="FS356" s="1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O357" s="2"/>
      <c r="DP357" s="2"/>
      <c r="DQ357" s="2"/>
      <c r="DY357" s="2"/>
      <c r="DZ357" s="2"/>
      <c r="EA357" s="2"/>
      <c r="EI357" s="2"/>
      <c r="EJ357" s="2"/>
      <c r="EK357" s="2"/>
      <c r="ES357" s="2"/>
      <c r="ET357" s="2"/>
      <c r="EU357" s="2"/>
      <c r="FC357" s="2"/>
      <c r="FD357" s="2"/>
      <c r="FE357" s="2"/>
      <c r="FJ357" s="13"/>
      <c r="FK357" s="13"/>
      <c r="FL357" s="13"/>
      <c r="FM357" s="13"/>
      <c r="FN357" s="13"/>
      <c r="FO357" s="13"/>
      <c r="FP357" s="13"/>
      <c r="FQ357" s="13"/>
      <c r="FR357" s="13"/>
      <c r="FS357" s="1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O358" s="2"/>
      <c r="DP358" s="2"/>
      <c r="DQ358" s="2"/>
      <c r="DY358" s="2"/>
      <c r="DZ358" s="2"/>
      <c r="EA358" s="2"/>
      <c r="EI358" s="2"/>
      <c r="EJ358" s="2"/>
      <c r="EK358" s="2"/>
      <c r="ES358" s="2"/>
      <c r="ET358" s="2"/>
      <c r="EU358" s="2"/>
      <c r="FC358" s="2"/>
      <c r="FD358" s="2"/>
      <c r="FE358" s="2"/>
      <c r="FJ358" s="13"/>
      <c r="FK358" s="13"/>
      <c r="FL358" s="13"/>
      <c r="FM358" s="13"/>
      <c r="FN358" s="13"/>
      <c r="FO358" s="13"/>
      <c r="FP358" s="13"/>
      <c r="FQ358" s="13"/>
      <c r="FR358" s="13"/>
      <c r="FS358" s="1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O359" s="2"/>
      <c r="DP359" s="2"/>
      <c r="DQ359" s="2"/>
      <c r="DY359" s="2"/>
      <c r="DZ359" s="2"/>
      <c r="EA359" s="2"/>
      <c r="EI359" s="2"/>
      <c r="EJ359" s="2"/>
      <c r="EK359" s="2"/>
      <c r="ES359" s="2"/>
      <c r="ET359" s="2"/>
      <c r="EU359" s="2"/>
      <c r="FC359" s="2"/>
      <c r="FD359" s="2"/>
      <c r="FE359" s="2"/>
      <c r="FJ359" s="13"/>
      <c r="FK359" s="13"/>
      <c r="FL359" s="13"/>
      <c r="FM359" s="13"/>
      <c r="FN359" s="13"/>
      <c r="FO359" s="13"/>
      <c r="FP359" s="13"/>
      <c r="FQ359" s="13"/>
      <c r="FR359" s="13"/>
      <c r="FS359" s="1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O360" s="2"/>
      <c r="DP360" s="2"/>
      <c r="DQ360" s="2"/>
      <c r="DY360" s="2"/>
      <c r="DZ360" s="2"/>
      <c r="EA360" s="2"/>
      <c r="EI360" s="2"/>
      <c r="EJ360" s="2"/>
      <c r="EK360" s="2"/>
      <c r="ES360" s="2"/>
      <c r="ET360" s="2"/>
      <c r="EU360" s="2"/>
      <c r="FC360" s="2"/>
      <c r="FD360" s="2"/>
      <c r="FE360" s="2"/>
      <c r="FJ360" s="13"/>
      <c r="FK360" s="13"/>
      <c r="FL360" s="13"/>
      <c r="FM360" s="13"/>
      <c r="FN360" s="13"/>
      <c r="FO360" s="13"/>
      <c r="FP360" s="13"/>
      <c r="FQ360" s="13"/>
      <c r="FR360" s="13"/>
      <c r="FS360" s="1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O361" s="2"/>
      <c r="DP361" s="2"/>
      <c r="DQ361" s="2"/>
      <c r="DY361" s="2"/>
      <c r="DZ361" s="2"/>
      <c r="EA361" s="2"/>
      <c r="EI361" s="2"/>
      <c r="EJ361" s="2"/>
      <c r="EK361" s="2"/>
      <c r="ES361" s="2"/>
      <c r="ET361" s="2"/>
      <c r="EU361" s="2"/>
      <c r="FC361" s="2"/>
      <c r="FD361" s="2"/>
      <c r="FE361" s="2"/>
      <c r="FJ361" s="13"/>
      <c r="FK361" s="13"/>
      <c r="FL361" s="13"/>
      <c r="FM361" s="13"/>
      <c r="FN361" s="13"/>
      <c r="FO361" s="13"/>
      <c r="FP361" s="13"/>
      <c r="FQ361" s="13"/>
      <c r="FR361" s="13"/>
      <c r="FS361" s="1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O362" s="2"/>
      <c r="DP362" s="2"/>
      <c r="DQ362" s="2"/>
      <c r="DY362" s="2"/>
      <c r="DZ362" s="2"/>
      <c r="EA362" s="2"/>
      <c r="EI362" s="2"/>
      <c r="EJ362" s="2"/>
      <c r="EK362" s="2"/>
      <c r="ES362" s="2"/>
      <c r="ET362" s="2"/>
      <c r="EU362" s="2"/>
      <c r="FC362" s="2"/>
      <c r="FD362" s="2"/>
      <c r="FE362" s="2"/>
      <c r="FJ362" s="13"/>
      <c r="FK362" s="13"/>
      <c r="FL362" s="13"/>
      <c r="FM362" s="13"/>
      <c r="FN362" s="13"/>
      <c r="FO362" s="13"/>
      <c r="FP362" s="13"/>
      <c r="FQ362" s="13"/>
      <c r="FR362" s="13"/>
      <c r="FS362" s="1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O363" s="2"/>
      <c r="DP363" s="2"/>
      <c r="DQ363" s="2"/>
      <c r="DY363" s="2"/>
      <c r="DZ363" s="2"/>
      <c r="EA363" s="2"/>
      <c r="EI363" s="2"/>
      <c r="EJ363" s="2"/>
      <c r="EK363" s="2"/>
      <c r="ES363" s="2"/>
      <c r="ET363" s="2"/>
      <c r="EU363" s="2"/>
      <c r="FC363" s="2"/>
      <c r="FD363" s="2"/>
      <c r="FE363" s="2"/>
      <c r="FJ363" s="13"/>
      <c r="FK363" s="13"/>
      <c r="FL363" s="13"/>
      <c r="FM363" s="13"/>
      <c r="FN363" s="13"/>
      <c r="FO363" s="13"/>
      <c r="FP363" s="13"/>
      <c r="FQ363" s="13"/>
      <c r="FR363" s="13"/>
      <c r="FS363" s="1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O364" s="2"/>
      <c r="DP364" s="2"/>
      <c r="DQ364" s="2"/>
      <c r="DY364" s="2"/>
      <c r="DZ364" s="2"/>
      <c r="EA364" s="2"/>
      <c r="EI364" s="2"/>
      <c r="EJ364" s="2"/>
      <c r="EK364" s="2"/>
      <c r="ES364" s="2"/>
      <c r="ET364" s="2"/>
      <c r="EU364" s="2"/>
      <c r="FC364" s="2"/>
      <c r="FD364" s="2"/>
      <c r="FE364" s="2"/>
      <c r="FJ364" s="13"/>
      <c r="FK364" s="13"/>
      <c r="FL364" s="13"/>
      <c r="FM364" s="13"/>
      <c r="FN364" s="13"/>
      <c r="FO364" s="13"/>
      <c r="FP364" s="13"/>
      <c r="FQ364" s="13"/>
      <c r="FR364" s="13"/>
      <c r="FS364" s="1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O365" s="2"/>
      <c r="DP365" s="2"/>
      <c r="DQ365" s="2"/>
      <c r="DY365" s="2"/>
      <c r="DZ365" s="2"/>
      <c r="EA365" s="2"/>
      <c r="EI365" s="2"/>
      <c r="EJ365" s="2"/>
      <c r="EK365" s="2"/>
      <c r="ES365" s="2"/>
      <c r="ET365" s="2"/>
      <c r="EU365" s="2"/>
      <c r="FC365" s="2"/>
      <c r="FD365" s="2"/>
      <c r="FE365" s="2"/>
      <c r="FJ365" s="13"/>
      <c r="FK365" s="13"/>
      <c r="FL365" s="13"/>
      <c r="FM365" s="13"/>
      <c r="FN365" s="13"/>
      <c r="FO365" s="13"/>
      <c r="FP365" s="13"/>
      <c r="FQ365" s="13"/>
      <c r="FR365" s="13"/>
      <c r="FS365" s="1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O366" s="2"/>
      <c r="DP366" s="2"/>
      <c r="DQ366" s="2"/>
      <c r="DY366" s="2"/>
      <c r="DZ366" s="2"/>
      <c r="EA366" s="2"/>
      <c r="EI366" s="2"/>
      <c r="EJ366" s="2"/>
      <c r="EK366" s="2"/>
      <c r="ES366" s="2"/>
      <c r="ET366" s="2"/>
      <c r="EU366" s="2"/>
      <c r="FC366" s="2"/>
      <c r="FD366" s="2"/>
      <c r="FE366" s="2"/>
      <c r="FJ366" s="13"/>
      <c r="FK366" s="13"/>
      <c r="FL366" s="13"/>
      <c r="FM366" s="13"/>
      <c r="FN366" s="13"/>
      <c r="FO366" s="13"/>
      <c r="FP366" s="13"/>
      <c r="FQ366" s="13"/>
      <c r="FR366" s="13"/>
      <c r="FS366" s="1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O367" s="2"/>
      <c r="DP367" s="2"/>
      <c r="DQ367" s="2"/>
      <c r="DY367" s="2"/>
      <c r="DZ367" s="2"/>
      <c r="EA367" s="2"/>
      <c r="EI367" s="2"/>
      <c r="EJ367" s="2"/>
      <c r="EK367" s="2"/>
      <c r="ES367" s="2"/>
      <c r="ET367" s="2"/>
      <c r="EU367" s="2"/>
      <c r="FC367" s="2"/>
      <c r="FD367" s="2"/>
      <c r="FE367" s="2"/>
      <c r="FJ367" s="13"/>
      <c r="FK367" s="13"/>
      <c r="FL367" s="13"/>
      <c r="FM367" s="13"/>
      <c r="FN367" s="13"/>
      <c r="FO367" s="13"/>
      <c r="FP367" s="13"/>
      <c r="FQ367" s="13"/>
      <c r="FR367" s="13"/>
      <c r="FS367" s="1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O368" s="2"/>
      <c r="DP368" s="2"/>
      <c r="DQ368" s="2"/>
      <c r="DY368" s="2"/>
      <c r="DZ368" s="2"/>
      <c r="EA368" s="2"/>
      <c r="EI368" s="2"/>
      <c r="EJ368" s="2"/>
      <c r="EK368" s="2"/>
      <c r="ES368" s="2"/>
      <c r="ET368" s="2"/>
      <c r="EU368" s="2"/>
      <c r="FC368" s="2"/>
      <c r="FD368" s="2"/>
      <c r="FE368" s="2"/>
      <c r="FJ368" s="13"/>
      <c r="FK368" s="13"/>
      <c r="FL368" s="13"/>
      <c r="FM368" s="13"/>
      <c r="FN368" s="13"/>
      <c r="FO368" s="13"/>
      <c r="FP368" s="13"/>
      <c r="FQ368" s="13"/>
      <c r="FR368" s="13"/>
      <c r="FS368" s="1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O369" s="2"/>
      <c r="DP369" s="2"/>
      <c r="DQ369" s="2"/>
      <c r="DY369" s="2"/>
      <c r="DZ369" s="2"/>
      <c r="EA369" s="2"/>
      <c r="EI369" s="2"/>
      <c r="EJ369" s="2"/>
      <c r="EK369" s="2"/>
      <c r="ES369" s="2"/>
      <c r="ET369" s="2"/>
      <c r="EU369" s="2"/>
      <c r="FC369" s="2"/>
      <c r="FD369" s="2"/>
      <c r="FE369" s="2"/>
      <c r="FJ369" s="13"/>
      <c r="FK369" s="13"/>
      <c r="FL369" s="13"/>
      <c r="FM369" s="13"/>
      <c r="FN369" s="13"/>
      <c r="FO369" s="13"/>
      <c r="FP369" s="13"/>
      <c r="FQ369" s="13"/>
      <c r="FR369" s="13"/>
      <c r="FS369" s="1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O370" s="2"/>
      <c r="DP370" s="2"/>
      <c r="DQ370" s="2"/>
      <c r="DY370" s="2"/>
      <c r="DZ370" s="2"/>
      <c r="EA370" s="2"/>
      <c r="EI370" s="2"/>
      <c r="EJ370" s="2"/>
      <c r="EK370" s="2"/>
      <c r="ES370" s="2"/>
      <c r="ET370" s="2"/>
      <c r="EU370" s="2"/>
      <c r="FC370" s="2"/>
      <c r="FD370" s="2"/>
      <c r="FE370" s="2"/>
      <c r="FJ370" s="13"/>
      <c r="FK370" s="13"/>
      <c r="FL370" s="13"/>
      <c r="FM370" s="13"/>
      <c r="FN370" s="13"/>
      <c r="FO370" s="13"/>
      <c r="FP370" s="13"/>
      <c r="FQ370" s="13"/>
      <c r="FR370" s="13"/>
      <c r="FS370" s="1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O371" s="2"/>
      <c r="DP371" s="2"/>
      <c r="DQ371" s="2"/>
      <c r="DY371" s="2"/>
      <c r="DZ371" s="2"/>
      <c r="EA371" s="2"/>
      <c r="EI371" s="2"/>
      <c r="EJ371" s="2"/>
      <c r="EK371" s="2"/>
      <c r="ES371" s="2"/>
      <c r="ET371" s="2"/>
      <c r="EU371" s="2"/>
      <c r="FC371" s="2"/>
      <c r="FD371" s="2"/>
      <c r="FE371" s="2"/>
      <c r="FJ371" s="13"/>
      <c r="FK371" s="13"/>
      <c r="FL371" s="13"/>
      <c r="FM371" s="13"/>
      <c r="FN371" s="13"/>
      <c r="FO371" s="13"/>
      <c r="FP371" s="13"/>
      <c r="FQ371" s="13"/>
      <c r="FR371" s="13"/>
      <c r="FS371" s="1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O372" s="2"/>
      <c r="DP372" s="2"/>
      <c r="DQ372" s="2"/>
      <c r="DY372" s="2"/>
      <c r="DZ372" s="2"/>
      <c r="EA372" s="2"/>
      <c r="EI372" s="2"/>
      <c r="EJ372" s="2"/>
      <c r="EK372" s="2"/>
      <c r="ES372" s="2"/>
      <c r="ET372" s="2"/>
      <c r="EU372" s="2"/>
      <c r="FC372" s="2"/>
      <c r="FD372" s="2"/>
      <c r="FE372" s="2"/>
      <c r="FJ372" s="13"/>
      <c r="FK372" s="13"/>
      <c r="FL372" s="13"/>
      <c r="FM372" s="13"/>
      <c r="FN372" s="13"/>
      <c r="FO372" s="13"/>
      <c r="FP372" s="13"/>
      <c r="FQ372" s="13"/>
      <c r="FR372" s="13"/>
      <c r="FS372" s="1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O373" s="2"/>
      <c r="DP373" s="2"/>
      <c r="DQ373" s="2"/>
      <c r="DY373" s="2"/>
      <c r="DZ373" s="2"/>
      <c r="EA373" s="2"/>
      <c r="EI373" s="2"/>
      <c r="EJ373" s="2"/>
      <c r="EK373" s="2"/>
      <c r="ES373" s="2"/>
      <c r="ET373" s="2"/>
      <c r="EU373" s="2"/>
      <c r="FC373" s="2"/>
      <c r="FD373" s="2"/>
      <c r="FE373" s="2"/>
      <c r="FJ373" s="13"/>
      <c r="FK373" s="13"/>
      <c r="FL373" s="13"/>
      <c r="FM373" s="13"/>
      <c r="FN373" s="13"/>
      <c r="FO373" s="13"/>
      <c r="FP373" s="13"/>
      <c r="FQ373" s="13"/>
      <c r="FR373" s="13"/>
      <c r="FS373" s="1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O374" s="2"/>
      <c r="DP374" s="2"/>
      <c r="DQ374" s="2"/>
      <c r="DY374" s="2"/>
      <c r="DZ374" s="2"/>
      <c r="EA374" s="2"/>
      <c r="EI374" s="2"/>
      <c r="EJ374" s="2"/>
      <c r="EK374" s="2"/>
      <c r="ES374" s="2"/>
      <c r="ET374" s="2"/>
      <c r="EU374" s="2"/>
      <c r="FC374" s="2"/>
      <c r="FD374" s="2"/>
      <c r="FE374" s="2"/>
      <c r="FJ374" s="13"/>
      <c r="FK374" s="13"/>
      <c r="FL374" s="13"/>
      <c r="FM374" s="13"/>
      <c r="FN374" s="13"/>
      <c r="FO374" s="13"/>
      <c r="FP374" s="13"/>
      <c r="FQ374" s="13"/>
      <c r="FR374" s="13"/>
      <c r="FS374" s="1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O375" s="2"/>
      <c r="DP375" s="2"/>
      <c r="DQ375" s="2"/>
      <c r="DY375" s="2"/>
      <c r="DZ375" s="2"/>
      <c r="EA375" s="2"/>
      <c r="EI375" s="2"/>
      <c r="EJ375" s="2"/>
      <c r="EK375" s="2"/>
      <c r="ES375" s="2"/>
      <c r="ET375" s="2"/>
      <c r="EU375" s="2"/>
      <c r="FC375" s="2"/>
      <c r="FD375" s="2"/>
      <c r="FE375" s="2"/>
      <c r="FJ375" s="13"/>
      <c r="FK375" s="13"/>
      <c r="FL375" s="13"/>
      <c r="FM375" s="13"/>
      <c r="FN375" s="13"/>
      <c r="FO375" s="13"/>
      <c r="FP375" s="13"/>
      <c r="FQ375" s="13"/>
      <c r="FR375" s="13"/>
      <c r="FS375" s="1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O376" s="2"/>
      <c r="DP376" s="2"/>
      <c r="DQ376" s="2"/>
      <c r="DY376" s="2"/>
      <c r="DZ376" s="2"/>
      <c r="EA376" s="2"/>
      <c r="EI376" s="2"/>
      <c r="EJ376" s="2"/>
      <c r="EK376" s="2"/>
      <c r="ES376" s="2"/>
      <c r="ET376" s="2"/>
      <c r="EU376" s="2"/>
      <c r="FC376" s="2"/>
      <c r="FD376" s="2"/>
      <c r="FE376" s="2"/>
      <c r="FJ376" s="13"/>
      <c r="FK376" s="13"/>
      <c r="FL376" s="13"/>
      <c r="FM376" s="13"/>
      <c r="FN376" s="13"/>
      <c r="FO376" s="13"/>
      <c r="FP376" s="13"/>
      <c r="FQ376" s="13"/>
      <c r="FR376" s="13"/>
      <c r="FS376" s="1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O377" s="2"/>
      <c r="DP377" s="2"/>
      <c r="DQ377" s="2"/>
      <c r="DY377" s="2"/>
      <c r="DZ377" s="2"/>
      <c r="EA377" s="2"/>
      <c r="EI377" s="2"/>
      <c r="EJ377" s="2"/>
      <c r="EK377" s="2"/>
      <c r="ES377" s="2"/>
      <c r="ET377" s="2"/>
      <c r="EU377" s="2"/>
      <c r="FC377" s="2"/>
      <c r="FD377" s="2"/>
      <c r="FE377" s="2"/>
      <c r="FJ377" s="13"/>
      <c r="FK377" s="13"/>
      <c r="FL377" s="13"/>
      <c r="FM377" s="13"/>
      <c r="FN377" s="13"/>
      <c r="FO377" s="13"/>
      <c r="FP377" s="13"/>
      <c r="FQ377" s="13"/>
      <c r="FR377" s="13"/>
      <c r="FS377" s="1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O378" s="2"/>
      <c r="DP378" s="2"/>
      <c r="DQ378" s="2"/>
      <c r="DY378" s="2"/>
      <c r="DZ378" s="2"/>
      <c r="EA378" s="2"/>
      <c r="EI378" s="2"/>
      <c r="EJ378" s="2"/>
      <c r="EK378" s="2"/>
      <c r="ES378" s="2"/>
      <c r="ET378" s="2"/>
      <c r="EU378" s="2"/>
      <c r="FC378" s="2"/>
      <c r="FD378" s="2"/>
      <c r="FE378" s="2"/>
      <c r="FJ378" s="13"/>
      <c r="FK378" s="13"/>
      <c r="FL378" s="13"/>
      <c r="FM378" s="13"/>
      <c r="FN378" s="13"/>
      <c r="FO378" s="13"/>
      <c r="FP378" s="13"/>
      <c r="FQ378" s="13"/>
      <c r="FR378" s="13"/>
      <c r="FS378" s="1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O379" s="2"/>
      <c r="DP379" s="2"/>
      <c r="DQ379" s="2"/>
      <c r="DY379" s="2"/>
      <c r="DZ379" s="2"/>
      <c r="EA379" s="2"/>
      <c r="EI379" s="2"/>
      <c r="EJ379" s="2"/>
      <c r="EK379" s="2"/>
      <c r="ES379" s="2"/>
      <c r="ET379" s="2"/>
      <c r="EU379" s="2"/>
      <c r="FC379" s="2"/>
      <c r="FD379" s="2"/>
      <c r="FE379" s="2"/>
      <c r="FJ379" s="13"/>
      <c r="FK379" s="13"/>
      <c r="FL379" s="13"/>
      <c r="FM379" s="13"/>
      <c r="FN379" s="13"/>
      <c r="FO379" s="13"/>
      <c r="FP379" s="13"/>
      <c r="FQ379" s="13"/>
      <c r="FR379" s="13"/>
      <c r="FS379" s="1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O380" s="2"/>
      <c r="DP380" s="2"/>
      <c r="DQ380" s="2"/>
      <c r="DY380" s="2"/>
      <c r="DZ380" s="2"/>
      <c r="EA380" s="2"/>
      <c r="EI380" s="2"/>
      <c r="EJ380" s="2"/>
      <c r="EK380" s="2"/>
      <c r="ES380" s="2"/>
      <c r="ET380" s="2"/>
      <c r="EU380" s="2"/>
      <c r="FC380" s="2"/>
      <c r="FD380" s="2"/>
      <c r="FE380" s="2"/>
      <c r="FJ380" s="13"/>
      <c r="FK380" s="13"/>
      <c r="FL380" s="13"/>
      <c r="FM380" s="13"/>
      <c r="FN380" s="13"/>
      <c r="FO380" s="13"/>
      <c r="FP380" s="13"/>
      <c r="FQ380" s="13"/>
      <c r="FR380" s="13"/>
      <c r="FS380" s="1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O381" s="2"/>
      <c r="DP381" s="2"/>
      <c r="DQ381" s="2"/>
      <c r="DY381" s="2"/>
      <c r="DZ381" s="2"/>
      <c r="EA381" s="2"/>
      <c r="EI381" s="2"/>
      <c r="EJ381" s="2"/>
      <c r="EK381" s="2"/>
      <c r="ES381" s="2"/>
      <c r="ET381" s="2"/>
      <c r="EU381" s="2"/>
      <c r="FC381" s="2"/>
      <c r="FD381" s="2"/>
      <c r="FE381" s="2"/>
      <c r="FJ381" s="13"/>
      <c r="FK381" s="13"/>
      <c r="FL381" s="13"/>
      <c r="FM381" s="13"/>
      <c r="FN381" s="13"/>
      <c r="FO381" s="13"/>
      <c r="FP381" s="13"/>
      <c r="FQ381" s="13"/>
      <c r="FR381" s="13"/>
      <c r="FS381" s="1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O382" s="2"/>
      <c r="DP382" s="2"/>
      <c r="DQ382" s="2"/>
      <c r="DY382" s="2"/>
      <c r="DZ382" s="2"/>
      <c r="EA382" s="2"/>
      <c r="EI382" s="2"/>
      <c r="EJ382" s="2"/>
      <c r="EK382" s="2"/>
      <c r="ES382" s="2"/>
      <c r="ET382" s="2"/>
      <c r="EU382" s="2"/>
      <c r="FC382" s="2"/>
      <c r="FD382" s="2"/>
      <c r="FE382" s="2"/>
      <c r="FJ382" s="13"/>
      <c r="FK382" s="13"/>
      <c r="FL382" s="13"/>
      <c r="FM382" s="13"/>
      <c r="FN382" s="13"/>
      <c r="FO382" s="13"/>
      <c r="FP382" s="13"/>
      <c r="FQ382" s="13"/>
      <c r="FR382" s="13"/>
      <c r="FS382" s="1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O383" s="2"/>
      <c r="DP383" s="2"/>
      <c r="DQ383" s="2"/>
      <c r="DY383" s="2"/>
      <c r="DZ383" s="2"/>
      <c r="EA383" s="2"/>
      <c r="EI383" s="2"/>
      <c r="EJ383" s="2"/>
      <c r="EK383" s="2"/>
      <c r="ES383" s="2"/>
      <c r="ET383" s="2"/>
      <c r="EU383" s="2"/>
      <c r="FC383" s="2"/>
      <c r="FD383" s="2"/>
      <c r="FE383" s="2"/>
      <c r="FJ383" s="13"/>
      <c r="FK383" s="13"/>
      <c r="FL383" s="13"/>
      <c r="FM383" s="13"/>
      <c r="FN383" s="13"/>
      <c r="FO383" s="13"/>
      <c r="FP383" s="13"/>
      <c r="FQ383" s="13"/>
      <c r="FR383" s="13"/>
      <c r="FS383" s="1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O384" s="2"/>
      <c r="DP384" s="2"/>
      <c r="DQ384" s="2"/>
      <c r="DY384" s="2"/>
      <c r="DZ384" s="2"/>
      <c r="EA384" s="2"/>
      <c r="EI384" s="2"/>
      <c r="EJ384" s="2"/>
      <c r="EK384" s="2"/>
      <c r="ES384" s="2"/>
      <c r="ET384" s="2"/>
      <c r="EU384" s="2"/>
      <c r="FC384" s="2"/>
      <c r="FD384" s="2"/>
      <c r="FE384" s="2"/>
      <c r="FJ384" s="13"/>
      <c r="FK384" s="13"/>
      <c r="FL384" s="13"/>
      <c r="FM384" s="13"/>
      <c r="FN384" s="13"/>
      <c r="FO384" s="13"/>
      <c r="FP384" s="13"/>
      <c r="FQ384" s="13"/>
      <c r="FR384" s="13"/>
      <c r="FS384" s="1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O385" s="2"/>
      <c r="DP385" s="2"/>
      <c r="DQ385" s="2"/>
      <c r="DY385" s="2"/>
      <c r="DZ385" s="2"/>
      <c r="EA385" s="2"/>
      <c r="EI385" s="2"/>
      <c r="EJ385" s="2"/>
      <c r="EK385" s="2"/>
      <c r="ES385" s="2"/>
      <c r="ET385" s="2"/>
      <c r="EU385" s="2"/>
      <c r="FC385" s="2"/>
      <c r="FD385" s="2"/>
      <c r="FE385" s="2"/>
      <c r="FJ385" s="13"/>
      <c r="FK385" s="13"/>
      <c r="FL385" s="13"/>
      <c r="FM385" s="13"/>
      <c r="FN385" s="13"/>
      <c r="FO385" s="13"/>
      <c r="FP385" s="13"/>
      <c r="FQ385" s="13"/>
      <c r="FR385" s="13"/>
      <c r="FS385" s="1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O386" s="2"/>
      <c r="DP386" s="2"/>
      <c r="DQ386" s="2"/>
      <c r="DY386" s="2"/>
      <c r="DZ386" s="2"/>
      <c r="EA386" s="2"/>
      <c r="EI386" s="2"/>
      <c r="EJ386" s="2"/>
      <c r="EK386" s="2"/>
      <c r="ES386" s="2"/>
      <c r="ET386" s="2"/>
      <c r="EU386" s="2"/>
      <c r="FC386" s="2"/>
      <c r="FD386" s="2"/>
      <c r="FE386" s="2"/>
      <c r="FJ386" s="13"/>
      <c r="FK386" s="13"/>
      <c r="FL386" s="13"/>
      <c r="FM386" s="13"/>
      <c r="FN386" s="13"/>
      <c r="FO386" s="13"/>
      <c r="FP386" s="13"/>
      <c r="FQ386" s="13"/>
      <c r="FR386" s="13"/>
      <c r="FS386" s="1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O387" s="2"/>
      <c r="DP387" s="2"/>
      <c r="DQ387" s="2"/>
      <c r="DY387" s="2"/>
      <c r="DZ387" s="2"/>
      <c r="EA387" s="2"/>
      <c r="EI387" s="2"/>
      <c r="EJ387" s="2"/>
      <c r="EK387" s="2"/>
      <c r="ES387" s="2"/>
      <c r="ET387" s="2"/>
      <c r="EU387" s="2"/>
      <c r="FC387" s="2"/>
      <c r="FD387" s="2"/>
      <c r="FE387" s="2"/>
      <c r="FJ387" s="13"/>
      <c r="FK387" s="13"/>
      <c r="FL387" s="13"/>
      <c r="FM387" s="13"/>
      <c r="FN387" s="13"/>
      <c r="FO387" s="13"/>
      <c r="FP387" s="13"/>
      <c r="FQ387" s="13"/>
      <c r="FR387" s="13"/>
      <c r="FS387" s="1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O388" s="2"/>
      <c r="DP388" s="2"/>
      <c r="DQ388" s="2"/>
      <c r="DY388" s="2"/>
      <c r="DZ388" s="2"/>
      <c r="EA388" s="2"/>
      <c r="EI388" s="2"/>
      <c r="EJ388" s="2"/>
      <c r="EK388" s="2"/>
      <c r="ES388" s="2"/>
      <c r="ET388" s="2"/>
      <c r="EU388" s="2"/>
      <c r="FC388" s="2"/>
      <c r="FD388" s="2"/>
      <c r="FE388" s="2"/>
      <c r="FJ388" s="13"/>
      <c r="FK388" s="13"/>
      <c r="FL388" s="13"/>
      <c r="FM388" s="13"/>
      <c r="FN388" s="13"/>
      <c r="FO388" s="13"/>
      <c r="FP388" s="13"/>
      <c r="FQ388" s="13"/>
      <c r="FR388" s="13"/>
      <c r="FS388" s="1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O389" s="2"/>
      <c r="DP389" s="2"/>
      <c r="DQ389" s="2"/>
      <c r="DY389" s="2"/>
      <c r="DZ389" s="2"/>
      <c r="EA389" s="2"/>
      <c r="EI389" s="2"/>
      <c r="EJ389" s="2"/>
      <c r="EK389" s="2"/>
      <c r="ES389" s="2"/>
      <c r="ET389" s="2"/>
      <c r="EU389" s="2"/>
      <c r="FC389" s="2"/>
      <c r="FD389" s="2"/>
      <c r="FE389" s="2"/>
      <c r="FJ389" s="13"/>
      <c r="FK389" s="13"/>
      <c r="FL389" s="13"/>
      <c r="FM389" s="13"/>
      <c r="FN389" s="13"/>
      <c r="FO389" s="13"/>
      <c r="FP389" s="13"/>
      <c r="FQ389" s="13"/>
      <c r="FR389" s="13"/>
      <c r="FS389" s="1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O390" s="2"/>
      <c r="DP390" s="2"/>
      <c r="DQ390" s="2"/>
      <c r="DY390" s="2"/>
      <c r="DZ390" s="2"/>
      <c r="EA390" s="2"/>
      <c r="EI390" s="2"/>
      <c r="EJ390" s="2"/>
      <c r="EK390" s="2"/>
      <c r="ES390" s="2"/>
      <c r="ET390" s="2"/>
      <c r="EU390" s="2"/>
      <c r="FC390" s="2"/>
      <c r="FD390" s="2"/>
      <c r="FE390" s="2"/>
      <c r="FJ390" s="13"/>
      <c r="FK390" s="13"/>
      <c r="FL390" s="13"/>
      <c r="FM390" s="13"/>
      <c r="FN390" s="13"/>
      <c r="FO390" s="13"/>
      <c r="FP390" s="13"/>
      <c r="FQ390" s="13"/>
      <c r="FR390" s="13"/>
      <c r="FS390" s="1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O391" s="2"/>
      <c r="DP391" s="2"/>
      <c r="DQ391" s="2"/>
      <c r="DY391" s="2"/>
      <c r="DZ391" s="2"/>
      <c r="EA391" s="2"/>
      <c r="EI391" s="2"/>
      <c r="EJ391" s="2"/>
      <c r="EK391" s="2"/>
      <c r="ES391" s="2"/>
      <c r="ET391" s="2"/>
      <c r="EU391" s="2"/>
      <c r="FC391" s="2"/>
      <c r="FD391" s="2"/>
      <c r="FE391" s="2"/>
      <c r="FJ391" s="13"/>
      <c r="FK391" s="13"/>
      <c r="FL391" s="13"/>
      <c r="FM391" s="13"/>
      <c r="FN391" s="13"/>
      <c r="FO391" s="13"/>
      <c r="FP391" s="13"/>
      <c r="FQ391" s="13"/>
      <c r="FR391" s="13"/>
      <c r="FS391" s="1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O392" s="2"/>
      <c r="DP392" s="2"/>
      <c r="DQ392" s="2"/>
      <c r="DY392" s="2"/>
      <c r="DZ392" s="2"/>
      <c r="EA392" s="2"/>
      <c r="EI392" s="2"/>
      <c r="EJ392" s="2"/>
      <c r="EK392" s="2"/>
      <c r="ES392" s="2"/>
      <c r="ET392" s="2"/>
      <c r="EU392" s="2"/>
      <c r="FC392" s="2"/>
      <c r="FD392" s="2"/>
      <c r="FE392" s="2"/>
      <c r="FJ392" s="13"/>
      <c r="FK392" s="13"/>
      <c r="FL392" s="13"/>
      <c r="FM392" s="13"/>
      <c r="FN392" s="13"/>
      <c r="FO392" s="13"/>
      <c r="FP392" s="13"/>
      <c r="FQ392" s="13"/>
      <c r="FR392" s="13"/>
      <c r="FS392" s="1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O393" s="2"/>
      <c r="DP393" s="2"/>
      <c r="DQ393" s="2"/>
      <c r="DY393" s="2"/>
      <c r="DZ393" s="2"/>
      <c r="EA393" s="2"/>
      <c r="EI393" s="2"/>
      <c r="EJ393" s="2"/>
      <c r="EK393" s="2"/>
      <c r="ES393" s="2"/>
      <c r="ET393" s="2"/>
      <c r="EU393" s="2"/>
      <c r="FC393" s="2"/>
      <c r="FD393" s="2"/>
      <c r="FE393" s="2"/>
      <c r="FJ393" s="13"/>
      <c r="FK393" s="13"/>
      <c r="FL393" s="13"/>
      <c r="FM393" s="13"/>
      <c r="FN393" s="13"/>
      <c r="FO393" s="13"/>
      <c r="FP393" s="13"/>
      <c r="FQ393" s="13"/>
      <c r="FR393" s="13"/>
      <c r="FS393" s="1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O394" s="2"/>
      <c r="DP394" s="2"/>
      <c r="DQ394" s="2"/>
      <c r="DY394" s="2"/>
      <c r="DZ394" s="2"/>
      <c r="EA394" s="2"/>
      <c r="EI394" s="2"/>
      <c r="EJ394" s="2"/>
      <c r="EK394" s="2"/>
      <c r="ES394" s="2"/>
      <c r="ET394" s="2"/>
      <c r="EU394" s="2"/>
      <c r="FC394" s="2"/>
      <c r="FD394" s="2"/>
      <c r="FE394" s="2"/>
      <c r="FJ394" s="13"/>
      <c r="FK394" s="13"/>
      <c r="FL394" s="13"/>
      <c r="FM394" s="13"/>
      <c r="FN394" s="13"/>
      <c r="FO394" s="13"/>
      <c r="FP394" s="13"/>
      <c r="FQ394" s="13"/>
      <c r="FR394" s="13"/>
      <c r="FS394" s="1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O395" s="2"/>
      <c r="DP395" s="2"/>
      <c r="DQ395" s="2"/>
      <c r="DY395" s="2"/>
      <c r="DZ395" s="2"/>
      <c r="EA395" s="2"/>
      <c r="EI395" s="2"/>
      <c r="EJ395" s="2"/>
      <c r="EK395" s="2"/>
      <c r="ES395" s="2"/>
      <c r="ET395" s="2"/>
      <c r="EU395" s="2"/>
      <c r="FC395" s="2"/>
      <c r="FD395" s="2"/>
      <c r="FE395" s="2"/>
      <c r="FJ395" s="13"/>
      <c r="FK395" s="13"/>
      <c r="FL395" s="13"/>
      <c r="FM395" s="13"/>
      <c r="FN395" s="13"/>
      <c r="FO395" s="13"/>
      <c r="FP395" s="13"/>
      <c r="FQ395" s="13"/>
      <c r="FR395" s="13"/>
      <c r="FS395" s="1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O396" s="2"/>
      <c r="DP396" s="2"/>
      <c r="DQ396" s="2"/>
      <c r="DY396" s="2"/>
      <c r="DZ396" s="2"/>
      <c r="EA396" s="2"/>
      <c r="EI396" s="2"/>
      <c r="EJ396" s="2"/>
      <c r="EK396" s="2"/>
      <c r="ES396" s="2"/>
      <c r="ET396" s="2"/>
      <c r="EU396" s="2"/>
      <c r="FC396" s="2"/>
      <c r="FD396" s="2"/>
      <c r="FE396" s="2"/>
      <c r="FJ396" s="13"/>
      <c r="FK396" s="13"/>
      <c r="FL396" s="13"/>
      <c r="FM396" s="13"/>
      <c r="FN396" s="13"/>
      <c r="FO396" s="13"/>
      <c r="FP396" s="13"/>
      <c r="FQ396" s="13"/>
      <c r="FR396" s="13"/>
      <c r="FS396" s="1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O397" s="2"/>
      <c r="DP397" s="2"/>
      <c r="DQ397" s="2"/>
      <c r="DY397" s="2"/>
      <c r="DZ397" s="2"/>
      <c r="EA397" s="2"/>
      <c r="EI397" s="2"/>
      <c r="EJ397" s="2"/>
      <c r="EK397" s="2"/>
      <c r="ES397" s="2"/>
      <c r="ET397" s="2"/>
      <c r="EU397" s="2"/>
      <c r="FC397" s="2"/>
      <c r="FD397" s="2"/>
      <c r="FE397" s="2"/>
      <c r="FJ397" s="13"/>
      <c r="FK397" s="13"/>
      <c r="FL397" s="13"/>
      <c r="FM397" s="13"/>
      <c r="FN397" s="13"/>
      <c r="FO397" s="13"/>
      <c r="FP397" s="13"/>
      <c r="FQ397" s="13"/>
      <c r="FR397" s="13"/>
      <c r="FS397" s="1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O398" s="2"/>
      <c r="DP398" s="2"/>
      <c r="DQ398" s="2"/>
      <c r="DY398" s="2"/>
      <c r="DZ398" s="2"/>
      <c r="EA398" s="2"/>
      <c r="EI398" s="2"/>
      <c r="EJ398" s="2"/>
      <c r="EK398" s="2"/>
      <c r="ES398" s="2"/>
      <c r="ET398" s="2"/>
      <c r="EU398" s="2"/>
      <c r="FC398" s="2"/>
      <c r="FD398" s="2"/>
      <c r="FE398" s="2"/>
      <c r="FJ398" s="13"/>
      <c r="FK398" s="13"/>
      <c r="FL398" s="13"/>
      <c r="FM398" s="13"/>
      <c r="FN398" s="13"/>
      <c r="FO398" s="13"/>
      <c r="FP398" s="13"/>
      <c r="FQ398" s="13"/>
      <c r="FR398" s="13"/>
      <c r="FS398" s="1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O399" s="2"/>
      <c r="DP399" s="2"/>
      <c r="DQ399" s="2"/>
      <c r="DY399" s="2"/>
      <c r="DZ399" s="2"/>
      <c r="EA399" s="2"/>
      <c r="EI399" s="2"/>
      <c r="EJ399" s="2"/>
      <c r="EK399" s="2"/>
      <c r="ES399" s="2"/>
      <c r="ET399" s="2"/>
      <c r="EU399" s="2"/>
      <c r="FC399" s="2"/>
      <c r="FD399" s="2"/>
      <c r="FE399" s="2"/>
      <c r="FJ399" s="13"/>
      <c r="FK399" s="13"/>
      <c r="FL399" s="13"/>
      <c r="FM399" s="13"/>
      <c r="FN399" s="13"/>
      <c r="FO399" s="13"/>
      <c r="FP399" s="13"/>
      <c r="FQ399" s="13"/>
      <c r="FR399" s="13"/>
      <c r="FS399" s="1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O400" s="2"/>
      <c r="DP400" s="2"/>
      <c r="DQ400" s="2"/>
      <c r="DY400" s="2"/>
      <c r="DZ400" s="2"/>
      <c r="EA400" s="2"/>
      <c r="EI400" s="2"/>
      <c r="EJ400" s="2"/>
      <c r="EK400" s="2"/>
      <c r="ES400" s="2"/>
      <c r="ET400" s="2"/>
      <c r="EU400" s="2"/>
      <c r="FC400" s="2"/>
      <c r="FD400" s="2"/>
      <c r="FE400" s="2"/>
      <c r="FJ400" s="13"/>
      <c r="FK400" s="13"/>
      <c r="FL400" s="13"/>
      <c r="FM400" s="13"/>
      <c r="FN400" s="13"/>
      <c r="FO400" s="13"/>
      <c r="FP400" s="13"/>
      <c r="FQ400" s="13"/>
      <c r="FR400" s="13"/>
      <c r="FS400" s="1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O401" s="2"/>
      <c r="DP401" s="2"/>
      <c r="DQ401" s="2"/>
      <c r="DY401" s="2"/>
      <c r="DZ401" s="2"/>
      <c r="EA401" s="2"/>
      <c r="EI401" s="2"/>
      <c r="EJ401" s="2"/>
      <c r="EK401" s="2"/>
      <c r="ES401" s="2"/>
      <c r="ET401" s="2"/>
      <c r="EU401" s="2"/>
      <c r="FC401" s="2"/>
      <c r="FD401" s="2"/>
      <c r="FE401" s="2"/>
      <c r="FJ401" s="13"/>
      <c r="FK401" s="13"/>
      <c r="FL401" s="13"/>
      <c r="FM401" s="13"/>
      <c r="FN401" s="13"/>
      <c r="FO401" s="13"/>
      <c r="FP401" s="13"/>
      <c r="FQ401" s="13"/>
      <c r="FR401" s="13"/>
      <c r="FS401" s="1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O402" s="2"/>
      <c r="DP402" s="2"/>
      <c r="DQ402" s="2"/>
      <c r="DY402" s="2"/>
      <c r="DZ402" s="2"/>
      <c r="EA402" s="2"/>
      <c r="EI402" s="2"/>
      <c r="EJ402" s="2"/>
      <c r="EK402" s="2"/>
      <c r="ES402" s="2"/>
      <c r="ET402" s="2"/>
      <c r="EU402" s="2"/>
      <c r="FC402" s="2"/>
      <c r="FD402" s="2"/>
      <c r="FE402" s="2"/>
      <c r="FJ402" s="13"/>
      <c r="FK402" s="13"/>
      <c r="FL402" s="13"/>
      <c r="FM402" s="13"/>
      <c r="FN402" s="13"/>
      <c r="FO402" s="13"/>
      <c r="FP402" s="13"/>
      <c r="FQ402" s="13"/>
      <c r="FR402" s="13"/>
      <c r="FS402" s="1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O403" s="2"/>
      <c r="DP403" s="2"/>
      <c r="DQ403" s="2"/>
      <c r="DY403" s="2"/>
      <c r="DZ403" s="2"/>
      <c r="EA403" s="2"/>
      <c r="EI403" s="2"/>
      <c r="EJ403" s="2"/>
      <c r="EK403" s="2"/>
      <c r="ES403" s="2"/>
      <c r="ET403" s="2"/>
      <c r="EU403" s="2"/>
      <c r="FC403" s="2"/>
      <c r="FD403" s="2"/>
      <c r="FE403" s="2"/>
      <c r="FJ403" s="13"/>
      <c r="FK403" s="13"/>
      <c r="FL403" s="13"/>
      <c r="FM403" s="13"/>
      <c r="FN403" s="13"/>
      <c r="FO403" s="13"/>
      <c r="FP403" s="13"/>
      <c r="FQ403" s="13"/>
      <c r="FR403" s="13"/>
      <c r="FS403" s="1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O404" s="2"/>
      <c r="DP404" s="2"/>
      <c r="DQ404" s="2"/>
      <c r="DY404" s="2"/>
      <c r="DZ404" s="2"/>
      <c r="EA404" s="2"/>
      <c r="EI404" s="2"/>
      <c r="EJ404" s="2"/>
      <c r="EK404" s="2"/>
      <c r="ES404" s="2"/>
      <c r="ET404" s="2"/>
      <c r="EU404" s="2"/>
      <c r="FC404" s="2"/>
      <c r="FD404" s="2"/>
      <c r="FE404" s="2"/>
      <c r="FJ404" s="13"/>
      <c r="FK404" s="13"/>
      <c r="FL404" s="13"/>
      <c r="FM404" s="13"/>
      <c r="FN404" s="13"/>
      <c r="FO404" s="13"/>
      <c r="FP404" s="13"/>
      <c r="FQ404" s="13"/>
      <c r="FR404" s="13"/>
      <c r="FS404" s="1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O405" s="2"/>
      <c r="DP405" s="2"/>
      <c r="DQ405" s="2"/>
      <c r="DY405" s="2"/>
      <c r="DZ405" s="2"/>
      <c r="EA405" s="2"/>
      <c r="EI405" s="2"/>
      <c r="EJ405" s="2"/>
      <c r="EK405" s="2"/>
      <c r="ES405" s="2"/>
      <c r="ET405" s="2"/>
      <c r="EU405" s="2"/>
      <c r="FC405" s="2"/>
      <c r="FD405" s="2"/>
      <c r="FE405" s="2"/>
      <c r="FJ405" s="13"/>
      <c r="FK405" s="13"/>
      <c r="FL405" s="13"/>
      <c r="FM405" s="13"/>
      <c r="FN405" s="13"/>
      <c r="FO405" s="13"/>
      <c r="FP405" s="13"/>
      <c r="FQ405" s="13"/>
      <c r="FR405" s="13"/>
      <c r="FS405" s="1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O406" s="2"/>
      <c r="DP406" s="2"/>
      <c r="DQ406" s="2"/>
      <c r="DY406" s="2"/>
      <c r="DZ406" s="2"/>
      <c r="EA406" s="2"/>
      <c r="EI406" s="2"/>
      <c r="EJ406" s="2"/>
      <c r="EK406" s="2"/>
      <c r="ES406" s="2"/>
      <c r="ET406" s="2"/>
      <c r="EU406" s="2"/>
      <c r="FC406" s="2"/>
      <c r="FD406" s="2"/>
      <c r="FE406" s="2"/>
      <c r="FJ406" s="13"/>
      <c r="FK406" s="13"/>
      <c r="FL406" s="13"/>
      <c r="FM406" s="13"/>
      <c r="FN406" s="13"/>
      <c r="FO406" s="13"/>
      <c r="FP406" s="13"/>
      <c r="FQ406" s="13"/>
      <c r="FR406" s="13"/>
      <c r="FS406" s="1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O407" s="2"/>
      <c r="DP407" s="2"/>
      <c r="DQ407" s="2"/>
      <c r="DY407" s="2"/>
      <c r="DZ407" s="2"/>
      <c r="EA407" s="2"/>
      <c r="EI407" s="2"/>
      <c r="EJ407" s="2"/>
      <c r="EK407" s="2"/>
      <c r="ES407" s="2"/>
      <c r="ET407" s="2"/>
      <c r="EU407" s="2"/>
      <c r="FC407" s="2"/>
      <c r="FD407" s="2"/>
      <c r="FE407" s="2"/>
      <c r="FJ407" s="13"/>
      <c r="FK407" s="13"/>
      <c r="FL407" s="13"/>
      <c r="FM407" s="13"/>
      <c r="FN407" s="13"/>
      <c r="FO407" s="13"/>
      <c r="FP407" s="13"/>
      <c r="FQ407" s="13"/>
      <c r="FR407" s="13"/>
      <c r="FS407" s="1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O408" s="2"/>
      <c r="DP408" s="2"/>
      <c r="DQ408" s="2"/>
      <c r="DY408" s="2"/>
      <c r="DZ408" s="2"/>
      <c r="EA408" s="2"/>
      <c r="EI408" s="2"/>
      <c r="EJ408" s="2"/>
      <c r="EK408" s="2"/>
      <c r="ES408" s="2"/>
      <c r="ET408" s="2"/>
      <c r="EU408" s="2"/>
      <c r="FC408" s="2"/>
      <c r="FD408" s="2"/>
      <c r="FE408" s="2"/>
      <c r="FJ408" s="13"/>
      <c r="FK408" s="13"/>
      <c r="FL408" s="13"/>
      <c r="FM408" s="13"/>
      <c r="FN408" s="13"/>
      <c r="FO408" s="13"/>
      <c r="FP408" s="13"/>
      <c r="FQ408" s="13"/>
      <c r="FR408" s="13"/>
      <c r="FS408" s="1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O409" s="2"/>
      <c r="DP409" s="2"/>
      <c r="DQ409" s="2"/>
      <c r="DY409" s="2"/>
      <c r="DZ409" s="2"/>
      <c r="EA409" s="2"/>
      <c r="EI409" s="2"/>
      <c r="EJ409" s="2"/>
      <c r="EK409" s="2"/>
      <c r="ES409" s="2"/>
      <c r="ET409" s="2"/>
      <c r="EU409" s="2"/>
      <c r="FC409" s="2"/>
      <c r="FD409" s="2"/>
      <c r="FE409" s="2"/>
      <c r="FJ409" s="13"/>
      <c r="FK409" s="13"/>
      <c r="FL409" s="13"/>
      <c r="FM409" s="13"/>
      <c r="FN409" s="13"/>
      <c r="FO409" s="13"/>
      <c r="FP409" s="13"/>
      <c r="FQ409" s="13"/>
      <c r="FR409" s="13"/>
      <c r="FS409" s="1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O410" s="2"/>
      <c r="DP410" s="2"/>
      <c r="DQ410" s="2"/>
      <c r="DY410" s="2"/>
      <c r="DZ410" s="2"/>
      <c r="EA410" s="2"/>
      <c r="EI410" s="2"/>
      <c r="EJ410" s="2"/>
      <c r="EK410" s="2"/>
      <c r="ES410" s="2"/>
      <c r="ET410" s="2"/>
      <c r="EU410" s="2"/>
      <c r="FC410" s="2"/>
      <c r="FD410" s="2"/>
      <c r="FE410" s="2"/>
      <c r="FJ410" s="13"/>
      <c r="FK410" s="13"/>
      <c r="FL410" s="13"/>
      <c r="FM410" s="13"/>
      <c r="FN410" s="13"/>
      <c r="FO410" s="13"/>
      <c r="FP410" s="13"/>
      <c r="FQ410" s="13"/>
      <c r="FR410" s="13"/>
      <c r="FS410" s="1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O411" s="2"/>
      <c r="DP411" s="2"/>
      <c r="DQ411" s="2"/>
      <c r="DY411" s="2"/>
      <c r="DZ411" s="2"/>
      <c r="EA411" s="2"/>
      <c r="EI411" s="2"/>
      <c r="EJ411" s="2"/>
      <c r="EK411" s="2"/>
      <c r="ES411" s="2"/>
      <c r="ET411" s="2"/>
      <c r="EU411" s="2"/>
      <c r="FC411" s="2"/>
      <c r="FD411" s="2"/>
      <c r="FE411" s="2"/>
      <c r="FJ411" s="13"/>
      <c r="FK411" s="13"/>
      <c r="FL411" s="13"/>
      <c r="FM411" s="13"/>
      <c r="FN411" s="13"/>
      <c r="FO411" s="13"/>
      <c r="FP411" s="13"/>
      <c r="FQ411" s="13"/>
      <c r="FR411" s="13"/>
      <c r="FS411" s="1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O412" s="2"/>
      <c r="DP412" s="2"/>
      <c r="DQ412" s="2"/>
      <c r="DY412" s="2"/>
      <c r="DZ412" s="2"/>
      <c r="EA412" s="2"/>
      <c r="EI412" s="2"/>
      <c r="EJ412" s="2"/>
      <c r="EK412" s="2"/>
      <c r="ES412" s="2"/>
      <c r="ET412" s="2"/>
      <c r="EU412" s="2"/>
      <c r="FC412" s="2"/>
      <c r="FD412" s="2"/>
      <c r="FE412" s="2"/>
      <c r="FJ412" s="13"/>
      <c r="FK412" s="13"/>
      <c r="FL412" s="13"/>
      <c r="FM412" s="13"/>
      <c r="FN412" s="13"/>
      <c r="FO412" s="13"/>
      <c r="FP412" s="13"/>
      <c r="FQ412" s="13"/>
      <c r="FR412" s="13"/>
      <c r="FS412" s="1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O413" s="2"/>
      <c r="DP413" s="2"/>
      <c r="DQ413" s="2"/>
      <c r="DY413" s="2"/>
      <c r="DZ413" s="2"/>
      <c r="EA413" s="2"/>
      <c r="EI413" s="2"/>
      <c r="EJ413" s="2"/>
      <c r="EK413" s="2"/>
      <c r="ES413" s="2"/>
      <c r="ET413" s="2"/>
      <c r="EU413" s="2"/>
      <c r="FC413" s="2"/>
      <c r="FD413" s="2"/>
      <c r="FE413" s="2"/>
      <c r="FJ413" s="13"/>
      <c r="FK413" s="13"/>
      <c r="FL413" s="13"/>
      <c r="FM413" s="13"/>
      <c r="FN413" s="13"/>
      <c r="FO413" s="13"/>
      <c r="FP413" s="13"/>
      <c r="FQ413" s="13"/>
      <c r="FR413" s="13"/>
      <c r="FS413" s="1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O414" s="2"/>
      <c r="DP414" s="2"/>
      <c r="DQ414" s="2"/>
      <c r="DY414" s="2"/>
      <c r="DZ414" s="2"/>
      <c r="EA414" s="2"/>
      <c r="EI414" s="2"/>
      <c r="EJ414" s="2"/>
      <c r="EK414" s="2"/>
      <c r="ES414" s="2"/>
      <c r="ET414" s="2"/>
      <c r="EU414" s="2"/>
      <c r="FC414" s="2"/>
      <c r="FD414" s="2"/>
      <c r="FE414" s="2"/>
      <c r="FJ414" s="13"/>
      <c r="FK414" s="13"/>
      <c r="FL414" s="13"/>
      <c r="FM414" s="13"/>
      <c r="FN414" s="13"/>
      <c r="FO414" s="13"/>
      <c r="FP414" s="13"/>
      <c r="FQ414" s="13"/>
      <c r="FR414" s="13"/>
      <c r="FS414" s="1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O415" s="2"/>
      <c r="DP415" s="2"/>
      <c r="DQ415" s="2"/>
      <c r="DY415" s="2"/>
      <c r="DZ415" s="2"/>
      <c r="EA415" s="2"/>
      <c r="EI415" s="2"/>
      <c r="EJ415" s="2"/>
      <c r="EK415" s="2"/>
      <c r="ES415" s="2"/>
      <c r="ET415" s="2"/>
      <c r="EU415" s="2"/>
      <c r="FC415" s="2"/>
      <c r="FD415" s="2"/>
      <c r="FE415" s="2"/>
      <c r="FJ415" s="13"/>
      <c r="FK415" s="13"/>
      <c r="FL415" s="13"/>
      <c r="FM415" s="13"/>
      <c r="FN415" s="13"/>
      <c r="FO415" s="13"/>
      <c r="FP415" s="13"/>
      <c r="FQ415" s="13"/>
      <c r="FR415" s="13"/>
      <c r="FS415" s="1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O416" s="2"/>
      <c r="DP416" s="2"/>
      <c r="DQ416" s="2"/>
      <c r="DY416" s="2"/>
      <c r="DZ416" s="2"/>
      <c r="EA416" s="2"/>
      <c r="EI416" s="2"/>
      <c r="EJ416" s="2"/>
      <c r="EK416" s="2"/>
      <c r="ES416" s="2"/>
      <c r="ET416" s="2"/>
      <c r="EU416" s="2"/>
      <c r="FC416" s="2"/>
      <c r="FD416" s="2"/>
      <c r="FE416" s="2"/>
      <c r="FJ416" s="13"/>
      <c r="FK416" s="13"/>
      <c r="FL416" s="13"/>
      <c r="FM416" s="13"/>
      <c r="FN416" s="13"/>
      <c r="FO416" s="13"/>
      <c r="FP416" s="13"/>
      <c r="FQ416" s="13"/>
      <c r="FR416" s="13"/>
      <c r="FS416" s="1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O417" s="2"/>
      <c r="DP417" s="2"/>
      <c r="DQ417" s="2"/>
      <c r="DY417" s="2"/>
      <c r="DZ417" s="2"/>
      <c r="EA417" s="2"/>
      <c r="EI417" s="2"/>
      <c r="EJ417" s="2"/>
      <c r="EK417" s="2"/>
      <c r="ES417" s="2"/>
      <c r="ET417" s="2"/>
      <c r="EU417" s="2"/>
      <c r="FC417" s="2"/>
      <c r="FD417" s="2"/>
      <c r="FE417" s="2"/>
      <c r="FJ417" s="13"/>
      <c r="FK417" s="13"/>
      <c r="FL417" s="13"/>
      <c r="FM417" s="13"/>
      <c r="FN417" s="13"/>
      <c r="FO417" s="13"/>
      <c r="FP417" s="13"/>
      <c r="FQ417" s="13"/>
      <c r="FR417" s="13"/>
      <c r="FS417" s="1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O418" s="2"/>
      <c r="DP418" s="2"/>
      <c r="DQ418" s="2"/>
      <c r="DY418" s="2"/>
      <c r="DZ418" s="2"/>
      <c r="EA418" s="2"/>
      <c r="EI418" s="2"/>
      <c r="EJ418" s="2"/>
      <c r="EK418" s="2"/>
      <c r="ES418" s="2"/>
      <c r="ET418" s="2"/>
      <c r="EU418" s="2"/>
      <c r="FC418" s="2"/>
      <c r="FD418" s="2"/>
      <c r="FE418" s="2"/>
      <c r="FJ418" s="13"/>
      <c r="FK418" s="13"/>
      <c r="FL418" s="13"/>
      <c r="FM418" s="13"/>
      <c r="FN418" s="13"/>
      <c r="FO418" s="13"/>
      <c r="FP418" s="13"/>
      <c r="FQ418" s="13"/>
      <c r="FR418" s="13"/>
      <c r="FS418" s="1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O419" s="2"/>
      <c r="DP419" s="2"/>
      <c r="DQ419" s="2"/>
      <c r="DY419" s="2"/>
      <c r="DZ419" s="2"/>
      <c r="EA419" s="2"/>
      <c r="EI419" s="2"/>
      <c r="EJ419" s="2"/>
      <c r="EK419" s="2"/>
      <c r="ES419" s="2"/>
      <c r="ET419" s="2"/>
      <c r="EU419" s="2"/>
      <c r="FC419" s="2"/>
      <c r="FD419" s="2"/>
      <c r="FE419" s="2"/>
      <c r="FJ419" s="13"/>
      <c r="FK419" s="13"/>
      <c r="FL419" s="13"/>
      <c r="FM419" s="13"/>
      <c r="FN419" s="13"/>
      <c r="FO419" s="13"/>
      <c r="FP419" s="13"/>
      <c r="FQ419" s="13"/>
      <c r="FR419" s="13"/>
      <c r="FS419" s="1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O420" s="2"/>
      <c r="DP420" s="2"/>
      <c r="DQ420" s="2"/>
      <c r="DY420" s="2"/>
      <c r="DZ420" s="2"/>
      <c r="EA420" s="2"/>
      <c r="EI420" s="2"/>
      <c r="EJ420" s="2"/>
      <c r="EK420" s="2"/>
      <c r="ES420" s="2"/>
      <c r="ET420" s="2"/>
      <c r="EU420" s="2"/>
      <c r="FC420" s="2"/>
      <c r="FD420" s="2"/>
      <c r="FE420" s="2"/>
      <c r="FJ420" s="13"/>
      <c r="FK420" s="13"/>
      <c r="FL420" s="13"/>
      <c r="FM420" s="13"/>
      <c r="FN420" s="13"/>
      <c r="FO420" s="13"/>
      <c r="FP420" s="13"/>
      <c r="FQ420" s="13"/>
      <c r="FR420" s="13"/>
      <c r="FS420" s="1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O421" s="2"/>
      <c r="DP421" s="2"/>
      <c r="DQ421" s="2"/>
      <c r="DY421" s="2"/>
      <c r="DZ421" s="2"/>
      <c r="EA421" s="2"/>
      <c r="EI421" s="2"/>
      <c r="EJ421" s="2"/>
      <c r="EK421" s="2"/>
      <c r="ES421" s="2"/>
      <c r="ET421" s="2"/>
      <c r="EU421" s="2"/>
      <c r="FC421" s="2"/>
      <c r="FD421" s="2"/>
      <c r="FE421" s="2"/>
      <c r="FJ421" s="13"/>
      <c r="FK421" s="13"/>
      <c r="FL421" s="13"/>
      <c r="FM421" s="13"/>
      <c r="FN421" s="13"/>
      <c r="FO421" s="13"/>
      <c r="FP421" s="13"/>
      <c r="FQ421" s="13"/>
      <c r="FR421" s="13"/>
      <c r="FS421" s="1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O422" s="2"/>
      <c r="DP422" s="2"/>
      <c r="DQ422" s="2"/>
      <c r="DY422" s="2"/>
      <c r="DZ422" s="2"/>
      <c r="EA422" s="2"/>
      <c r="EI422" s="2"/>
      <c r="EJ422" s="2"/>
      <c r="EK422" s="2"/>
      <c r="ES422" s="2"/>
      <c r="ET422" s="2"/>
      <c r="EU422" s="2"/>
      <c r="FC422" s="2"/>
      <c r="FD422" s="2"/>
      <c r="FE422" s="2"/>
      <c r="FJ422" s="13"/>
      <c r="FK422" s="13"/>
      <c r="FL422" s="13"/>
      <c r="FM422" s="13"/>
      <c r="FN422" s="13"/>
      <c r="FO422" s="13"/>
      <c r="FP422" s="13"/>
      <c r="FQ422" s="13"/>
      <c r="FR422" s="13"/>
      <c r="FS422" s="1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O423" s="2"/>
      <c r="DP423" s="2"/>
      <c r="DQ423" s="2"/>
      <c r="DY423" s="2"/>
      <c r="DZ423" s="2"/>
      <c r="EA423" s="2"/>
      <c r="EI423" s="2"/>
      <c r="EJ423" s="2"/>
      <c r="EK423" s="2"/>
      <c r="ES423" s="2"/>
      <c r="ET423" s="2"/>
      <c r="EU423" s="2"/>
      <c r="FC423" s="2"/>
      <c r="FD423" s="2"/>
      <c r="FE423" s="2"/>
      <c r="FJ423" s="13"/>
      <c r="FK423" s="13"/>
      <c r="FL423" s="13"/>
      <c r="FM423" s="13"/>
      <c r="FN423" s="13"/>
      <c r="FO423" s="13"/>
      <c r="FP423" s="13"/>
      <c r="FQ423" s="13"/>
      <c r="FR423" s="13"/>
      <c r="FS423" s="1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O424" s="2"/>
      <c r="DP424" s="2"/>
      <c r="DQ424" s="2"/>
      <c r="DY424" s="2"/>
      <c r="DZ424" s="2"/>
      <c r="EA424" s="2"/>
      <c r="EI424" s="2"/>
      <c r="EJ424" s="2"/>
      <c r="EK424" s="2"/>
      <c r="ES424" s="2"/>
      <c r="ET424" s="2"/>
      <c r="EU424" s="2"/>
      <c r="FC424" s="2"/>
      <c r="FD424" s="2"/>
      <c r="FE424" s="2"/>
      <c r="FJ424" s="13"/>
      <c r="FK424" s="13"/>
      <c r="FL424" s="13"/>
      <c r="FM424" s="13"/>
      <c r="FN424" s="13"/>
      <c r="FO424" s="13"/>
      <c r="FP424" s="13"/>
      <c r="FQ424" s="13"/>
      <c r="FR424" s="13"/>
      <c r="FS424" s="1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O425" s="2"/>
      <c r="DP425" s="2"/>
      <c r="DQ425" s="2"/>
      <c r="DY425" s="2"/>
      <c r="DZ425" s="2"/>
      <c r="EA425" s="2"/>
      <c r="EI425" s="2"/>
      <c r="EJ425" s="2"/>
      <c r="EK425" s="2"/>
      <c r="ES425" s="2"/>
      <c r="ET425" s="2"/>
      <c r="EU425" s="2"/>
      <c r="FC425" s="2"/>
      <c r="FD425" s="2"/>
      <c r="FE425" s="2"/>
      <c r="FJ425" s="13"/>
      <c r="FK425" s="13"/>
      <c r="FL425" s="13"/>
      <c r="FM425" s="13"/>
      <c r="FN425" s="13"/>
      <c r="FO425" s="13"/>
      <c r="FP425" s="13"/>
      <c r="FQ425" s="13"/>
      <c r="FR425" s="13"/>
      <c r="FS425" s="1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O426" s="2"/>
      <c r="DP426" s="2"/>
      <c r="DQ426" s="2"/>
      <c r="DY426" s="2"/>
      <c r="DZ426" s="2"/>
      <c r="EA426" s="2"/>
      <c r="EI426" s="2"/>
      <c r="EJ426" s="2"/>
      <c r="EK426" s="2"/>
      <c r="ES426" s="2"/>
      <c r="ET426" s="2"/>
      <c r="EU426" s="2"/>
      <c r="FC426" s="2"/>
      <c r="FD426" s="2"/>
      <c r="FE426" s="2"/>
      <c r="FJ426" s="13"/>
      <c r="FK426" s="13"/>
      <c r="FL426" s="13"/>
      <c r="FM426" s="13"/>
      <c r="FN426" s="13"/>
      <c r="FO426" s="13"/>
      <c r="FP426" s="13"/>
      <c r="FQ426" s="13"/>
      <c r="FR426" s="13"/>
      <c r="FS426" s="1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O427" s="2"/>
      <c r="DP427" s="2"/>
      <c r="DQ427" s="2"/>
      <c r="DY427" s="2"/>
      <c r="DZ427" s="2"/>
      <c r="EA427" s="2"/>
      <c r="EI427" s="2"/>
      <c r="EJ427" s="2"/>
      <c r="EK427" s="2"/>
      <c r="ES427" s="2"/>
      <c r="ET427" s="2"/>
      <c r="EU427" s="2"/>
      <c r="FC427" s="2"/>
      <c r="FD427" s="2"/>
      <c r="FE427" s="2"/>
      <c r="FJ427" s="13"/>
      <c r="FK427" s="13"/>
      <c r="FL427" s="13"/>
      <c r="FM427" s="13"/>
      <c r="FN427" s="13"/>
      <c r="FO427" s="13"/>
      <c r="FP427" s="13"/>
      <c r="FQ427" s="13"/>
      <c r="FR427" s="13"/>
      <c r="FS427" s="1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O428" s="2"/>
      <c r="DP428" s="2"/>
      <c r="DQ428" s="2"/>
      <c r="DY428" s="2"/>
      <c r="DZ428" s="2"/>
      <c r="EA428" s="2"/>
      <c r="EI428" s="2"/>
      <c r="EJ428" s="2"/>
      <c r="EK428" s="2"/>
      <c r="ES428" s="2"/>
      <c r="ET428" s="2"/>
      <c r="EU428" s="2"/>
      <c r="FC428" s="2"/>
      <c r="FD428" s="2"/>
      <c r="FE428" s="2"/>
      <c r="FJ428" s="13"/>
      <c r="FK428" s="13"/>
      <c r="FL428" s="13"/>
      <c r="FM428" s="13"/>
      <c r="FN428" s="13"/>
      <c r="FO428" s="13"/>
      <c r="FP428" s="13"/>
      <c r="FQ428" s="13"/>
      <c r="FR428" s="13"/>
      <c r="FS428" s="1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O429" s="2"/>
      <c r="DP429" s="2"/>
      <c r="DQ429" s="2"/>
      <c r="DY429" s="2"/>
      <c r="DZ429" s="2"/>
      <c r="EA429" s="2"/>
      <c r="EI429" s="2"/>
      <c r="EJ429" s="2"/>
      <c r="EK429" s="2"/>
      <c r="ES429" s="2"/>
      <c r="ET429" s="2"/>
      <c r="EU429" s="2"/>
      <c r="FC429" s="2"/>
      <c r="FD429" s="2"/>
      <c r="FE429" s="2"/>
      <c r="FJ429" s="13"/>
      <c r="FK429" s="13"/>
      <c r="FL429" s="13"/>
      <c r="FM429" s="13"/>
      <c r="FN429" s="13"/>
      <c r="FO429" s="13"/>
      <c r="FP429" s="13"/>
      <c r="FQ429" s="13"/>
      <c r="FR429" s="13"/>
      <c r="FS429" s="1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O430" s="2"/>
      <c r="DP430" s="2"/>
      <c r="DQ430" s="2"/>
      <c r="DY430" s="2"/>
      <c r="DZ430" s="2"/>
      <c r="EA430" s="2"/>
      <c r="EI430" s="2"/>
      <c r="EJ430" s="2"/>
      <c r="EK430" s="2"/>
      <c r="ES430" s="2"/>
      <c r="ET430" s="2"/>
      <c r="EU430" s="2"/>
      <c r="FC430" s="2"/>
      <c r="FD430" s="2"/>
      <c r="FE430" s="2"/>
      <c r="FJ430" s="13"/>
      <c r="FK430" s="13"/>
      <c r="FL430" s="13"/>
      <c r="FM430" s="13"/>
      <c r="FN430" s="13"/>
      <c r="FO430" s="13"/>
      <c r="FP430" s="13"/>
      <c r="FQ430" s="13"/>
      <c r="FR430" s="13"/>
      <c r="FS430" s="1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O431" s="2"/>
      <c r="DP431" s="2"/>
      <c r="DQ431" s="2"/>
      <c r="DY431" s="2"/>
      <c r="DZ431" s="2"/>
      <c r="EA431" s="2"/>
      <c r="EI431" s="2"/>
      <c r="EJ431" s="2"/>
      <c r="EK431" s="2"/>
      <c r="ES431" s="2"/>
      <c r="ET431" s="2"/>
      <c r="EU431" s="2"/>
      <c r="FC431" s="2"/>
      <c r="FD431" s="2"/>
      <c r="FE431" s="2"/>
      <c r="FJ431" s="13"/>
      <c r="FK431" s="13"/>
      <c r="FL431" s="13"/>
      <c r="FM431" s="13"/>
      <c r="FN431" s="13"/>
      <c r="FO431" s="13"/>
      <c r="FP431" s="13"/>
      <c r="FQ431" s="13"/>
      <c r="FR431" s="13"/>
      <c r="FS431" s="1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O432" s="2"/>
      <c r="DP432" s="2"/>
      <c r="DQ432" s="2"/>
      <c r="DY432" s="2"/>
      <c r="DZ432" s="2"/>
      <c r="EA432" s="2"/>
      <c r="EI432" s="2"/>
      <c r="EJ432" s="2"/>
      <c r="EK432" s="2"/>
      <c r="ES432" s="2"/>
      <c r="ET432" s="2"/>
      <c r="EU432" s="2"/>
      <c r="FC432" s="2"/>
      <c r="FD432" s="2"/>
      <c r="FE432" s="2"/>
      <c r="FJ432" s="13"/>
      <c r="FK432" s="13"/>
      <c r="FL432" s="13"/>
      <c r="FM432" s="13"/>
      <c r="FN432" s="13"/>
      <c r="FO432" s="13"/>
      <c r="FP432" s="13"/>
      <c r="FQ432" s="13"/>
      <c r="FR432" s="13"/>
      <c r="FS432" s="1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O433" s="2"/>
      <c r="DP433" s="2"/>
      <c r="DQ433" s="2"/>
      <c r="DY433" s="2"/>
      <c r="DZ433" s="2"/>
      <c r="EA433" s="2"/>
      <c r="EI433" s="2"/>
      <c r="EJ433" s="2"/>
      <c r="EK433" s="2"/>
      <c r="ES433" s="2"/>
      <c r="ET433" s="2"/>
      <c r="EU433" s="2"/>
      <c r="FC433" s="2"/>
      <c r="FD433" s="2"/>
      <c r="FE433" s="2"/>
      <c r="FJ433" s="13"/>
      <c r="FK433" s="13"/>
      <c r="FL433" s="13"/>
      <c r="FM433" s="13"/>
      <c r="FN433" s="13"/>
      <c r="FO433" s="13"/>
      <c r="FP433" s="13"/>
      <c r="FQ433" s="13"/>
      <c r="FR433" s="13"/>
      <c r="FS433" s="1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O434" s="2"/>
      <c r="DP434" s="2"/>
      <c r="DQ434" s="2"/>
      <c r="DY434" s="2"/>
      <c r="DZ434" s="2"/>
      <c r="EA434" s="2"/>
      <c r="EI434" s="2"/>
      <c r="EJ434" s="2"/>
      <c r="EK434" s="2"/>
      <c r="ES434" s="2"/>
      <c r="ET434" s="2"/>
      <c r="EU434" s="2"/>
      <c r="FC434" s="2"/>
      <c r="FD434" s="2"/>
      <c r="FE434" s="2"/>
      <c r="FJ434" s="13"/>
      <c r="FK434" s="13"/>
      <c r="FL434" s="13"/>
      <c r="FM434" s="13"/>
      <c r="FN434" s="13"/>
      <c r="FO434" s="13"/>
      <c r="FP434" s="13"/>
      <c r="FQ434" s="13"/>
      <c r="FR434" s="13"/>
      <c r="FS434" s="1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O435" s="2"/>
      <c r="DP435" s="2"/>
      <c r="DQ435" s="2"/>
      <c r="DY435" s="2"/>
      <c r="DZ435" s="2"/>
      <c r="EA435" s="2"/>
      <c r="EI435" s="2"/>
      <c r="EJ435" s="2"/>
      <c r="EK435" s="2"/>
      <c r="ES435" s="2"/>
      <c r="ET435" s="2"/>
      <c r="EU435" s="2"/>
      <c r="FC435" s="2"/>
      <c r="FD435" s="2"/>
      <c r="FE435" s="2"/>
      <c r="FJ435" s="13"/>
      <c r="FK435" s="13"/>
      <c r="FL435" s="13"/>
      <c r="FM435" s="13"/>
      <c r="FN435" s="13"/>
      <c r="FO435" s="13"/>
      <c r="FP435" s="13"/>
      <c r="FQ435" s="13"/>
      <c r="FR435" s="13"/>
      <c r="FS435" s="1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O436" s="2"/>
      <c r="DP436" s="2"/>
      <c r="DQ436" s="2"/>
      <c r="DY436" s="2"/>
      <c r="DZ436" s="2"/>
      <c r="EA436" s="2"/>
      <c r="EI436" s="2"/>
      <c r="EJ436" s="2"/>
      <c r="EK436" s="2"/>
      <c r="ES436" s="2"/>
      <c r="ET436" s="2"/>
      <c r="EU436" s="2"/>
      <c r="FC436" s="2"/>
      <c r="FD436" s="2"/>
      <c r="FE436" s="2"/>
      <c r="FJ436" s="13"/>
      <c r="FK436" s="13"/>
      <c r="FL436" s="13"/>
      <c r="FM436" s="13"/>
      <c r="FN436" s="13"/>
      <c r="FO436" s="13"/>
      <c r="FP436" s="13"/>
      <c r="FQ436" s="13"/>
      <c r="FR436" s="13"/>
      <c r="FS436" s="1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O437" s="2"/>
      <c r="DP437" s="2"/>
      <c r="DQ437" s="2"/>
      <c r="DY437" s="2"/>
      <c r="DZ437" s="2"/>
      <c r="EA437" s="2"/>
      <c r="EI437" s="2"/>
      <c r="EJ437" s="2"/>
      <c r="EK437" s="2"/>
      <c r="ES437" s="2"/>
      <c r="ET437" s="2"/>
      <c r="EU437" s="2"/>
      <c r="FC437" s="2"/>
      <c r="FD437" s="2"/>
      <c r="FE437" s="2"/>
      <c r="FJ437" s="13"/>
      <c r="FK437" s="13"/>
      <c r="FL437" s="13"/>
      <c r="FM437" s="13"/>
      <c r="FN437" s="13"/>
      <c r="FO437" s="13"/>
      <c r="FP437" s="13"/>
      <c r="FQ437" s="13"/>
      <c r="FR437" s="13"/>
      <c r="FS437" s="1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O438" s="2"/>
      <c r="DP438" s="2"/>
      <c r="DQ438" s="2"/>
      <c r="DY438" s="2"/>
      <c r="DZ438" s="2"/>
      <c r="EA438" s="2"/>
      <c r="EI438" s="2"/>
      <c r="EJ438" s="2"/>
      <c r="EK438" s="2"/>
      <c r="ES438" s="2"/>
      <c r="ET438" s="2"/>
      <c r="EU438" s="2"/>
      <c r="FC438" s="2"/>
      <c r="FD438" s="2"/>
      <c r="FE438" s="2"/>
      <c r="FJ438" s="13"/>
      <c r="FK438" s="13"/>
      <c r="FL438" s="13"/>
      <c r="FM438" s="13"/>
      <c r="FN438" s="13"/>
      <c r="FO438" s="13"/>
      <c r="FP438" s="13"/>
      <c r="FQ438" s="13"/>
      <c r="FR438" s="13"/>
      <c r="FS438" s="1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O439" s="2"/>
      <c r="DP439" s="2"/>
      <c r="DQ439" s="2"/>
      <c r="DY439" s="2"/>
      <c r="DZ439" s="2"/>
      <c r="EA439" s="2"/>
      <c r="EI439" s="2"/>
      <c r="EJ439" s="2"/>
      <c r="EK439" s="2"/>
      <c r="ES439" s="2"/>
      <c r="ET439" s="2"/>
      <c r="EU439" s="2"/>
      <c r="FC439" s="2"/>
      <c r="FD439" s="2"/>
      <c r="FE439" s="2"/>
      <c r="FJ439" s="13"/>
      <c r="FK439" s="13"/>
      <c r="FL439" s="13"/>
      <c r="FM439" s="13"/>
      <c r="FN439" s="13"/>
      <c r="FO439" s="13"/>
      <c r="FP439" s="13"/>
      <c r="FQ439" s="13"/>
      <c r="FR439" s="13"/>
      <c r="FS439" s="1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O440" s="2"/>
      <c r="DP440" s="2"/>
      <c r="DQ440" s="2"/>
      <c r="DY440" s="2"/>
      <c r="DZ440" s="2"/>
      <c r="EA440" s="2"/>
      <c r="EI440" s="2"/>
      <c r="EJ440" s="2"/>
      <c r="EK440" s="2"/>
      <c r="ES440" s="2"/>
      <c r="ET440" s="2"/>
      <c r="EU440" s="2"/>
      <c r="FC440" s="2"/>
      <c r="FD440" s="2"/>
      <c r="FE440" s="2"/>
      <c r="FJ440" s="13"/>
      <c r="FK440" s="13"/>
      <c r="FL440" s="13"/>
      <c r="FM440" s="13"/>
      <c r="FN440" s="13"/>
      <c r="FO440" s="13"/>
      <c r="FP440" s="13"/>
      <c r="FQ440" s="13"/>
      <c r="FR440" s="13"/>
      <c r="FS440" s="1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O441" s="2"/>
      <c r="DP441" s="2"/>
      <c r="DQ441" s="2"/>
      <c r="DY441" s="2"/>
      <c r="DZ441" s="2"/>
      <c r="EA441" s="2"/>
      <c r="EI441" s="2"/>
      <c r="EJ441" s="2"/>
      <c r="EK441" s="2"/>
      <c r="ES441" s="2"/>
      <c r="ET441" s="2"/>
      <c r="EU441" s="2"/>
      <c r="FC441" s="2"/>
      <c r="FD441" s="2"/>
      <c r="FE441" s="2"/>
      <c r="FJ441" s="13"/>
      <c r="FK441" s="13"/>
      <c r="FL441" s="13"/>
      <c r="FM441" s="13"/>
      <c r="FN441" s="13"/>
      <c r="FO441" s="13"/>
      <c r="FP441" s="13"/>
      <c r="FQ441" s="13"/>
      <c r="FR441" s="13"/>
      <c r="FS441" s="1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O442" s="2"/>
      <c r="DP442" s="2"/>
      <c r="DQ442" s="2"/>
      <c r="DY442" s="2"/>
      <c r="DZ442" s="2"/>
      <c r="EA442" s="2"/>
      <c r="EI442" s="2"/>
      <c r="EJ442" s="2"/>
      <c r="EK442" s="2"/>
      <c r="ES442" s="2"/>
      <c r="ET442" s="2"/>
      <c r="EU442" s="2"/>
      <c r="FC442" s="2"/>
      <c r="FD442" s="2"/>
      <c r="FE442" s="2"/>
      <c r="FJ442" s="13"/>
      <c r="FK442" s="13"/>
      <c r="FL442" s="13"/>
      <c r="FM442" s="13"/>
      <c r="FN442" s="13"/>
      <c r="FO442" s="13"/>
      <c r="FP442" s="13"/>
      <c r="FQ442" s="13"/>
      <c r="FR442" s="13"/>
      <c r="FS442" s="1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O443" s="2"/>
      <c r="DP443" s="2"/>
      <c r="DQ443" s="2"/>
      <c r="DY443" s="2"/>
      <c r="DZ443" s="2"/>
      <c r="EA443" s="2"/>
      <c r="EI443" s="2"/>
      <c r="EJ443" s="2"/>
      <c r="EK443" s="2"/>
      <c r="ES443" s="2"/>
      <c r="ET443" s="2"/>
      <c r="EU443" s="2"/>
      <c r="FC443" s="2"/>
      <c r="FD443" s="2"/>
      <c r="FE443" s="2"/>
      <c r="FJ443" s="13"/>
      <c r="FK443" s="13"/>
      <c r="FL443" s="13"/>
      <c r="FM443" s="13"/>
      <c r="FN443" s="13"/>
      <c r="FO443" s="13"/>
      <c r="FP443" s="13"/>
      <c r="FQ443" s="13"/>
      <c r="FR443" s="13"/>
      <c r="FS443" s="1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O444" s="2"/>
      <c r="DP444" s="2"/>
      <c r="DQ444" s="2"/>
      <c r="DY444" s="2"/>
      <c r="DZ444" s="2"/>
      <c r="EA444" s="2"/>
      <c r="EI444" s="2"/>
      <c r="EJ444" s="2"/>
      <c r="EK444" s="2"/>
      <c r="ES444" s="2"/>
      <c r="ET444" s="2"/>
      <c r="EU444" s="2"/>
      <c r="FC444" s="2"/>
      <c r="FD444" s="2"/>
      <c r="FE444" s="2"/>
      <c r="FJ444" s="13"/>
      <c r="FK444" s="13"/>
      <c r="FL444" s="13"/>
      <c r="FM444" s="13"/>
      <c r="FN444" s="13"/>
      <c r="FO444" s="13"/>
      <c r="FP444" s="13"/>
      <c r="FQ444" s="13"/>
      <c r="FR444" s="13"/>
      <c r="FS444" s="1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O445" s="2"/>
      <c r="DP445" s="2"/>
      <c r="DQ445" s="2"/>
      <c r="DY445" s="2"/>
      <c r="DZ445" s="2"/>
      <c r="EA445" s="2"/>
      <c r="EI445" s="2"/>
      <c r="EJ445" s="2"/>
      <c r="EK445" s="2"/>
      <c r="ES445" s="2"/>
      <c r="ET445" s="2"/>
      <c r="EU445" s="2"/>
      <c r="FC445" s="2"/>
      <c r="FD445" s="2"/>
      <c r="FE445" s="2"/>
      <c r="FJ445" s="13"/>
      <c r="FK445" s="13"/>
      <c r="FL445" s="13"/>
      <c r="FM445" s="13"/>
      <c r="FN445" s="13"/>
      <c r="FO445" s="13"/>
      <c r="FP445" s="13"/>
      <c r="FQ445" s="13"/>
      <c r="FR445" s="13"/>
      <c r="FS445" s="1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O446" s="2"/>
      <c r="DP446" s="2"/>
      <c r="DQ446" s="2"/>
      <c r="DY446" s="2"/>
      <c r="DZ446" s="2"/>
      <c r="EA446" s="2"/>
      <c r="EI446" s="2"/>
      <c r="EJ446" s="2"/>
      <c r="EK446" s="2"/>
      <c r="ES446" s="2"/>
      <c r="ET446" s="2"/>
      <c r="EU446" s="2"/>
      <c r="FC446" s="2"/>
      <c r="FD446" s="2"/>
      <c r="FE446" s="2"/>
      <c r="FJ446" s="13"/>
      <c r="FK446" s="13"/>
      <c r="FL446" s="13"/>
      <c r="FM446" s="13"/>
      <c r="FN446" s="13"/>
      <c r="FO446" s="13"/>
      <c r="FP446" s="13"/>
      <c r="FQ446" s="13"/>
      <c r="FR446" s="13"/>
      <c r="FS446" s="1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O447" s="2"/>
      <c r="DP447" s="2"/>
      <c r="DQ447" s="2"/>
      <c r="DY447" s="2"/>
      <c r="DZ447" s="2"/>
      <c r="EA447" s="2"/>
      <c r="EI447" s="2"/>
      <c r="EJ447" s="2"/>
      <c r="EK447" s="2"/>
      <c r="ES447" s="2"/>
      <c r="ET447" s="2"/>
      <c r="EU447" s="2"/>
      <c r="FC447" s="2"/>
      <c r="FD447" s="2"/>
      <c r="FE447" s="2"/>
      <c r="FJ447" s="13"/>
      <c r="FK447" s="13"/>
      <c r="FL447" s="13"/>
      <c r="FM447" s="13"/>
      <c r="FN447" s="13"/>
      <c r="FO447" s="13"/>
      <c r="FP447" s="13"/>
      <c r="FQ447" s="13"/>
      <c r="FR447" s="13"/>
      <c r="FS447" s="1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O448" s="2"/>
      <c r="DP448" s="2"/>
      <c r="DQ448" s="2"/>
      <c r="DY448" s="2"/>
      <c r="DZ448" s="2"/>
      <c r="EA448" s="2"/>
      <c r="EI448" s="2"/>
      <c r="EJ448" s="2"/>
      <c r="EK448" s="2"/>
      <c r="ES448" s="2"/>
      <c r="ET448" s="2"/>
      <c r="EU448" s="2"/>
      <c r="FC448" s="2"/>
      <c r="FD448" s="2"/>
      <c r="FE448" s="2"/>
      <c r="FJ448" s="13"/>
      <c r="FK448" s="13"/>
      <c r="FL448" s="13"/>
      <c r="FM448" s="13"/>
      <c r="FN448" s="13"/>
      <c r="FO448" s="13"/>
      <c r="FP448" s="13"/>
      <c r="FQ448" s="13"/>
      <c r="FR448" s="13"/>
      <c r="FS448" s="1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O449" s="2"/>
      <c r="DP449" s="2"/>
      <c r="DQ449" s="2"/>
      <c r="DY449" s="2"/>
      <c r="DZ449" s="2"/>
      <c r="EA449" s="2"/>
      <c r="EI449" s="2"/>
      <c r="EJ449" s="2"/>
      <c r="EK449" s="2"/>
      <c r="ES449" s="2"/>
      <c r="ET449" s="2"/>
      <c r="EU449" s="2"/>
      <c r="FC449" s="2"/>
      <c r="FD449" s="2"/>
      <c r="FE449" s="2"/>
      <c r="FJ449" s="13"/>
      <c r="FK449" s="13"/>
      <c r="FL449" s="13"/>
      <c r="FM449" s="13"/>
      <c r="FN449" s="13"/>
      <c r="FO449" s="13"/>
      <c r="FP449" s="13"/>
      <c r="FQ449" s="13"/>
      <c r="FR449" s="13"/>
      <c r="FS449" s="1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O450" s="2"/>
      <c r="DP450" s="2"/>
      <c r="DQ450" s="2"/>
      <c r="DY450" s="2"/>
      <c r="DZ450" s="2"/>
      <c r="EA450" s="2"/>
      <c r="EI450" s="2"/>
      <c r="EJ450" s="2"/>
      <c r="EK450" s="2"/>
      <c r="ES450" s="2"/>
      <c r="ET450" s="2"/>
      <c r="EU450" s="2"/>
      <c r="FC450" s="2"/>
      <c r="FD450" s="2"/>
      <c r="FE450" s="2"/>
      <c r="FJ450" s="13"/>
      <c r="FK450" s="13"/>
      <c r="FL450" s="13"/>
      <c r="FM450" s="13"/>
      <c r="FN450" s="13"/>
      <c r="FO450" s="13"/>
      <c r="FP450" s="13"/>
      <c r="FQ450" s="13"/>
      <c r="FR450" s="13"/>
      <c r="FS450" s="1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O451" s="2"/>
      <c r="DP451" s="2"/>
      <c r="DQ451" s="2"/>
      <c r="DY451" s="2"/>
      <c r="DZ451" s="2"/>
      <c r="EA451" s="2"/>
      <c r="EI451" s="2"/>
      <c r="EJ451" s="2"/>
      <c r="EK451" s="2"/>
      <c r="ES451" s="2"/>
      <c r="ET451" s="2"/>
      <c r="EU451" s="2"/>
      <c r="FC451" s="2"/>
      <c r="FD451" s="2"/>
      <c r="FE451" s="2"/>
      <c r="FJ451" s="13"/>
      <c r="FK451" s="13"/>
      <c r="FL451" s="13"/>
      <c r="FM451" s="13"/>
      <c r="FN451" s="13"/>
      <c r="FO451" s="13"/>
      <c r="FP451" s="13"/>
      <c r="FQ451" s="13"/>
      <c r="FR451" s="13"/>
      <c r="FS451" s="1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O452" s="2"/>
      <c r="DP452" s="2"/>
      <c r="DQ452" s="2"/>
      <c r="DY452" s="2"/>
      <c r="DZ452" s="2"/>
      <c r="EA452" s="2"/>
      <c r="EI452" s="2"/>
      <c r="EJ452" s="2"/>
      <c r="EK452" s="2"/>
      <c r="ES452" s="2"/>
      <c r="ET452" s="2"/>
      <c r="EU452" s="2"/>
      <c r="FC452" s="2"/>
      <c r="FD452" s="2"/>
      <c r="FE452" s="2"/>
      <c r="FJ452" s="13"/>
      <c r="FK452" s="13"/>
      <c r="FL452" s="13"/>
      <c r="FM452" s="13"/>
      <c r="FN452" s="13"/>
      <c r="FO452" s="13"/>
      <c r="FP452" s="13"/>
      <c r="FQ452" s="13"/>
      <c r="FR452" s="13"/>
      <c r="FS452" s="1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O453" s="2"/>
      <c r="DP453" s="2"/>
      <c r="DQ453" s="2"/>
      <c r="DY453" s="2"/>
      <c r="DZ453" s="2"/>
      <c r="EA453" s="2"/>
      <c r="EI453" s="2"/>
      <c r="EJ453" s="2"/>
      <c r="EK453" s="2"/>
      <c r="ES453" s="2"/>
      <c r="ET453" s="2"/>
      <c r="EU453" s="2"/>
      <c r="FC453" s="2"/>
      <c r="FD453" s="2"/>
      <c r="FE453" s="2"/>
      <c r="FJ453" s="13"/>
      <c r="FK453" s="13"/>
      <c r="FL453" s="13"/>
      <c r="FM453" s="13"/>
      <c r="FN453" s="13"/>
      <c r="FO453" s="13"/>
      <c r="FP453" s="13"/>
      <c r="FQ453" s="13"/>
      <c r="FR453" s="13"/>
      <c r="FS453" s="1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O454" s="2"/>
      <c r="DP454" s="2"/>
      <c r="DQ454" s="2"/>
      <c r="DY454" s="2"/>
      <c r="DZ454" s="2"/>
      <c r="EA454" s="2"/>
      <c r="EI454" s="2"/>
      <c r="EJ454" s="2"/>
      <c r="EK454" s="2"/>
      <c r="ES454" s="2"/>
      <c r="ET454" s="2"/>
      <c r="EU454" s="2"/>
      <c r="FC454" s="2"/>
      <c r="FD454" s="2"/>
      <c r="FE454" s="2"/>
      <c r="FJ454" s="13"/>
      <c r="FK454" s="13"/>
      <c r="FL454" s="13"/>
      <c r="FM454" s="13"/>
      <c r="FN454" s="13"/>
      <c r="FO454" s="13"/>
      <c r="FP454" s="13"/>
      <c r="FQ454" s="13"/>
      <c r="FR454" s="13"/>
      <c r="FS454" s="1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O455" s="2"/>
      <c r="DP455" s="2"/>
      <c r="DQ455" s="2"/>
      <c r="DY455" s="2"/>
      <c r="DZ455" s="2"/>
      <c r="EA455" s="2"/>
      <c r="EI455" s="2"/>
      <c r="EJ455" s="2"/>
      <c r="EK455" s="2"/>
      <c r="ES455" s="2"/>
      <c r="ET455" s="2"/>
      <c r="EU455" s="2"/>
      <c r="FC455" s="2"/>
      <c r="FD455" s="2"/>
      <c r="FE455" s="2"/>
      <c r="FJ455" s="13"/>
      <c r="FK455" s="13"/>
      <c r="FL455" s="13"/>
      <c r="FM455" s="13"/>
      <c r="FN455" s="13"/>
      <c r="FO455" s="13"/>
      <c r="FP455" s="13"/>
      <c r="FQ455" s="13"/>
      <c r="FR455" s="13"/>
      <c r="FS455" s="1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O456" s="2"/>
      <c r="DP456" s="2"/>
      <c r="DQ456" s="2"/>
      <c r="DY456" s="2"/>
      <c r="DZ456" s="2"/>
      <c r="EA456" s="2"/>
      <c r="EI456" s="2"/>
      <c r="EJ456" s="2"/>
      <c r="EK456" s="2"/>
      <c r="ES456" s="2"/>
      <c r="ET456" s="2"/>
      <c r="EU456" s="2"/>
      <c r="FC456" s="2"/>
      <c r="FD456" s="2"/>
      <c r="FE456" s="2"/>
      <c r="FJ456" s="13"/>
      <c r="FK456" s="13"/>
      <c r="FL456" s="13"/>
      <c r="FM456" s="13"/>
      <c r="FN456" s="13"/>
      <c r="FO456" s="13"/>
      <c r="FP456" s="13"/>
      <c r="FQ456" s="13"/>
      <c r="FR456" s="13"/>
      <c r="FS456" s="1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O457" s="2"/>
      <c r="DP457" s="2"/>
      <c r="DQ457" s="2"/>
      <c r="DY457" s="2"/>
      <c r="DZ457" s="2"/>
      <c r="EA457" s="2"/>
      <c r="EI457" s="2"/>
      <c r="EJ457" s="2"/>
      <c r="EK457" s="2"/>
      <c r="ES457" s="2"/>
      <c r="ET457" s="2"/>
      <c r="EU457" s="2"/>
      <c r="FC457" s="2"/>
      <c r="FD457" s="2"/>
      <c r="FE457" s="2"/>
      <c r="FJ457" s="13"/>
      <c r="FK457" s="13"/>
      <c r="FL457" s="13"/>
      <c r="FM457" s="13"/>
      <c r="FN457" s="13"/>
      <c r="FO457" s="13"/>
      <c r="FP457" s="13"/>
      <c r="FQ457" s="13"/>
      <c r="FR457" s="13"/>
      <c r="FS457" s="1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O458" s="2"/>
      <c r="DP458" s="2"/>
      <c r="DQ458" s="2"/>
      <c r="DY458" s="2"/>
      <c r="DZ458" s="2"/>
      <c r="EA458" s="2"/>
      <c r="EI458" s="2"/>
      <c r="EJ458" s="2"/>
      <c r="EK458" s="2"/>
      <c r="ES458" s="2"/>
      <c r="ET458" s="2"/>
      <c r="EU458" s="2"/>
      <c r="FC458" s="2"/>
      <c r="FD458" s="2"/>
      <c r="FE458" s="2"/>
      <c r="FJ458" s="13"/>
      <c r="FK458" s="13"/>
      <c r="FL458" s="13"/>
      <c r="FM458" s="13"/>
      <c r="FN458" s="13"/>
      <c r="FO458" s="13"/>
      <c r="FP458" s="13"/>
      <c r="FQ458" s="13"/>
      <c r="FR458" s="13"/>
      <c r="FS458" s="1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O459" s="2"/>
      <c r="DP459" s="2"/>
      <c r="DQ459" s="2"/>
      <c r="DY459" s="2"/>
      <c r="DZ459" s="2"/>
      <c r="EA459" s="2"/>
      <c r="EI459" s="2"/>
      <c r="EJ459" s="2"/>
      <c r="EK459" s="2"/>
      <c r="ES459" s="2"/>
      <c r="ET459" s="2"/>
      <c r="EU459" s="2"/>
      <c r="FC459" s="2"/>
      <c r="FD459" s="2"/>
      <c r="FE459" s="2"/>
      <c r="FJ459" s="13"/>
      <c r="FK459" s="13"/>
      <c r="FL459" s="13"/>
      <c r="FM459" s="13"/>
      <c r="FN459" s="13"/>
      <c r="FO459" s="13"/>
      <c r="FP459" s="13"/>
      <c r="FQ459" s="13"/>
      <c r="FR459" s="13"/>
      <c r="FS459" s="1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O460" s="2"/>
      <c r="DP460" s="2"/>
      <c r="DQ460" s="2"/>
      <c r="DY460" s="2"/>
      <c r="DZ460" s="2"/>
      <c r="EA460" s="2"/>
      <c r="EI460" s="2"/>
      <c r="EJ460" s="2"/>
      <c r="EK460" s="2"/>
      <c r="ES460" s="2"/>
      <c r="ET460" s="2"/>
      <c r="EU460" s="2"/>
      <c r="FC460" s="2"/>
      <c r="FD460" s="2"/>
      <c r="FE460" s="2"/>
      <c r="FJ460" s="13"/>
      <c r="FK460" s="13"/>
      <c r="FL460" s="13"/>
      <c r="FM460" s="13"/>
      <c r="FN460" s="13"/>
      <c r="FO460" s="13"/>
      <c r="FP460" s="13"/>
      <c r="FQ460" s="13"/>
      <c r="FR460" s="13"/>
      <c r="FS460" s="1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O461" s="2"/>
      <c r="DP461" s="2"/>
      <c r="DQ461" s="2"/>
      <c r="DY461" s="2"/>
      <c r="DZ461" s="2"/>
      <c r="EA461" s="2"/>
      <c r="EI461" s="2"/>
      <c r="EJ461" s="2"/>
      <c r="EK461" s="2"/>
      <c r="ES461" s="2"/>
      <c r="ET461" s="2"/>
      <c r="EU461" s="2"/>
      <c r="FC461" s="2"/>
      <c r="FD461" s="2"/>
      <c r="FE461" s="2"/>
      <c r="FJ461" s="13"/>
      <c r="FK461" s="13"/>
      <c r="FL461" s="13"/>
      <c r="FM461" s="13"/>
      <c r="FN461" s="13"/>
      <c r="FO461" s="13"/>
      <c r="FP461" s="13"/>
      <c r="FQ461" s="13"/>
      <c r="FR461" s="13"/>
      <c r="FS461" s="1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O462" s="2"/>
      <c r="DP462" s="2"/>
      <c r="DQ462" s="2"/>
      <c r="DY462" s="2"/>
      <c r="DZ462" s="2"/>
      <c r="EA462" s="2"/>
      <c r="EI462" s="2"/>
      <c r="EJ462" s="2"/>
      <c r="EK462" s="2"/>
      <c r="ES462" s="2"/>
      <c r="ET462" s="2"/>
      <c r="EU462" s="2"/>
      <c r="FC462" s="2"/>
      <c r="FD462" s="2"/>
      <c r="FE462" s="2"/>
      <c r="FJ462" s="13"/>
      <c r="FK462" s="13"/>
      <c r="FL462" s="13"/>
      <c r="FM462" s="13"/>
      <c r="FN462" s="13"/>
      <c r="FO462" s="13"/>
      <c r="FP462" s="13"/>
      <c r="FQ462" s="13"/>
      <c r="FR462" s="13"/>
      <c r="FS462" s="1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O463" s="2"/>
      <c r="DP463" s="2"/>
      <c r="DQ463" s="2"/>
      <c r="DY463" s="2"/>
      <c r="DZ463" s="2"/>
      <c r="EA463" s="2"/>
      <c r="EI463" s="2"/>
      <c r="EJ463" s="2"/>
      <c r="EK463" s="2"/>
      <c r="ES463" s="2"/>
      <c r="ET463" s="2"/>
      <c r="EU463" s="2"/>
      <c r="FC463" s="2"/>
      <c r="FD463" s="2"/>
      <c r="FE463" s="2"/>
      <c r="FJ463" s="13"/>
      <c r="FK463" s="13"/>
      <c r="FL463" s="13"/>
      <c r="FM463" s="13"/>
      <c r="FN463" s="13"/>
      <c r="FO463" s="13"/>
      <c r="FP463" s="13"/>
      <c r="FQ463" s="13"/>
      <c r="FR463" s="13"/>
      <c r="FS463" s="1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O464" s="2"/>
      <c r="DP464" s="2"/>
      <c r="DQ464" s="2"/>
      <c r="DY464" s="2"/>
      <c r="DZ464" s="2"/>
      <c r="EA464" s="2"/>
      <c r="EI464" s="2"/>
      <c r="EJ464" s="2"/>
      <c r="EK464" s="2"/>
      <c r="ES464" s="2"/>
      <c r="ET464" s="2"/>
      <c r="EU464" s="2"/>
      <c r="FC464" s="2"/>
      <c r="FD464" s="2"/>
      <c r="FE464" s="2"/>
      <c r="FJ464" s="13"/>
      <c r="FK464" s="13"/>
      <c r="FL464" s="13"/>
      <c r="FM464" s="13"/>
      <c r="FN464" s="13"/>
      <c r="FO464" s="13"/>
      <c r="FP464" s="13"/>
      <c r="FQ464" s="13"/>
      <c r="FR464" s="13"/>
      <c r="FS464" s="1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O465" s="2"/>
      <c r="DP465" s="2"/>
      <c r="DQ465" s="2"/>
      <c r="DY465" s="2"/>
      <c r="DZ465" s="2"/>
      <c r="EA465" s="2"/>
      <c r="EI465" s="2"/>
      <c r="EJ465" s="2"/>
      <c r="EK465" s="2"/>
      <c r="ES465" s="2"/>
      <c r="ET465" s="2"/>
      <c r="EU465" s="2"/>
      <c r="FC465" s="2"/>
      <c r="FD465" s="2"/>
      <c r="FE465" s="2"/>
      <c r="FJ465" s="13"/>
      <c r="FK465" s="13"/>
      <c r="FL465" s="13"/>
      <c r="FM465" s="13"/>
      <c r="FN465" s="13"/>
      <c r="FO465" s="13"/>
      <c r="FP465" s="13"/>
      <c r="FQ465" s="13"/>
      <c r="FR465" s="13"/>
      <c r="FS465" s="1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O466" s="2"/>
      <c r="DP466" s="2"/>
      <c r="DQ466" s="2"/>
      <c r="DY466" s="2"/>
      <c r="DZ466" s="2"/>
      <c r="EA466" s="2"/>
      <c r="EI466" s="2"/>
      <c r="EJ466" s="2"/>
      <c r="EK466" s="2"/>
      <c r="ES466" s="2"/>
      <c r="ET466" s="2"/>
      <c r="EU466" s="2"/>
      <c r="FC466" s="2"/>
      <c r="FD466" s="2"/>
      <c r="FE466" s="2"/>
      <c r="FJ466" s="13"/>
      <c r="FK466" s="13"/>
      <c r="FL466" s="13"/>
      <c r="FM466" s="13"/>
      <c r="FN466" s="13"/>
      <c r="FO466" s="13"/>
      <c r="FP466" s="13"/>
      <c r="FQ466" s="13"/>
      <c r="FR466" s="13"/>
      <c r="FS466" s="1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O467" s="2"/>
      <c r="DP467" s="2"/>
      <c r="DQ467" s="2"/>
      <c r="DY467" s="2"/>
      <c r="DZ467" s="2"/>
      <c r="EA467" s="2"/>
      <c r="EI467" s="2"/>
      <c r="EJ467" s="2"/>
      <c r="EK467" s="2"/>
      <c r="ES467" s="2"/>
      <c r="ET467" s="2"/>
      <c r="EU467" s="2"/>
      <c r="FC467" s="2"/>
      <c r="FD467" s="2"/>
      <c r="FE467" s="2"/>
      <c r="FJ467" s="13"/>
      <c r="FK467" s="13"/>
      <c r="FL467" s="13"/>
      <c r="FM467" s="13"/>
      <c r="FN467" s="13"/>
      <c r="FO467" s="13"/>
      <c r="FP467" s="13"/>
      <c r="FQ467" s="13"/>
      <c r="FR467" s="13"/>
      <c r="FS467" s="1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O468" s="2"/>
      <c r="DP468" s="2"/>
      <c r="DQ468" s="2"/>
      <c r="DY468" s="2"/>
      <c r="DZ468" s="2"/>
      <c r="EA468" s="2"/>
      <c r="EI468" s="2"/>
      <c r="EJ468" s="2"/>
      <c r="EK468" s="2"/>
      <c r="ES468" s="2"/>
      <c r="ET468" s="2"/>
      <c r="EU468" s="2"/>
      <c r="FC468" s="2"/>
      <c r="FD468" s="2"/>
      <c r="FE468" s="2"/>
      <c r="FJ468" s="13"/>
      <c r="FK468" s="13"/>
      <c r="FL468" s="13"/>
      <c r="FM468" s="13"/>
      <c r="FN468" s="13"/>
      <c r="FO468" s="13"/>
      <c r="FP468" s="13"/>
      <c r="FQ468" s="13"/>
      <c r="FR468" s="13"/>
      <c r="FS468" s="1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O469" s="2"/>
      <c r="DP469" s="2"/>
      <c r="DQ469" s="2"/>
      <c r="DY469" s="2"/>
      <c r="DZ469" s="2"/>
      <c r="EA469" s="2"/>
      <c r="EI469" s="2"/>
      <c r="EJ469" s="2"/>
      <c r="EK469" s="2"/>
      <c r="ES469" s="2"/>
      <c r="ET469" s="2"/>
      <c r="EU469" s="2"/>
      <c r="FC469" s="2"/>
      <c r="FD469" s="2"/>
      <c r="FE469" s="2"/>
      <c r="FJ469" s="13"/>
      <c r="FK469" s="13"/>
      <c r="FL469" s="13"/>
      <c r="FM469" s="13"/>
      <c r="FN469" s="13"/>
      <c r="FO469" s="13"/>
      <c r="FP469" s="13"/>
      <c r="FQ469" s="13"/>
      <c r="FR469" s="13"/>
      <c r="FS469" s="1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O470" s="2"/>
      <c r="DP470" s="2"/>
      <c r="DQ470" s="2"/>
      <c r="DY470" s="2"/>
      <c r="DZ470" s="2"/>
      <c r="EA470" s="2"/>
      <c r="EI470" s="2"/>
      <c r="EJ470" s="2"/>
      <c r="EK470" s="2"/>
      <c r="ES470" s="2"/>
      <c r="ET470" s="2"/>
      <c r="EU470" s="2"/>
      <c r="FC470" s="2"/>
      <c r="FD470" s="2"/>
      <c r="FE470" s="2"/>
      <c r="FJ470" s="13"/>
      <c r="FK470" s="13"/>
      <c r="FL470" s="13"/>
      <c r="FM470" s="13"/>
      <c r="FN470" s="13"/>
      <c r="FO470" s="13"/>
      <c r="FP470" s="13"/>
      <c r="FQ470" s="13"/>
      <c r="FR470" s="13"/>
      <c r="FS470" s="1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O471" s="2"/>
      <c r="DP471" s="2"/>
      <c r="DQ471" s="2"/>
      <c r="DY471" s="2"/>
      <c r="DZ471" s="2"/>
      <c r="EA471" s="2"/>
      <c r="EI471" s="2"/>
      <c r="EJ471" s="2"/>
      <c r="EK471" s="2"/>
      <c r="ES471" s="2"/>
      <c r="ET471" s="2"/>
      <c r="EU471" s="2"/>
      <c r="FC471" s="2"/>
      <c r="FD471" s="2"/>
      <c r="FE471" s="2"/>
      <c r="FJ471" s="13"/>
      <c r="FK471" s="13"/>
      <c r="FL471" s="13"/>
      <c r="FM471" s="13"/>
      <c r="FN471" s="13"/>
      <c r="FO471" s="13"/>
      <c r="FP471" s="13"/>
      <c r="FQ471" s="13"/>
      <c r="FR471" s="13"/>
      <c r="FS471" s="1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O472" s="2"/>
      <c r="DP472" s="2"/>
      <c r="DQ472" s="2"/>
      <c r="DY472" s="2"/>
      <c r="DZ472" s="2"/>
      <c r="EA472" s="2"/>
      <c r="EI472" s="2"/>
      <c r="EJ472" s="2"/>
      <c r="EK472" s="2"/>
      <c r="ES472" s="2"/>
      <c r="ET472" s="2"/>
      <c r="EU472" s="2"/>
      <c r="FC472" s="2"/>
      <c r="FD472" s="2"/>
      <c r="FE472" s="2"/>
      <c r="FJ472" s="13"/>
      <c r="FK472" s="13"/>
      <c r="FL472" s="13"/>
      <c r="FM472" s="13"/>
      <c r="FN472" s="13"/>
      <c r="FO472" s="13"/>
      <c r="FP472" s="13"/>
      <c r="FQ472" s="13"/>
      <c r="FR472" s="13"/>
      <c r="FS472" s="1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O473" s="2"/>
      <c r="DP473" s="2"/>
      <c r="DQ473" s="2"/>
      <c r="DY473" s="2"/>
      <c r="DZ473" s="2"/>
      <c r="EA473" s="2"/>
      <c r="EI473" s="2"/>
      <c r="EJ473" s="2"/>
      <c r="EK473" s="2"/>
      <c r="ES473" s="2"/>
      <c r="ET473" s="2"/>
      <c r="EU473" s="2"/>
      <c r="FC473" s="2"/>
      <c r="FD473" s="2"/>
      <c r="FE473" s="2"/>
      <c r="FJ473" s="13"/>
      <c r="FK473" s="13"/>
      <c r="FL473" s="13"/>
      <c r="FM473" s="13"/>
      <c r="FN473" s="13"/>
      <c r="FO473" s="13"/>
      <c r="FP473" s="13"/>
      <c r="FQ473" s="13"/>
      <c r="FR473" s="13"/>
      <c r="FS473" s="1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O474" s="2"/>
      <c r="DP474" s="2"/>
      <c r="DQ474" s="2"/>
      <c r="DY474" s="2"/>
      <c r="DZ474" s="2"/>
      <c r="EA474" s="2"/>
      <c r="EI474" s="2"/>
      <c r="EJ474" s="2"/>
      <c r="EK474" s="2"/>
      <c r="ES474" s="2"/>
      <c r="ET474" s="2"/>
      <c r="EU474" s="2"/>
      <c r="FC474" s="2"/>
      <c r="FD474" s="2"/>
      <c r="FE474" s="2"/>
      <c r="FJ474" s="13"/>
      <c r="FK474" s="13"/>
      <c r="FL474" s="13"/>
      <c r="FM474" s="13"/>
      <c r="FN474" s="13"/>
      <c r="FO474" s="13"/>
      <c r="FP474" s="13"/>
      <c r="FQ474" s="13"/>
      <c r="FR474" s="13"/>
      <c r="FS474" s="1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O475" s="2"/>
      <c r="DP475" s="2"/>
      <c r="DQ475" s="2"/>
      <c r="DY475" s="2"/>
      <c r="DZ475" s="2"/>
      <c r="EA475" s="2"/>
      <c r="EI475" s="2"/>
      <c r="EJ475" s="2"/>
      <c r="EK475" s="2"/>
      <c r="ES475" s="2"/>
      <c r="ET475" s="2"/>
      <c r="EU475" s="2"/>
      <c r="FC475" s="2"/>
      <c r="FD475" s="2"/>
      <c r="FE475" s="2"/>
      <c r="FJ475" s="13"/>
      <c r="FK475" s="13"/>
      <c r="FL475" s="13"/>
      <c r="FM475" s="13"/>
      <c r="FN475" s="13"/>
      <c r="FO475" s="13"/>
      <c r="FP475" s="13"/>
      <c r="FQ475" s="13"/>
      <c r="FR475" s="13"/>
      <c r="FS475" s="1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O476" s="2"/>
      <c r="DP476" s="2"/>
      <c r="DQ476" s="2"/>
      <c r="DY476" s="2"/>
      <c r="DZ476" s="2"/>
      <c r="EA476" s="2"/>
      <c r="EI476" s="2"/>
      <c r="EJ476" s="2"/>
      <c r="EK476" s="2"/>
      <c r="ES476" s="2"/>
      <c r="ET476" s="2"/>
      <c r="EU476" s="2"/>
      <c r="FC476" s="2"/>
      <c r="FD476" s="2"/>
      <c r="FE476" s="2"/>
      <c r="FJ476" s="13"/>
      <c r="FK476" s="13"/>
      <c r="FL476" s="13"/>
      <c r="FM476" s="13"/>
      <c r="FN476" s="13"/>
      <c r="FO476" s="13"/>
      <c r="FP476" s="13"/>
      <c r="FQ476" s="13"/>
      <c r="FR476" s="13"/>
      <c r="FS476" s="1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O477" s="2"/>
      <c r="DP477" s="2"/>
      <c r="DQ477" s="2"/>
      <c r="DY477" s="2"/>
      <c r="DZ477" s="2"/>
      <c r="EA477" s="2"/>
      <c r="EI477" s="2"/>
      <c r="EJ477" s="2"/>
      <c r="EK477" s="2"/>
      <c r="ES477" s="2"/>
      <c r="ET477" s="2"/>
      <c r="EU477" s="2"/>
      <c r="FC477" s="2"/>
      <c r="FD477" s="2"/>
      <c r="FE477" s="2"/>
      <c r="FJ477" s="13"/>
      <c r="FK477" s="13"/>
      <c r="FL477" s="13"/>
      <c r="FM477" s="13"/>
      <c r="FN477" s="13"/>
      <c r="FO477" s="13"/>
      <c r="FP477" s="13"/>
      <c r="FQ477" s="13"/>
      <c r="FR477" s="13"/>
      <c r="FS477" s="1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O478" s="2"/>
      <c r="DP478" s="2"/>
      <c r="DQ478" s="2"/>
      <c r="DY478" s="2"/>
      <c r="DZ478" s="2"/>
      <c r="EA478" s="2"/>
      <c r="EI478" s="2"/>
      <c r="EJ478" s="2"/>
      <c r="EK478" s="2"/>
      <c r="ES478" s="2"/>
      <c r="ET478" s="2"/>
      <c r="EU478" s="2"/>
      <c r="FC478" s="2"/>
      <c r="FD478" s="2"/>
      <c r="FE478" s="2"/>
      <c r="FJ478" s="13"/>
      <c r="FK478" s="13"/>
      <c r="FL478" s="13"/>
      <c r="FM478" s="13"/>
      <c r="FN478" s="13"/>
      <c r="FO478" s="13"/>
      <c r="FP478" s="13"/>
      <c r="FQ478" s="13"/>
      <c r="FR478" s="13"/>
      <c r="FS478" s="1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O479" s="2"/>
      <c r="DP479" s="2"/>
      <c r="DQ479" s="2"/>
      <c r="DY479" s="2"/>
      <c r="DZ479" s="2"/>
      <c r="EA479" s="2"/>
      <c r="EI479" s="2"/>
      <c r="EJ479" s="2"/>
      <c r="EK479" s="2"/>
      <c r="ES479" s="2"/>
      <c r="ET479" s="2"/>
      <c r="EU479" s="2"/>
      <c r="FC479" s="2"/>
      <c r="FD479" s="2"/>
      <c r="FE479" s="2"/>
      <c r="FJ479" s="13"/>
      <c r="FK479" s="13"/>
      <c r="FL479" s="13"/>
      <c r="FM479" s="13"/>
      <c r="FN479" s="13"/>
      <c r="FO479" s="13"/>
      <c r="FP479" s="13"/>
      <c r="FQ479" s="13"/>
      <c r="FR479" s="13"/>
      <c r="FS479" s="1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O480" s="2"/>
      <c r="DP480" s="2"/>
      <c r="DQ480" s="2"/>
      <c r="DY480" s="2"/>
      <c r="DZ480" s="2"/>
      <c r="EA480" s="2"/>
      <c r="EI480" s="2"/>
      <c r="EJ480" s="2"/>
      <c r="EK480" s="2"/>
      <c r="ES480" s="2"/>
      <c r="ET480" s="2"/>
      <c r="EU480" s="2"/>
      <c r="FC480" s="2"/>
      <c r="FD480" s="2"/>
      <c r="FE480" s="2"/>
      <c r="FJ480" s="13"/>
      <c r="FK480" s="13"/>
      <c r="FL480" s="13"/>
      <c r="FM480" s="13"/>
      <c r="FN480" s="13"/>
      <c r="FO480" s="13"/>
      <c r="FP480" s="13"/>
      <c r="FQ480" s="13"/>
      <c r="FR480" s="13"/>
      <c r="FS480" s="1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O481" s="2"/>
      <c r="DP481" s="2"/>
      <c r="DQ481" s="2"/>
      <c r="DY481" s="2"/>
      <c r="DZ481" s="2"/>
      <c r="EA481" s="2"/>
      <c r="EI481" s="2"/>
      <c r="EJ481" s="2"/>
      <c r="EK481" s="2"/>
      <c r="ES481" s="2"/>
      <c r="ET481" s="2"/>
      <c r="EU481" s="2"/>
      <c r="FC481" s="2"/>
      <c r="FD481" s="2"/>
      <c r="FE481" s="2"/>
      <c r="FJ481" s="13"/>
      <c r="FK481" s="13"/>
      <c r="FL481" s="13"/>
      <c r="FM481" s="13"/>
      <c r="FN481" s="13"/>
      <c r="FO481" s="13"/>
      <c r="FP481" s="13"/>
      <c r="FQ481" s="13"/>
      <c r="FR481" s="13"/>
      <c r="FS481" s="1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O482" s="2"/>
      <c r="DP482" s="2"/>
      <c r="DQ482" s="2"/>
      <c r="DY482" s="2"/>
      <c r="DZ482" s="2"/>
      <c r="EA482" s="2"/>
      <c r="EI482" s="2"/>
      <c r="EJ482" s="2"/>
      <c r="EK482" s="2"/>
      <c r="ES482" s="2"/>
      <c r="ET482" s="2"/>
      <c r="EU482" s="2"/>
      <c r="FC482" s="2"/>
      <c r="FD482" s="2"/>
      <c r="FE482" s="2"/>
      <c r="FJ482" s="13"/>
      <c r="FK482" s="13"/>
      <c r="FL482" s="13"/>
      <c r="FM482" s="13"/>
      <c r="FN482" s="13"/>
      <c r="FO482" s="13"/>
      <c r="FP482" s="13"/>
      <c r="FQ482" s="13"/>
      <c r="FR482" s="13"/>
      <c r="FS482" s="1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O483" s="2"/>
      <c r="DP483" s="2"/>
      <c r="DQ483" s="2"/>
      <c r="DY483" s="2"/>
      <c r="DZ483" s="2"/>
      <c r="EA483" s="2"/>
      <c r="EI483" s="2"/>
      <c r="EJ483" s="2"/>
      <c r="EK483" s="2"/>
      <c r="ES483" s="2"/>
      <c r="ET483" s="2"/>
      <c r="EU483" s="2"/>
      <c r="FC483" s="2"/>
      <c r="FD483" s="2"/>
      <c r="FE483" s="2"/>
      <c r="FJ483" s="13"/>
      <c r="FK483" s="13"/>
      <c r="FL483" s="13"/>
      <c r="FM483" s="13"/>
      <c r="FN483" s="13"/>
      <c r="FO483" s="13"/>
      <c r="FP483" s="13"/>
      <c r="FQ483" s="13"/>
      <c r="FR483" s="13"/>
      <c r="FS483" s="1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O484" s="2"/>
      <c r="DP484" s="2"/>
      <c r="DQ484" s="2"/>
      <c r="DY484" s="2"/>
      <c r="DZ484" s="2"/>
      <c r="EA484" s="2"/>
      <c r="EI484" s="2"/>
      <c r="EJ484" s="2"/>
      <c r="EK484" s="2"/>
      <c r="ES484" s="2"/>
      <c r="ET484" s="2"/>
      <c r="EU484" s="2"/>
      <c r="FC484" s="2"/>
      <c r="FD484" s="2"/>
      <c r="FE484" s="2"/>
      <c r="FJ484" s="13"/>
      <c r="FK484" s="13"/>
      <c r="FL484" s="13"/>
      <c r="FM484" s="13"/>
      <c r="FN484" s="13"/>
      <c r="FO484" s="13"/>
      <c r="FP484" s="13"/>
      <c r="FQ484" s="13"/>
      <c r="FR484" s="13"/>
      <c r="FS484" s="1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O485" s="2"/>
      <c r="DP485" s="2"/>
      <c r="DQ485" s="2"/>
      <c r="DY485" s="2"/>
      <c r="DZ485" s="2"/>
      <c r="EA485" s="2"/>
      <c r="EI485" s="2"/>
      <c r="EJ485" s="2"/>
      <c r="EK485" s="2"/>
      <c r="ES485" s="2"/>
      <c r="ET485" s="2"/>
      <c r="EU485" s="2"/>
      <c r="FC485" s="2"/>
      <c r="FD485" s="2"/>
      <c r="FE485" s="2"/>
      <c r="FJ485" s="13"/>
      <c r="FK485" s="13"/>
      <c r="FL485" s="13"/>
      <c r="FM485" s="13"/>
      <c r="FN485" s="13"/>
      <c r="FO485" s="13"/>
      <c r="FP485" s="13"/>
      <c r="FQ485" s="13"/>
      <c r="FR485" s="13"/>
      <c r="FS485" s="1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O486" s="2"/>
      <c r="DP486" s="2"/>
      <c r="DQ486" s="2"/>
      <c r="DY486" s="2"/>
      <c r="DZ486" s="2"/>
      <c r="EA486" s="2"/>
      <c r="EI486" s="2"/>
      <c r="EJ486" s="2"/>
      <c r="EK486" s="2"/>
      <c r="ES486" s="2"/>
      <c r="ET486" s="2"/>
      <c r="EU486" s="2"/>
      <c r="FC486" s="2"/>
      <c r="FD486" s="2"/>
      <c r="FE486" s="2"/>
      <c r="FJ486" s="13"/>
      <c r="FK486" s="13"/>
      <c r="FL486" s="13"/>
      <c r="FM486" s="13"/>
      <c r="FN486" s="13"/>
      <c r="FO486" s="13"/>
      <c r="FP486" s="13"/>
      <c r="FQ486" s="13"/>
      <c r="FR486" s="13"/>
      <c r="FS486" s="1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O487" s="2"/>
      <c r="DP487" s="2"/>
      <c r="DQ487" s="2"/>
      <c r="DY487" s="2"/>
      <c r="DZ487" s="2"/>
      <c r="EA487" s="2"/>
      <c r="EI487" s="2"/>
      <c r="EJ487" s="2"/>
      <c r="EK487" s="2"/>
      <c r="ES487" s="2"/>
      <c r="ET487" s="2"/>
      <c r="EU487" s="2"/>
      <c r="FC487" s="2"/>
      <c r="FD487" s="2"/>
      <c r="FE487" s="2"/>
      <c r="FJ487" s="13"/>
      <c r="FK487" s="13"/>
      <c r="FL487" s="13"/>
      <c r="FM487" s="13"/>
      <c r="FN487" s="13"/>
      <c r="FO487" s="13"/>
      <c r="FP487" s="13"/>
      <c r="FQ487" s="13"/>
      <c r="FR487" s="13"/>
      <c r="FS487" s="1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O488" s="2"/>
      <c r="DP488" s="2"/>
      <c r="DQ488" s="2"/>
      <c r="DY488" s="2"/>
      <c r="DZ488" s="2"/>
      <c r="EA488" s="2"/>
      <c r="EI488" s="2"/>
      <c r="EJ488" s="2"/>
      <c r="EK488" s="2"/>
      <c r="ES488" s="2"/>
      <c r="ET488" s="2"/>
      <c r="EU488" s="2"/>
      <c r="FC488" s="2"/>
      <c r="FD488" s="2"/>
      <c r="FE488" s="2"/>
      <c r="FJ488" s="13"/>
      <c r="FK488" s="13"/>
      <c r="FL488" s="13"/>
      <c r="FM488" s="13"/>
      <c r="FN488" s="13"/>
      <c r="FO488" s="13"/>
      <c r="FP488" s="13"/>
      <c r="FQ488" s="13"/>
      <c r="FR488" s="13"/>
      <c r="FS488" s="1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O489" s="2"/>
      <c r="DP489" s="2"/>
      <c r="DQ489" s="2"/>
      <c r="DY489" s="2"/>
      <c r="DZ489" s="2"/>
      <c r="EA489" s="2"/>
      <c r="EI489" s="2"/>
      <c r="EJ489" s="2"/>
      <c r="EK489" s="2"/>
      <c r="ES489" s="2"/>
      <c r="ET489" s="2"/>
      <c r="EU489" s="2"/>
      <c r="FC489" s="2"/>
      <c r="FD489" s="2"/>
      <c r="FE489" s="2"/>
      <c r="FJ489" s="13"/>
      <c r="FK489" s="13"/>
      <c r="FL489" s="13"/>
      <c r="FM489" s="13"/>
      <c r="FN489" s="13"/>
      <c r="FO489" s="13"/>
      <c r="FP489" s="13"/>
      <c r="FQ489" s="13"/>
      <c r="FR489" s="13"/>
      <c r="FS489" s="1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O490" s="2"/>
      <c r="DP490" s="2"/>
      <c r="DQ490" s="2"/>
      <c r="DY490" s="2"/>
      <c r="DZ490" s="2"/>
      <c r="EA490" s="2"/>
      <c r="EI490" s="2"/>
      <c r="EJ490" s="2"/>
      <c r="EK490" s="2"/>
      <c r="ES490" s="2"/>
      <c r="ET490" s="2"/>
      <c r="EU490" s="2"/>
      <c r="FC490" s="2"/>
      <c r="FD490" s="2"/>
      <c r="FE490" s="2"/>
      <c r="FJ490" s="13"/>
      <c r="FK490" s="13"/>
      <c r="FL490" s="13"/>
      <c r="FM490" s="13"/>
      <c r="FN490" s="13"/>
      <c r="FO490" s="13"/>
      <c r="FP490" s="13"/>
      <c r="FQ490" s="13"/>
      <c r="FR490" s="13"/>
      <c r="FS490" s="1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O491" s="2"/>
      <c r="DP491" s="2"/>
      <c r="DQ491" s="2"/>
      <c r="DY491" s="2"/>
      <c r="DZ491" s="2"/>
      <c r="EA491" s="2"/>
      <c r="EI491" s="2"/>
      <c r="EJ491" s="2"/>
      <c r="EK491" s="2"/>
      <c r="ES491" s="2"/>
      <c r="ET491" s="2"/>
      <c r="EU491" s="2"/>
      <c r="FC491" s="2"/>
      <c r="FD491" s="2"/>
      <c r="FE491" s="2"/>
      <c r="FJ491" s="13"/>
      <c r="FK491" s="13"/>
      <c r="FL491" s="13"/>
      <c r="FM491" s="13"/>
      <c r="FN491" s="13"/>
      <c r="FO491" s="13"/>
      <c r="FP491" s="13"/>
      <c r="FQ491" s="13"/>
      <c r="FR491" s="13"/>
      <c r="FS491" s="1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O492" s="2"/>
      <c r="DP492" s="2"/>
      <c r="DQ492" s="2"/>
      <c r="DY492" s="2"/>
      <c r="DZ492" s="2"/>
      <c r="EA492" s="2"/>
      <c r="EI492" s="2"/>
      <c r="EJ492" s="2"/>
      <c r="EK492" s="2"/>
      <c r="ES492" s="2"/>
      <c r="ET492" s="2"/>
      <c r="EU492" s="2"/>
      <c r="FC492" s="2"/>
      <c r="FD492" s="2"/>
      <c r="FE492" s="2"/>
      <c r="FJ492" s="13"/>
      <c r="FK492" s="13"/>
      <c r="FL492" s="13"/>
      <c r="FM492" s="13"/>
      <c r="FN492" s="13"/>
      <c r="FO492" s="13"/>
      <c r="FP492" s="13"/>
      <c r="FQ492" s="13"/>
      <c r="FR492" s="13"/>
      <c r="FS492" s="1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O493" s="2"/>
      <c r="DP493" s="2"/>
      <c r="DQ493" s="2"/>
      <c r="DY493" s="2"/>
      <c r="DZ493" s="2"/>
      <c r="EA493" s="2"/>
      <c r="EI493" s="2"/>
      <c r="EJ493" s="2"/>
      <c r="EK493" s="2"/>
      <c r="ES493" s="2"/>
      <c r="ET493" s="2"/>
      <c r="EU493" s="2"/>
      <c r="FC493" s="2"/>
      <c r="FD493" s="2"/>
      <c r="FE493" s="2"/>
      <c r="FJ493" s="13"/>
      <c r="FK493" s="13"/>
      <c r="FL493" s="13"/>
      <c r="FM493" s="13"/>
      <c r="FN493" s="13"/>
      <c r="FO493" s="13"/>
      <c r="FP493" s="13"/>
      <c r="FQ493" s="13"/>
      <c r="FR493" s="13"/>
      <c r="FS493" s="1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O494" s="2"/>
      <c r="DP494" s="2"/>
      <c r="DQ494" s="2"/>
      <c r="DY494" s="2"/>
      <c r="DZ494" s="2"/>
      <c r="EA494" s="2"/>
      <c r="EI494" s="2"/>
      <c r="EJ494" s="2"/>
      <c r="EK494" s="2"/>
      <c r="ES494" s="2"/>
      <c r="ET494" s="2"/>
      <c r="EU494" s="2"/>
      <c r="FC494" s="2"/>
      <c r="FD494" s="2"/>
      <c r="FE494" s="2"/>
      <c r="FJ494" s="13"/>
      <c r="FK494" s="13"/>
      <c r="FL494" s="13"/>
      <c r="FM494" s="13"/>
      <c r="FN494" s="13"/>
      <c r="FO494" s="13"/>
      <c r="FP494" s="13"/>
      <c r="FQ494" s="13"/>
      <c r="FR494" s="13"/>
      <c r="FS494" s="1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O495" s="2"/>
      <c r="DP495" s="2"/>
      <c r="DQ495" s="2"/>
      <c r="DY495" s="2"/>
      <c r="DZ495" s="2"/>
      <c r="EA495" s="2"/>
      <c r="EI495" s="2"/>
      <c r="EJ495" s="2"/>
      <c r="EK495" s="2"/>
      <c r="ES495" s="2"/>
      <c r="ET495" s="2"/>
      <c r="EU495" s="2"/>
      <c r="FC495" s="2"/>
      <c r="FD495" s="2"/>
      <c r="FE495" s="2"/>
      <c r="FJ495" s="13"/>
      <c r="FK495" s="13"/>
      <c r="FL495" s="13"/>
      <c r="FM495" s="13"/>
      <c r="FN495" s="13"/>
      <c r="FO495" s="13"/>
      <c r="FP495" s="13"/>
      <c r="FQ495" s="13"/>
      <c r="FR495" s="13"/>
      <c r="FS495" s="1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O496" s="2"/>
      <c r="DP496" s="2"/>
      <c r="DQ496" s="2"/>
      <c r="DY496" s="2"/>
      <c r="DZ496" s="2"/>
      <c r="EA496" s="2"/>
      <c r="EI496" s="2"/>
      <c r="EJ496" s="2"/>
      <c r="EK496" s="2"/>
      <c r="ES496" s="2"/>
      <c r="ET496" s="2"/>
      <c r="EU496" s="2"/>
      <c r="FC496" s="2"/>
      <c r="FD496" s="2"/>
      <c r="FE496" s="2"/>
      <c r="FJ496" s="13"/>
      <c r="FK496" s="13"/>
      <c r="FL496" s="13"/>
      <c r="FM496" s="13"/>
      <c r="FN496" s="13"/>
      <c r="FO496" s="13"/>
      <c r="FP496" s="13"/>
      <c r="FQ496" s="13"/>
      <c r="FR496" s="13"/>
      <c r="FS496" s="1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O497" s="2"/>
      <c r="DP497" s="2"/>
      <c r="DQ497" s="2"/>
      <c r="DY497" s="2"/>
      <c r="DZ497" s="2"/>
      <c r="EA497" s="2"/>
      <c r="EI497" s="2"/>
      <c r="EJ497" s="2"/>
      <c r="EK497" s="2"/>
      <c r="ES497" s="2"/>
      <c r="ET497" s="2"/>
      <c r="EU497" s="2"/>
      <c r="FC497" s="2"/>
      <c r="FD497" s="2"/>
      <c r="FE497" s="2"/>
      <c r="FJ497" s="13"/>
      <c r="FK497" s="13"/>
      <c r="FL497" s="13"/>
      <c r="FM497" s="13"/>
      <c r="FN497" s="13"/>
      <c r="FO497" s="13"/>
      <c r="FP497" s="13"/>
      <c r="FQ497" s="13"/>
      <c r="FR497" s="13"/>
      <c r="FS497" s="1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O498" s="2"/>
      <c r="DP498" s="2"/>
      <c r="DQ498" s="2"/>
      <c r="DY498" s="2"/>
      <c r="DZ498" s="2"/>
      <c r="EA498" s="2"/>
      <c r="EI498" s="2"/>
      <c r="EJ498" s="2"/>
      <c r="EK498" s="2"/>
      <c r="ES498" s="2"/>
      <c r="ET498" s="2"/>
      <c r="EU498" s="2"/>
      <c r="FC498" s="2"/>
      <c r="FD498" s="2"/>
      <c r="FE498" s="2"/>
      <c r="FJ498" s="13"/>
      <c r="FK498" s="13"/>
      <c r="FL498" s="13"/>
      <c r="FM498" s="13"/>
      <c r="FN498" s="13"/>
      <c r="FO498" s="13"/>
      <c r="FP498" s="13"/>
      <c r="FQ498" s="13"/>
      <c r="FR498" s="13"/>
      <c r="FS498" s="1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O499" s="2"/>
      <c r="DP499" s="2"/>
      <c r="DQ499" s="2"/>
      <c r="DY499" s="2"/>
      <c r="DZ499" s="2"/>
      <c r="EA499" s="2"/>
      <c r="EI499" s="2"/>
      <c r="EJ499" s="2"/>
      <c r="EK499" s="2"/>
      <c r="ES499" s="2"/>
      <c r="ET499" s="2"/>
      <c r="EU499" s="2"/>
      <c r="FC499" s="2"/>
      <c r="FD499" s="2"/>
      <c r="FE499" s="2"/>
      <c r="FJ499" s="13"/>
      <c r="FK499" s="13"/>
      <c r="FL499" s="13"/>
      <c r="FM499" s="13"/>
      <c r="FN499" s="13"/>
      <c r="FO499" s="13"/>
      <c r="FP499" s="13"/>
      <c r="FQ499" s="13"/>
      <c r="FR499" s="13"/>
      <c r="FS499" s="1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O500" s="2"/>
      <c r="DP500" s="2"/>
      <c r="DQ500" s="2"/>
      <c r="DY500" s="2"/>
      <c r="DZ500" s="2"/>
      <c r="EA500" s="2"/>
      <c r="EI500" s="2"/>
      <c r="EJ500" s="2"/>
      <c r="EK500" s="2"/>
      <c r="ES500" s="2"/>
      <c r="ET500" s="2"/>
      <c r="EU500" s="2"/>
      <c r="FC500" s="2"/>
      <c r="FD500" s="2"/>
      <c r="FE500" s="2"/>
      <c r="FJ500" s="13"/>
      <c r="FK500" s="13"/>
      <c r="FL500" s="13"/>
      <c r="FM500" s="13"/>
      <c r="FN500" s="13"/>
      <c r="FO500" s="13"/>
      <c r="FP500" s="13"/>
      <c r="FQ500" s="13"/>
      <c r="FR500" s="13"/>
      <c r="FS500" s="1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O501" s="2"/>
      <c r="DP501" s="2"/>
      <c r="DQ501" s="2"/>
      <c r="DY501" s="2"/>
      <c r="DZ501" s="2"/>
      <c r="EA501" s="2"/>
      <c r="EI501" s="2"/>
      <c r="EJ501" s="2"/>
      <c r="EK501" s="2"/>
      <c r="ES501" s="2"/>
      <c r="ET501" s="2"/>
      <c r="EU501" s="2"/>
      <c r="FC501" s="2"/>
      <c r="FD501" s="2"/>
      <c r="FE501" s="2"/>
      <c r="FJ501" s="13"/>
      <c r="FK501" s="13"/>
      <c r="FL501" s="13"/>
      <c r="FM501" s="13"/>
      <c r="FN501" s="13"/>
      <c r="FO501" s="13"/>
      <c r="FP501" s="13"/>
      <c r="FQ501" s="13"/>
      <c r="FR501" s="13"/>
      <c r="FS501" s="1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O502" s="2"/>
      <c r="DP502" s="2"/>
      <c r="DQ502" s="2"/>
      <c r="DY502" s="2"/>
      <c r="DZ502" s="2"/>
      <c r="EA502" s="2"/>
      <c r="EI502" s="2"/>
      <c r="EJ502" s="2"/>
      <c r="EK502" s="2"/>
      <c r="ES502" s="2"/>
      <c r="ET502" s="2"/>
      <c r="EU502" s="2"/>
      <c r="FC502" s="2"/>
      <c r="FD502" s="2"/>
      <c r="FE502" s="2"/>
      <c r="FJ502" s="13"/>
      <c r="FK502" s="13"/>
      <c r="FL502" s="13"/>
      <c r="FM502" s="13"/>
      <c r="FN502" s="13"/>
      <c r="FO502" s="13"/>
      <c r="FP502" s="13"/>
      <c r="FQ502" s="13"/>
      <c r="FR502" s="13"/>
      <c r="FS502" s="1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O503" s="2"/>
      <c r="DP503" s="2"/>
      <c r="DQ503" s="2"/>
      <c r="DY503" s="2"/>
      <c r="DZ503" s="2"/>
      <c r="EA503" s="2"/>
      <c r="EI503" s="2"/>
      <c r="EJ503" s="2"/>
      <c r="EK503" s="2"/>
      <c r="ES503" s="2"/>
      <c r="ET503" s="2"/>
      <c r="EU503" s="2"/>
      <c r="FC503" s="2"/>
      <c r="FD503" s="2"/>
      <c r="FE503" s="2"/>
      <c r="FJ503" s="13"/>
      <c r="FK503" s="13"/>
      <c r="FL503" s="13"/>
      <c r="FM503" s="13"/>
      <c r="FN503" s="13"/>
      <c r="FO503" s="13"/>
      <c r="FP503" s="13"/>
      <c r="FQ503" s="13"/>
      <c r="FR503" s="13"/>
      <c r="FS503" s="1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O504" s="2"/>
      <c r="DP504" s="2"/>
      <c r="DQ504" s="2"/>
      <c r="DY504" s="2"/>
      <c r="DZ504" s="2"/>
      <c r="EA504" s="2"/>
      <c r="EI504" s="2"/>
      <c r="EJ504" s="2"/>
      <c r="EK504" s="2"/>
      <c r="ES504" s="2"/>
      <c r="ET504" s="2"/>
      <c r="EU504" s="2"/>
      <c r="FC504" s="2"/>
      <c r="FD504" s="2"/>
      <c r="FE504" s="2"/>
      <c r="FJ504" s="13"/>
      <c r="FK504" s="13"/>
      <c r="FL504" s="13"/>
      <c r="FM504" s="13"/>
      <c r="FN504" s="13"/>
      <c r="FO504" s="13"/>
      <c r="FP504" s="13"/>
      <c r="FQ504" s="13"/>
      <c r="FR504" s="13"/>
      <c r="FS504" s="1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O505" s="2"/>
      <c r="DP505" s="2"/>
      <c r="DQ505" s="2"/>
      <c r="DY505" s="2"/>
      <c r="DZ505" s="2"/>
      <c r="EA505" s="2"/>
      <c r="EI505" s="2"/>
      <c r="EJ505" s="2"/>
      <c r="EK505" s="2"/>
      <c r="ES505" s="2"/>
      <c r="ET505" s="2"/>
      <c r="EU505" s="2"/>
      <c r="FC505" s="2"/>
      <c r="FD505" s="2"/>
      <c r="FE505" s="2"/>
      <c r="FJ505" s="13"/>
      <c r="FK505" s="13"/>
      <c r="FL505" s="13"/>
      <c r="FM505" s="13"/>
      <c r="FN505" s="13"/>
      <c r="FO505" s="13"/>
      <c r="FP505" s="13"/>
      <c r="FQ505" s="13"/>
      <c r="FR505" s="13"/>
      <c r="FS505" s="13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O506" s="2"/>
      <c r="DP506" s="2"/>
      <c r="DQ506" s="2"/>
      <c r="DY506" s="2"/>
      <c r="DZ506" s="2"/>
      <c r="EA506" s="2"/>
      <c r="EI506" s="2"/>
      <c r="EJ506" s="2"/>
      <c r="EK506" s="2"/>
      <c r="ES506" s="2"/>
      <c r="ET506" s="2"/>
      <c r="EU506" s="2"/>
      <c r="FC506" s="2"/>
      <c r="FD506" s="2"/>
      <c r="FE506" s="2"/>
      <c r="FJ506" s="13"/>
      <c r="FK506" s="13"/>
      <c r="FL506" s="13"/>
      <c r="FM506" s="13"/>
      <c r="FN506" s="13"/>
      <c r="FO506" s="13"/>
      <c r="FP506" s="13"/>
      <c r="FQ506" s="13"/>
      <c r="FR506" s="13"/>
      <c r="FS506" s="13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O507" s="2"/>
      <c r="DP507" s="2"/>
      <c r="DQ507" s="2"/>
      <c r="DY507" s="2"/>
      <c r="DZ507" s="2"/>
      <c r="EA507" s="2"/>
      <c r="EI507" s="2"/>
      <c r="EJ507" s="2"/>
      <c r="EK507" s="2"/>
      <c r="ES507" s="2"/>
      <c r="ET507" s="2"/>
      <c r="EU507" s="2"/>
      <c r="FC507" s="2"/>
      <c r="FD507" s="2"/>
      <c r="FE507" s="2"/>
      <c r="FJ507" s="13"/>
      <c r="FK507" s="13"/>
      <c r="FL507" s="13"/>
      <c r="FM507" s="13"/>
      <c r="FN507" s="13"/>
      <c r="FO507" s="13"/>
      <c r="FP507" s="13"/>
      <c r="FQ507" s="13"/>
      <c r="FR507" s="13"/>
      <c r="FS507" s="1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O508" s="2"/>
      <c r="DP508" s="2"/>
      <c r="DQ508" s="2"/>
      <c r="DY508" s="2"/>
      <c r="DZ508" s="2"/>
      <c r="EA508" s="2"/>
      <c r="EI508" s="2"/>
      <c r="EJ508" s="2"/>
      <c r="EK508" s="2"/>
      <c r="ES508" s="2"/>
      <c r="ET508" s="2"/>
      <c r="EU508" s="2"/>
      <c r="FC508" s="2"/>
      <c r="FD508" s="2"/>
      <c r="FE508" s="2"/>
      <c r="FJ508" s="13"/>
      <c r="FK508" s="13"/>
      <c r="FL508" s="13"/>
      <c r="FM508" s="13"/>
      <c r="FN508" s="13"/>
      <c r="FO508" s="13"/>
      <c r="FP508" s="13"/>
      <c r="FQ508" s="13"/>
      <c r="FR508" s="13"/>
      <c r="FS508" s="13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O509" s="2"/>
      <c r="DP509" s="2"/>
      <c r="DQ509" s="2"/>
      <c r="DY509" s="2"/>
      <c r="DZ509" s="2"/>
      <c r="EA509" s="2"/>
      <c r="EI509" s="2"/>
      <c r="EJ509" s="2"/>
      <c r="EK509" s="2"/>
      <c r="ES509" s="2"/>
      <c r="ET509" s="2"/>
      <c r="EU509" s="2"/>
      <c r="FC509" s="2"/>
      <c r="FD509" s="2"/>
      <c r="FE509" s="2"/>
      <c r="FJ509" s="13"/>
      <c r="FK509" s="13"/>
      <c r="FL509" s="13"/>
      <c r="FM509" s="13"/>
      <c r="FN509" s="13"/>
      <c r="FO509" s="13"/>
      <c r="FP509" s="13"/>
      <c r="FQ509" s="13"/>
      <c r="FR509" s="13"/>
      <c r="FS509" s="13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O510" s="2"/>
      <c r="DP510" s="2"/>
      <c r="DQ510" s="2"/>
      <c r="DY510" s="2"/>
      <c r="DZ510" s="2"/>
      <c r="EA510" s="2"/>
      <c r="EI510" s="2"/>
      <c r="EJ510" s="2"/>
      <c r="EK510" s="2"/>
      <c r="ES510" s="2"/>
      <c r="ET510" s="2"/>
      <c r="EU510" s="2"/>
      <c r="FC510" s="2"/>
      <c r="FD510" s="2"/>
      <c r="FE510" s="2"/>
      <c r="FJ510" s="13"/>
      <c r="FK510" s="13"/>
      <c r="FL510" s="13"/>
      <c r="FM510" s="13"/>
      <c r="FN510" s="13"/>
      <c r="FO510" s="13"/>
      <c r="FP510" s="13"/>
      <c r="FQ510" s="13"/>
      <c r="FR510" s="13"/>
      <c r="FS510" s="13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O511" s="2"/>
      <c r="DP511" s="2"/>
      <c r="DQ511" s="2"/>
      <c r="DY511" s="2"/>
      <c r="DZ511" s="2"/>
      <c r="EA511" s="2"/>
      <c r="EI511" s="2"/>
      <c r="EJ511" s="2"/>
      <c r="EK511" s="2"/>
      <c r="ES511" s="2"/>
      <c r="ET511" s="2"/>
      <c r="EU511" s="2"/>
      <c r="FC511" s="2"/>
      <c r="FD511" s="2"/>
      <c r="FE511" s="2"/>
      <c r="FJ511" s="13"/>
      <c r="FK511" s="13"/>
      <c r="FL511" s="13"/>
      <c r="FM511" s="13"/>
      <c r="FN511" s="13"/>
      <c r="FO511" s="13"/>
      <c r="FP511" s="13"/>
      <c r="FQ511" s="13"/>
      <c r="FR511" s="13"/>
      <c r="FS511" s="13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O512" s="2"/>
      <c r="DP512" s="2"/>
      <c r="DQ512" s="2"/>
      <c r="DY512" s="2"/>
      <c r="DZ512" s="2"/>
      <c r="EA512" s="2"/>
      <c r="EI512" s="2"/>
      <c r="EJ512" s="2"/>
      <c r="EK512" s="2"/>
      <c r="ES512" s="2"/>
      <c r="ET512" s="2"/>
      <c r="EU512" s="2"/>
      <c r="FC512" s="2"/>
      <c r="FD512" s="2"/>
      <c r="FE512" s="2"/>
      <c r="FJ512" s="13"/>
      <c r="FK512" s="13"/>
      <c r="FL512" s="13"/>
      <c r="FM512" s="13"/>
      <c r="FN512" s="13"/>
      <c r="FO512" s="13"/>
      <c r="FP512" s="13"/>
      <c r="FQ512" s="13"/>
      <c r="FR512" s="13"/>
      <c r="FS512" s="13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O513" s="2"/>
      <c r="DP513" s="2"/>
      <c r="DQ513" s="2"/>
      <c r="DY513" s="2"/>
      <c r="DZ513" s="2"/>
      <c r="EA513" s="2"/>
      <c r="EI513" s="2"/>
      <c r="EJ513" s="2"/>
      <c r="EK513" s="2"/>
      <c r="ES513" s="2"/>
      <c r="ET513" s="2"/>
      <c r="EU513" s="2"/>
      <c r="FC513" s="2"/>
      <c r="FD513" s="2"/>
      <c r="FE513" s="2"/>
      <c r="FJ513" s="13"/>
      <c r="FK513" s="13"/>
      <c r="FL513" s="13"/>
      <c r="FM513" s="13"/>
      <c r="FN513" s="13"/>
      <c r="FO513" s="13"/>
      <c r="FP513" s="13"/>
      <c r="FQ513" s="13"/>
      <c r="FR513" s="13"/>
      <c r="FS513" s="13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O514" s="2"/>
      <c r="DP514" s="2"/>
      <c r="DQ514" s="2"/>
      <c r="DY514" s="2"/>
      <c r="DZ514" s="2"/>
      <c r="EA514" s="2"/>
      <c r="EI514" s="2"/>
      <c r="EJ514" s="2"/>
      <c r="EK514" s="2"/>
      <c r="ES514" s="2"/>
      <c r="ET514" s="2"/>
      <c r="EU514" s="2"/>
      <c r="FC514" s="2"/>
      <c r="FD514" s="2"/>
      <c r="FE514" s="2"/>
      <c r="FJ514" s="13"/>
      <c r="FK514" s="13"/>
      <c r="FL514" s="13"/>
      <c r="FM514" s="13"/>
      <c r="FN514" s="13"/>
      <c r="FO514" s="13"/>
      <c r="FP514" s="13"/>
      <c r="FQ514" s="13"/>
      <c r="FR514" s="13"/>
      <c r="FS514" s="13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O515" s="2"/>
      <c r="DP515" s="2"/>
      <c r="DQ515" s="2"/>
      <c r="DY515" s="2"/>
      <c r="DZ515" s="2"/>
      <c r="EA515" s="2"/>
      <c r="EI515" s="2"/>
      <c r="EJ515" s="2"/>
      <c r="EK515" s="2"/>
      <c r="ES515" s="2"/>
      <c r="ET515" s="2"/>
      <c r="EU515" s="2"/>
      <c r="FC515" s="2"/>
      <c r="FD515" s="2"/>
      <c r="FE515" s="2"/>
      <c r="FJ515" s="13"/>
      <c r="FK515" s="13"/>
      <c r="FL515" s="13"/>
      <c r="FM515" s="13"/>
      <c r="FN515" s="13"/>
      <c r="FO515" s="13"/>
      <c r="FP515" s="13"/>
      <c r="FQ515" s="13"/>
      <c r="FR515" s="13"/>
      <c r="FS515" s="13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O516" s="2"/>
      <c r="DP516" s="2"/>
      <c r="DQ516" s="2"/>
      <c r="DY516" s="2"/>
      <c r="DZ516" s="2"/>
      <c r="EA516" s="2"/>
      <c r="EI516" s="2"/>
      <c r="EJ516" s="2"/>
      <c r="EK516" s="2"/>
      <c r="ES516" s="2"/>
      <c r="ET516" s="2"/>
      <c r="EU516" s="2"/>
      <c r="FC516" s="2"/>
      <c r="FD516" s="2"/>
      <c r="FE516" s="2"/>
      <c r="FJ516" s="13"/>
      <c r="FK516" s="13"/>
      <c r="FL516" s="13"/>
      <c r="FM516" s="13"/>
      <c r="FN516" s="13"/>
      <c r="FO516" s="13"/>
      <c r="FP516" s="13"/>
      <c r="FQ516" s="13"/>
      <c r="FR516" s="13"/>
      <c r="FS516" s="13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O517" s="2"/>
      <c r="DP517" s="2"/>
      <c r="DQ517" s="2"/>
      <c r="DY517" s="2"/>
      <c r="DZ517" s="2"/>
      <c r="EA517" s="2"/>
      <c r="EI517" s="2"/>
      <c r="EJ517" s="2"/>
      <c r="EK517" s="2"/>
      <c r="ES517" s="2"/>
      <c r="ET517" s="2"/>
      <c r="EU517" s="2"/>
      <c r="FC517" s="2"/>
      <c r="FD517" s="2"/>
      <c r="FE517" s="2"/>
      <c r="FJ517" s="13"/>
      <c r="FK517" s="13"/>
      <c r="FL517" s="13"/>
      <c r="FM517" s="13"/>
      <c r="FN517" s="13"/>
      <c r="FO517" s="13"/>
      <c r="FP517" s="13"/>
      <c r="FQ517" s="13"/>
      <c r="FR517" s="13"/>
      <c r="FS517" s="13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O518" s="2"/>
      <c r="DP518" s="2"/>
      <c r="DQ518" s="2"/>
      <c r="DY518" s="2"/>
      <c r="DZ518" s="2"/>
      <c r="EA518" s="2"/>
      <c r="EI518" s="2"/>
      <c r="EJ518" s="2"/>
      <c r="EK518" s="2"/>
      <c r="ES518" s="2"/>
      <c r="ET518" s="2"/>
      <c r="EU518" s="2"/>
      <c r="FC518" s="2"/>
      <c r="FD518" s="2"/>
      <c r="FE518" s="2"/>
      <c r="FJ518" s="13"/>
      <c r="FK518" s="13"/>
      <c r="FL518" s="13"/>
      <c r="FM518" s="13"/>
      <c r="FN518" s="13"/>
      <c r="FO518" s="13"/>
      <c r="FP518" s="13"/>
      <c r="FQ518" s="13"/>
      <c r="FR518" s="13"/>
      <c r="FS518" s="13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O519" s="2"/>
      <c r="DP519" s="2"/>
      <c r="DQ519" s="2"/>
      <c r="DY519" s="2"/>
      <c r="DZ519" s="2"/>
      <c r="EA519" s="2"/>
      <c r="EI519" s="2"/>
      <c r="EJ519" s="2"/>
      <c r="EK519" s="2"/>
      <c r="ES519" s="2"/>
      <c r="ET519" s="2"/>
      <c r="EU519" s="2"/>
      <c r="FC519" s="2"/>
      <c r="FD519" s="2"/>
      <c r="FE519" s="2"/>
      <c r="FJ519" s="13"/>
      <c r="FK519" s="13"/>
      <c r="FL519" s="13"/>
      <c r="FM519" s="13"/>
      <c r="FN519" s="13"/>
      <c r="FO519" s="13"/>
      <c r="FP519" s="13"/>
      <c r="FQ519" s="13"/>
      <c r="FR519" s="13"/>
      <c r="FS519" s="13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O520" s="2"/>
      <c r="DP520" s="2"/>
      <c r="DQ520" s="2"/>
      <c r="DY520" s="2"/>
      <c r="DZ520" s="2"/>
      <c r="EA520" s="2"/>
      <c r="EI520" s="2"/>
      <c r="EJ520" s="2"/>
      <c r="EK520" s="2"/>
      <c r="ES520" s="2"/>
      <c r="ET520" s="2"/>
      <c r="EU520" s="2"/>
      <c r="FC520" s="2"/>
      <c r="FD520" s="2"/>
      <c r="FE520" s="2"/>
      <c r="FJ520" s="13"/>
      <c r="FK520" s="13"/>
      <c r="FL520" s="13"/>
      <c r="FM520" s="13"/>
      <c r="FN520" s="13"/>
      <c r="FO520" s="13"/>
      <c r="FP520" s="13"/>
      <c r="FQ520" s="13"/>
      <c r="FR520" s="13"/>
      <c r="FS520" s="13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O521" s="2"/>
      <c r="DP521" s="2"/>
      <c r="DQ521" s="2"/>
      <c r="DY521" s="2"/>
      <c r="DZ521" s="2"/>
      <c r="EA521" s="2"/>
      <c r="EI521" s="2"/>
      <c r="EJ521" s="2"/>
      <c r="EK521" s="2"/>
      <c r="ES521" s="2"/>
      <c r="ET521" s="2"/>
      <c r="EU521" s="2"/>
      <c r="FC521" s="2"/>
      <c r="FD521" s="2"/>
      <c r="FE521" s="2"/>
      <c r="FJ521" s="13"/>
      <c r="FK521" s="13"/>
      <c r="FL521" s="13"/>
      <c r="FM521" s="13"/>
      <c r="FN521" s="13"/>
      <c r="FO521" s="13"/>
      <c r="FP521" s="13"/>
      <c r="FQ521" s="13"/>
      <c r="FR521" s="13"/>
      <c r="FS521" s="13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O522" s="2"/>
      <c r="DP522" s="2"/>
      <c r="DQ522" s="2"/>
      <c r="DY522" s="2"/>
      <c r="DZ522" s="2"/>
      <c r="EA522" s="2"/>
      <c r="EI522" s="2"/>
      <c r="EJ522" s="2"/>
      <c r="EK522" s="2"/>
      <c r="ES522" s="2"/>
      <c r="ET522" s="2"/>
      <c r="EU522" s="2"/>
      <c r="FC522" s="2"/>
      <c r="FD522" s="2"/>
      <c r="FE522" s="2"/>
      <c r="FJ522" s="13"/>
      <c r="FK522" s="13"/>
      <c r="FL522" s="13"/>
      <c r="FM522" s="13"/>
      <c r="FN522" s="13"/>
      <c r="FO522" s="13"/>
      <c r="FP522" s="13"/>
      <c r="FQ522" s="13"/>
      <c r="FR522" s="13"/>
      <c r="FS522" s="13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O523" s="2"/>
      <c r="DP523" s="2"/>
      <c r="DQ523" s="2"/>
      <c r="DY523" s="2"/>
      <c r="DZ523" s="2"/>
      <c r="EA523" s="2"/>
      <c r="EI523" s="2"/>
      <c r="EJ523" s="2"/>
      <c r="EK523" s="2"/>
      <c r="ES523" s="2"/>
      <c r="ET523" s="2"/>
      <c r="EU523" s="2"/>
      <c r="FC523" s="2"/>
      <c r="FD523" s="2"/>
      <c r="FE523" s="2"/>
      <c r="FJ523" s="13"/>
      <c r="FK523" s="13"/>
      <c r="FL523" s="13"/>
      <c r="FM523" s="13"/>
      <c r="FN523" s="13"/>
      <c r="FO523" s="13"/>
      <c r="FP523" s="13"/>
      <c r="FQ523" s="13"/>
      <c r="FR523" s="13"/>
      <c r="FS523" s="13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O524" s="2"/>
      <c r="DP524" s="2"/>
      <c r="DQ524" s="2"/>
      <c r="DY524" s="2"/>
      <c r="DZ524" s="2"/>
      <c r="EA524" s="2"/>
      <c r="EI524" s="2"/>
      <c r="EJ524" s="2"/>
      <c r="EK524" s="2"/>
      <c r="ES524" s="2"/>
      <c r="ET524" s="2"/>
      <c r="EU524" s="2"/>
      <c r="FC524" s="2"/>
      <c r="FD524" s="2"/>
      <c r="FE524" s="2"/>
      <c r="FJ524" s="13"/>
      <c r="FK524" s="13"/>
      <c r="FL524" s="13"/>
      <c r="FM524" s="13"/>
      <c r="FN524" s="13"/>
      <c r="FO524" s="13"/>
      <c r="FP524" s="13"/>
      <c r="FQ524" s="13"/>
      <c r="FR524" s="13"/>
      <c r="FS524" s="13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O525" s="2"/>
      <c r="DP525" s="2"/>
      <c r="DQ525" s="2"/>
      <c r="DY525" s="2"/>
      <c r="DZ525" s="2"/>
      <c r="EA525" s="2"/>
      <c r="EI525" s="2"/>
      <c r="EJ525" s="2"/>
      <c r="EK525" s="2"/>
      <c r="ES525" s="2"/>
      <c r="ET525" s="2"/>
      <c r="EU525" s="2"/>
      <c r="FC525" s="2"/>
      <c r="FD525" s="2"/>
      <c r="FE525" s="2"/>
      <c r="FJ525" s="13"/>
      <c r="FK525" s="13"/>
      <c r="FL525" s="13"/>
      <c r="FM525" s="13"/>
      <c r="FN525" s="13"/>
      <c r="FO525" s="13"/>
      <c r="FP525" s="13"/>
      <c r="FQ525" s="13"/>
      <c r="FR525" s="13"/>
      <c r="FS525" s="13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O526" s="2"/>
      <c r="DP526" s="2"/>
      <c r="DQ526" s="2"/>
      <c r="DY526" s="2"/>
      <c r="DZ526" s="2"/>
      <c r="EA526" s="2"/>
      <c r="EI526" s="2"/>
      <c r="EJ526" s="2"/>
      <c r="EK526" s="2"/>
      <c r="ES526" s="2"/>
      <c r="ET526" s="2"/>
      <c r="EU526" s="2"/>
      <c r="FC526" s="2"/>
      <c r="FD526" s="2"/>
      <c r="FE526" s="2"/>
      <c r="FJ526" s="13"/>
      <c r="FK526" s="13"/>
      <c r="FL526" s="13"/>
      <c r="FM526" s="13"/>
      <c r="FN526" s="13"/>
      <c r="FO526" s="13"/>
      <c r="FP526" s="13"/>
      <c r="FQ526" s="13"/>
      <c r="FR526" s="13"/>
      <c r="FS526" s="13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O527" s="2"/>
      <c r="DP527" s="2"/>
      <c r="DQ527" s="2"/>
      <c r="DY527" s="2"/>
      <c r="DZ527" s="2"/>
      <c r="EA527" s="2"/>
      <c r="EI527" s="2"/>
      <c r="EJ527" s="2"/>
      <c r="EK527" s="2"/>
      <c r="ES527" s="2"/>
      <c r="ET527" s="2"/>
      <c r="EU527" s="2"/>
      <c r="FC527" s="2"/>
      <c r="FD527" s="2"/>
      <c r="FE527" s="2"/>
      <c r="FJ527" s="13"/>
      <c r="FK527" s="13"/>
      <c r="FL527" s="13"/>
      <c r="FM527" s="13"/>
      <c r="FN527" s="13"/>
      <c r="FO527" s="13"/>
      <c r="FP527" s="13"/>
      <c r="FQ527" s="13"/>
      <c r="FR527" s="13"/>
      <c r="FS527" s="13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O528" s="2"/>
      <c r="DP528" s="2"/>
      <c r="DQ528" s="2"/>
      <c r="DY528" s="2"/>
      <c r="DZ528" s="2"/>
      <c r="EA528" s="2"/>
      <c r="EI528" s="2"/>
      <c r="EJ528" s="2"/>
      <c r="EK528" s="2"/>
      <c r="ES528" s="2"/>
      <c r="ET528" s="2"/>
      <c r="EU528" s="2"/>
      <c r="FC528" s="2"/>
      <c r="FD528" s="2"/>
      <c r="FE528" s="2"/>
      <c r="FJ528" s="13"/>
      <c r="FK528" s="13"/>
      <c r="FL528" s="13"/>
      <c r="FM528" s="13"/>
      <c r="FN528" s="13"/>
      <c r="FO528" s="13"/>
      <c r="FP528" s="13"/>
      <c r="FQ528" s="13"/>
      <c r="FR528" s="13"/>
      <c r="FS528" s="13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O529" s="2"/>
      <c r="DP529" s="2"/>
      <c r="DQ529" s="2"/>
      <c r="DY529" s="2"/>
      <c r="DZ529" s="2"/>
      <c r="EA529" s="2"/>
      <c r="EI529" s="2"/>
      <c r="EJ529" s="2"/>
      <c r="EK529" s="2"/>
      <c r="ES529" s="2"/>
      <c r="ET529" s="2"/>
      <c r="EU529" s="2"/>
      <c r="FC529" s="2"/>
      <c r="FD529" s="2"/>
      <c r="FE529" s="2"/>
      <c r="FJ529" s="13"/>
      <c r="FK529" s="13"/>
      <c r="FL529" s="13"/>
      <c r="FM529" s="13"/>
      <c r="FN529" s="13"/>
      <c r="FO529" s="13"/>
      <c r="FP529" s="13"/>
      <c r="FQ529" s="13"/>
      <c r="FR529" s="13"/>
      <c r="FS529" s="13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O530" s="2"/>
      <c r="DP530" s="2"/>
      <c r="DQ530" s="2"/>
      <c r="DY530" s="2"/>
      <c r="DZ530" s="2"/>
      <c r="EA530" s="2"/>
      <c r="EI530" s="2"/>
      <c r="EJ530" s="2"/>
      <c r="EK530" s="2"/>
      <c r="ES530" s="2"/>
      <c r="ET530" s="2"/>
      <c r="EU530" s="2"/>
      <c r="FC530" s="2"/>
      <c r="FD530" s="2"/>
      <c r="FE530" s="2"/>
      <c r="FJ530" s="13"/>
      <c r="FK530" s="13"/>
      <c r="FL530" s="13"/>
      <c r="FM530" s="13"/>
      <c r="FN530" s="13"/>
      <c r="FO530" s="13"/>
      <c r="FP530" s="13"/>
      <c r="FQ530" s="13"/>
      <c r="FR530" s="13"/>
      <c r="FS530" s="13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O531" s="2"/>
      <c r="DP531" s="2"/>
      <c r="DQ531" s="2"/>
      <c r="DY531" s="2"/>
      <c r="DZ531" s="2"/>
      <c r="EA531" s="2"/>
      <c r="EI531" s="2"/>
      <c r="EJ531" s="2"/>
      <c r="EK531" s="2"/>
      <c r="ES531" s="2"/>
      <c r="ET531" s="2"/>
      <c r="EU531" s="2"/>
      <c r="FC531" s="2"/>
      <c r="FD531" s="2"/>
      <c r="FE531" s="2"/>
      <c r="FJ531" s="13"/>
      <c r="FK531" s="13"/>
      <c r="FL531" s="13"/>
      <c r="FM531" s="13"/>
      <c r="FN531" s="13"/>
      <c r="FO531" s="13"/>
      <c r="FP531" s="13"/>
      <c r="FQ531" s="13"/>
      <c r="FR531" s="13"/>
      <c r="FS531" s="13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O532" s="2"/>
      <c r="DP532" s="2"/>
      <c r="DQ532" s="2"/>
      <c r="DY532" s="2"/>
      <c r="DZ532" s="2"/>
      <c r="EA532" s="2"/>
      <c r="EI532" s="2"/>
      <c r="EJ532" s="2"/>
      <c r="EK532" s="2"/>
      <c r="ES532" s="2"/>
      <c r="ET532" s="2"/>
      <c r="EU532" s="2"/>
      <c r="FC532" s="2"/>
      <c r="FD532" s="2"/>
      <c r="FE532" s="2"/>
      <c r="FJ532" s="13"/>
      <c r="FK532" s="13"/>
      <c r="FL532" s="13"/>
      <c r="FM532" s="13"/>
      <c r="FN532" s="13"/>
      <c r="FO532" s="13"/>
      <c r="FP532" s="13"/>
      <c r="FQ532" s="13"/>
      <c r="FR532" s="13"/>
      <c r="FS532" s="13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O533" s="2"/>
      <c r="DP533" s="2"/>
      <c r="DQ533" s="2"/>
      <c r="DY533" s="2"/>
      <c r="DZ533" s="2"/>
      <c r="EA533" s="2"/>
      <c r="EI533" s="2"/>
      <c r="EJ533" s="2"/>
      <c r="EK533" s="2"/>
      <c r="ES533" s="2"/>
      <c r="ET533" s="2"/>
      <c r="EU533" s="2"/>
      <c r="FC533" s="2"/>
      <c r="FD533" s="2"/>
      <c r="FE533" s="2"/>
      <c r="FJ533" s="13"/>
      <c r="FK533" s="13"/>
      <c r="FL533" s="13"/>
      <c r="FM533" s="13"/>
      <c r="FN533" s="13"/>
      <c r="FO533" s="13"/>
      <c r="FP533" s="13"/>
      <c r="FQ533" s="13"/>
      <c r="FR533" s="13"/>
      <c r="FS533" s="13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O534" s="2"/>
      <c r="DP534" s="2"/>
      <c r="DQ534" s="2"/>
      <c r="DY534" s="2"/>
      <c r="DZ534" s="2"/>
      <c r="EA534" s="2"/>
      <c r="EI534" s="2"/>
      <c r="EJ534" s="2"/>
      <c r="EK534" s="2"/>
      <c r="ES534" s="2"/>
      <c r="ET534" s="2"/>
      <c r="EU534" s="2"/>
      <c r="FC534" s="2"/>
      <c r="FD534" s="2"/>
      <c r="FE534" s="2"/>
      <c r="FJ534" s="13"/>
      <c r="FK534" s="13"/>
      <c r="FL534" s="13"/>
      <c r="FM534" s="13"/>
      <c r="FN534" s="13"/>
      <c r="FO534" s="13"/>
      <c r="FP534" s="13"/>
      <c r="FQ534" s="13"/>
      <c r="FR534" s="13"/>
      <c r="FS534" s="13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O535" s="2"/>
      <c r="DP535" s="2"/>
      <c r="DQ535" s="2"/>
      <c r="DY535" s="2"/>
      <c r="DZ535" s="2"/>
      <c r="EA535" s="2"/>
      <c r="EI535" s="2"/>
      <c r="EJ535" s="2"/>
      <c r="EK535" s="2"/>
      <c r="ES535" s="2"/>
      <c r="ET535" s="2"/>
      <c r="EU535" s="2"/>
      <c r="FC535" s="2"/>
      <c r="FD535" s="2"/>
      <c r="FE535" s="2"/>
      <c r="FJ535" s="13"/>
      <c r="FK535" s="13"/>
      <c r="FL535" s="13"/>
      <c r="FM535" s="13"/>
      <c r="FN535" s="13"/>
      <c r="FO535" s="13"/>
      <c r="FP535" s="13"/>
      <c r="FQ535" s="13"/>
      <c r="FR535" s="13"/>
      <c r="FS535" s="13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O536" s="2"/>
      <c r="DP536" s="2"/>
      <c r="DQ536" s="2"/>
      <c r="DY536" s="2"/>
      <c r="DZ536" s="2"/>
      <c r="EA536" s="2"/>
      <c r="EI536" s="2"/>
      <c r="EJ536" s="2"/>
      <c r="EK536" s="2"/>
      <c r="ES536" s="2"/>
      <c r="ET536" s="2"/>
      <c r="EU536" s="2"/>
      <c r="FC536" s="2"/>
      <c r="FD536" s="2"/>
      <c r="FE536" s="2"/>
      <c r="FJ536" s="13"/>
      <c r="FK536" s="13"/>
      <c r="FL536" s="13"/>
      <c r="FM536" s="13"/>
      <c r="FN536" s="13"/>
      <c r="FO536" s="13"/>
      <c r="FP536" s="13"/>
      <c r="FQ536" s="13"/>
      <c r="FR536" s="13"/>
      <c r="FS536" s="13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O537" s="2"/>
      <c r="DP537" s="2"/>
      <c r="DQ537" s="2"/>
      <c r="DY537" s="2"/>
      <c r="DZ537" s="2"/>
      <c r="EA537" s="2"/>
      <c r="EI537" s="2"/>
      <c r="EJ537" s="2"/>
      <c r="EK537" s="2"/>
      <c r="ES537" s="2"/>
      <c r="ET537" s="2"/>
      <c r="EU537" s="2"/>
      <c r="FC537" s="2"/>
      <c r="FD537" s="2"/>
      <c r="FE537" s="2"/>
      <c r="FJ537" s="13"/>
      <c r="FK537" s="13"/>
      <c r="FL537" s="13"/>
      <c r="FM537" s="13"/>
      <c r="FN537" s="13"/>
      <c r="FO537" s="13"/>
      <c r="FP537" s="13"/>
      <c r="FQ537" s="13"/>
      <c r="FR537" s="13"/>
      <c r="FS537" s="13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O538" s="2"/>
      <c r="DP538" s="2"/>
      <c r="DQ538" s="2"/>
      <c r="DY538" s="2"/>
      <c r="DZ538" s="2"/>
      <c r="EA538" s="2"/>
      <c r="EI538" s="2"/>
      <c r="EJ538" s="2"/>
      <c r="EK538" s="2"/>
      <c r="ES538" s="2"/>
      <c r="ET538" s="2"/>
      <c r="EU538" s="2"/>
      <c r="FC538" s="2"/>
      <c r="FD538" s="2"/>
      <c r="FE538" s="2"/>
      <c r="FJ538" s="13"/>
      <c r="FK538" s="13"/>
      <c r="FL538" s="13"/>
      <c r="FM538" s="13"/>
      <c r="FN538" s="13"/>
      <c r="FO538" s="13"/>
      <c r="FP538" s="13"/>
      <c r="FQ538" s="13"/>
      <c r="FR538" s="13"/>
      <c r="FS538" s="13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O539" s="2"/>
      <c r="DP539" s="2"/>
      <c r="DQ539" s="2"/>
      <c r="DY539" s="2"/>
      <c r="DZ539" s="2"/>
      <c r="EA539" s="2"/>
      <c r="EI539" s="2"/>
      <c r="EJ539" s="2"/>
      <c r="EK539" s="2"/>
      <c r="ES539" s="2"/>
      <c r="ET539" s="2"/>
      <c r="EU539" s="2"/>
      <c r="FC539" s="2"/>
      <c r="FD539" s="2"/>
      <c r="FE539" s="2"/>
      <c r="FJ539" s="13"/>
      <c r="FK539" s="13"/>
      <c r="FL539" s="13"/>
      <c r="FM539" s="13"/>
      <c r="FN539" s="13"/>
      <c r="FO539" s="13"/>
      <c r="FP539" s="13"/>
      <c r="FQ539" s="13"/>
      <c r="FR539" s="13"/>
      <c r="FS539" s="13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O540" s="2"/>
      <c r="DP540" s="2"/>
      <c r="DQ540" s="2"/>
      <c r="DY540" s="2"/>
      <c r="DZ540" s="2"/>
      <c r="EA540" s="2"/>
      <c r="EI540" s="2"/>
      <c r="EJ540" s="2"/>
      <c r="EK540" s="2"/>
      <c r="ES540" s="2"/>
      <c r="ET540" s="2"/>
      <c r="EU540" s="2"/>
      <c r="FC540" s="2"/>
      <c r="FD540" s="2"/>
      <c r="FE540" s="2"/>
      <c r="FJ540" s="13"/>
      <c r="FK540" s="13"/>
      <c r="FL540" s="13"/>
      <c r="FM540" s="13"/>
      <c r="FN540" s="13"/>
      <c r="FO540" s="13"/>
      <c r="FP540" s="13"/>
      <c r="FQ540" s="13"/>
      <c r="FR540" s="13"/>
      <c r="FS540" s="13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O541" s="2"/>
      <c r="DP541" s="2"/>
      <c r="DQ541" s="2"/>
      <c r="DY541" s="2"/>
      <c r="DZ541" s="2"/>
      <c r="EA541" s="2"/>
      <c r="EI541" s="2"/>
      <c r="EJ541" s="2"/>
      <c r="EK541" s="2"/>
      <c r="ES541" s="2"/>
      <c r="ET541" s="2"/>
      <c r="EU541" s="2"/>
      <c r="FC541" s="2"/>
      <c r="FD541" s="2"/>
      <c r="FE541" s="2"/>
      <c r="FJ541" s="13"/>
      <c r="FK541" s="13"/>
      <c r="FL541" s="13"/>
      <c r="FM541" s="13"/>
      <c r="FN541" s="13"/>
      <c r="FO541" s="13"/>
      <c r="FP541" s="13"/>
      <c r="FQ541" s="13"/>
      <c r="FR541" s="13"/>
      <c r="FS541" s="13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O542" s="2"/>
      <c r="DP542" s="2"/>
      <c r="DQ542" s="2"/>
      <c r="DY542" s="2"/>
      <c r="DZ542" s="2"/>
      <c r="EA542" s="2"/>
      <c r="EI542" s="2"/>
      <c r="EJ542" s="2"/>
      <c r="EK542" s="2"/>
      <c r="ES542" s="2"/>
      <c r="ET542" s="2"/>
      <c r="EU542" s="2"/>
      <c r="FC542" s="2"/>
      <c r="FD542" s="2"/>
      <c r="FE542" s="2"/>
      <c r="FJ542" s="13"/>
      <c r="FK542" s="13"/>
      <c r="FL542" s="13"/>
      <c r="FM542" s="13"/>
      <c r="FN542" s="13"/>
      <c r="FO542" s="13"/>
      <c r="FP542" s="13"/>
      <c r="FQ542" s="13"/>
      <c r="FR542" s="13"/>
      <c r="FS542" s="13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O543" s="2"/>
      <c r="DP543" s="2"/>
      <c r="DQ543" s="2"/>
      <c r="DY543" s="2"/>
      <c r="DZ543" s="2"/>
      <c r="EA543" s="2"/>
      <c r="EI543" s="2"/>
      <c r="EJ543" s="2"/>
      <c r="EK543" s="2"/>
      <c r="ES543" s="2"/>
      <c r="ET543" s="2"/>
      <c r="EU543" s="2"/>
      <c r="FC543" s="2"/>
      <c r="FD543" s="2"/>
      <c r="FE543" s="2"/>
      <c r="FJ543" s="13"/>
      <c r="FK543" s="13"/>
      <c r="FL543" s="13"/>
      <c r="FM543" s="13"/>
      <c r="FN543" s="13"/>
      <c r="FO543" s="13"/>
      <c r="FP543" s="13"/>
      <c r="FQ543" s="13"/>
      <c r="FR543" s="13"/>
      <c r="FS543" s="13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O544" s="2"/>
      <c r="DP544" s="2"/>
      <c r="DQ544" s="2"/>
      <c r="DY544" s="2"/>
      <c r="DZ544" s="2"/>
      <c r="EA544" s="2"/>
      <c r="EI544" s="2"/>
      <c r="EJ544" s="2"/>
      <c r="EK544" s="2"/>
      <c r="ES544" s="2"/>
      <c r="ET544" s="2"/>
      <c r="EU544" s="2"/>
      <c r="FC544" s="2"/>
      <c r="FD544" s="2"/>
      <c r="FE544" s="2"/>
      <c r="FJ544" s="13"/>
      <c r="FK544" s="13"/>
      <c r="FL544" s="13"/>
      <c r="FM544" s="13"/>
      <c r="FN544" s="13"/>
      <c r="FO544" s="13"/>
      <c r="FP544" s="13"/>
      <c r="FQ544" s="13"/>
      <c r="FR544" s="13"/>
      <c r="FS544" s="13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O545" s="2"/>
      <c r="DP545" s="2"/>
      <c r="DQ545" s="2"/>
      <c r="DY545" s="2"/>
      <c r="DZ545" s="2"/>
      <c r="EA545" s="2"/>
      <c r="EI545" s="2"/>
      <c r="EJ545" s="2"/>
      <c r="EK545" s="2"/>
      <c r="ES545" s="2"/>
      <c r="ET545" s="2"/>
      <c r="EU545" s="2"/>
      <c r="FC545" s="2"/>
      <c r="FD545" s="2"/>
      <c r="FE545" s="2"/>
      <c r="FJ545" s="13"/>
      <c r="FK545" s="13"/>
      <c r="FL545" s="13"/>
      <c r="FM545" s="13"/>
      <c r="FN545" s="13"/>
      <c r="FO545" s="13"/>
      <c r="FP545" s="13"/>
      <c r="FQ545" s="13"/>
      <c r="FR545" s="13"/>
      <c r="FS545" s="13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O546" s="2"/>
      <c r="DP546" s="2"/>
      <c r="DQ546" s="2"/>
      <c r="DY546" s="2"/>
      <c r="DZ546" s="2"/>
      <c r="EA546" s="2"/>
      <c r="EI546" s="2"/>
      <c r="EJ546" s="2"/>
      <c r="EK546" s="2"/>
      <c r="ES546" s="2"/>
      <c r="ET546" s="2"/>
      <c r="EU546" s="2"/>
      <c r="FC546" s="2"/>
      <c r="FD546" s="2"/>
      <c r="FE546" s="2"/>
      <c r="FJ546" s="13"/>
      <c r="FK546" s="13"/>
      <c r="FL546" s="13"/>
      <c r="FM546" s="13"/>
      <c r="FN546" s="13"/>
      <c r="FO546" s="13"/>
      <c r="FP546" s="13"/>
      <c r="FQ546" s="13"/>
      <c r="FR546" s="13"/>
      <c r="FS546" s="13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O547" s="2"/>
      <c r="DP547" s="2"/>
      <c r="DQ547" s="2"/>
      <c r="DY547" s="2"/>
      <c r="DZ547" s="2"/>
      <c r="EA547" s="2"/>
      <c r="EI547" s="2"/>
      <c r="EJ547" s="2"/>
      <c r="EK547" s="2"/>
      <c r="ES547" s="2"/>
      <c r="ET547" s="2"/>
      <c r="EU547" s="2"/>
      <c r="FC547" s="2"/>
      <c r="FD547" s="2"/>
      <c r="FE547" s="2"/>
      <c r="FJ547" s="13"/>
      <c r="FK547" s="13"/>
      <c r="FL547" s="13"/>
      <c r="FM547" s="13"/>
      <c r="FN547" s="13"/>
      <c r="FO547" s="13"/>
      <c r="FP547" s="13"/>
      <c r="FQ547" s="13"/>
      <c r="FR547" s="13"/>
      <c r="FS547" s="13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O548" s="2"/>
      <c r="DP548" s="2"/>
      <c r="DQ548" s="2"/>
      <c r="DY548" s="2"/>
      <c r="DZ548" s="2"/>
      <c r="EA548" s="2"/>
      <c r="EI548" s="2"/>
      <c r="EJ548" s="2"/>
      <c r="EK548" s="2"/>
      <c r="ES548" s="2"/>
      <c r="ET548" s="2"/>
      <c r="EU548" s="2"/>
      <c r="FC548" s="2"/>
      <c r="FD548" s="2"/>
      <c r="FE548" s="2"/>
      <c r="FJ548" s="13"/>
      <c r="FK548" s="13"/>
      <c r="FL548" s="13"/>
      <c r="FM548" s="13"/>
      <c r="FN548" s="13"/>
      <c r="FO548" s="13"/>
      <c r="FP548" s="13"/>
      <c r="FQ548" s="13"/>
      <c r="FR548" s="13"/>
      <c r="FS548" s="13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O549" s="2"/>
      <c r="DP549" s="2"/>
      <c r="DQ549" s="2"/>
      <c r="DY549" s="2"/>
      <c r="DZ549" s="2"/>
      <c r="EA549" s="2"/>
      <c r="EI549" s="2"/>
      <c r="EJ549" s="2"/>
      <c r="EK549" s="2"/>
      <c r="ES549" s="2"/>
      <c r="ET549" s="2"/>
      <c r="EU549" s="2"/>
      <c r="FC549" s="2"/>
      <c r="FD549" s="2"/>
      <c r="FE549" s="2"/>
      <c r="FJ549" s="13"/>
      <c r="FK549" s="13"/>
      <c r="FL549" s="13"/>
      <c r="FM549" s="13"/>
      <c r="FN549" s="13"/>
      <c r="FO549" s="13"/>
      <c r="FP549" s="13"/>
      <c r="FQ549" s="13"/>
      <c r="FR549" s="13"/>
      <c r="FS549" s="13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O550" s="2"/>
      <c r="DP550" s="2"/>
      <c r="DQ550" s="2"/>
      <c r="DY550" s="2"/>
      <c r="DZ550" s="2"/>
      <c r="EA550" s="2"/>
      <c r="EI550" s="2"/>
      <c r="EJ550" s="2"/>
      <c r="EK550" s="2"/>
      <c r="ES550" s="2"/>
      <c r="ET550" s="2"/>
      <c r="EU550" s="2"/>
      <c r="FC550" s="2"/>
      <c r="FD550" s="2"/>
      <c r="FE550" s="2"/>
      <c r="FJ550" s="13"/>
      <c r="FK550" s="13"/>
      <c r="FL550" s="13"/>
      <c r="FM550" s="13"/>
      <c r="FN550" s="13"/>
      <c r="FO550" s="13"/>
      <c r="FP550" s="13"/>
      <c r="FQ550" s="13"/>
      <c r="FR550" s="13"/>
      <c r="FS550" s="13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O551" s="2"/>
      <c r="DP551" s="2"/>
      <c r="DQ551" s="2"/>
      <c r="DY551" s="2"/>
      <c r="DZ551" s="2"/>
      <c r="EA551" s="2"/>
      <c r="EI551" s="2"/>
      <c r="EJ551" s="2"/>
      <c r="EK551" s="2"/>
      <c r="ES551" s="2"/>
      <c r="ET551" s="2"/>
      <c r="EU551" s="2"/>
      <c r="FC551" s="2"/>
      <c r="FD551" s="2"/>
      <c r="FE551" s="2"/>
      <c r="FJ551" s="13"/>
      <c r="FK551" s="13"/>
      <c r="FL551" s="13"/>
      <c r="FM551" s="13"/>
      <c r="FN551" s="13"/>
      <c r="FO551" s="13"/>
      <c r="FP551" s="13"/>
      <c r="FQ551" s="13"/>
      <c r="FR551" s="13"/>
      <c r="FS551" s="13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O552" s="2"/>
      <c r="DP552" s="2"/>
      <c r="DQ552" s="2"/>
      <c r="DY552" s="2"/>
      <c r="DZ552" s="2"/>
      <c r="EA552" s="2"/>
      <c r="EI552" s="2"/>
      <c r="EJ552" s="2"/>
      <c r="EK552" s="2"/>
      <c r="ES552" s="2"/>
      <c r="ET552" s="2"/>
      <c r="EU552" s="2"/>
      <c r="FC552" s="2"/>
      <c r="FD552" s="2"/>
      <c r="FE552" s="2"/>
      <c r="FJ552" s="13"/>
      <c r="FK552" s="13"/>
      <c r="FL552" s="13"/>
      <c r="FM552" s="13"/>
      <c r="FN552" s="13"/>
      <c r="FO552" s="13"/>
      <c r="FP552" s="13"/>
      <c r="FQ552" s="13"/>
      <c r="FR552" s="13"/>
      <c r="FS552" s="13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O553" s="2"/>
      <c r="DP553" s="2"/>
      <c r="DQ553" s="2"/>
      <c r="DY553" s="2"/>
      <c r="DZ553" s="2"/>
      <c r="EA553" s="2"/>
      <c r="EI553" s="2"/>
      <c r="EJ553" s="2"/>
      <c r="EK553" s="2"/>
      <c r="ES553" s="2"/>
      <c r="ET553" s="2"/>
      <c r="EU553" s="2"/>
      <c r="FC553" s="2"/>
      <c r="FD553" s="2"/>
      <c r="FE553" s="2"/>
      <c r="FJ553" s="13"/>
      <c r="FK553" s="13"/>
      <c r="FL553" s="13"/>
      <c r="FM553" s="13"/>
      <c r="FN553" s="13"/>
      <c r="FO553" s="13"/>
      <c r="FP553" s="13"/>
      <c r="FQ553" s="13"/>
      <c r="FR553" s="13"/>
      <c r="FS553" s="13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O554" s="2"/>
      <c r="DP554" s="2"/>
      <c r="DQ554" s="2"/>
      <c r="DY554" s="2"/>
      <c r="DZ554" s="2"/>
      <c r="EA554" s="2"/>
      <c r="EI554" s="2"/>
      <c r="EJ554" s="2"/>
      <c r="EK554" s="2"/>
      <c r="ES554" s="2"/>
      <c r="ET554" s="2"/>
      <c r="EU554" s="2"/>
      <c r="FC554" s="2"/>
      <c r="FD554" s="2"/>
      <c r="FE554" s="2"/>
      <c r="FJ554" s="13"/>
      <c r="FK554" s="13"/>
      <c r="FL554" s="13"/>
      <c r="FM554" s="13"/>
      <c r="FN554" s="13"/>
      <c r="FO554" s="13"/>
      <c r="FP554" s="13"/>
      <c r="FQ554" s="13"/>
      <c r="FR554" s="13"/>
      <c r="FS554" s="13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O555" s="2"/>
      <c r="DP555" s="2"/>
      <c r="DQ555" s="2"/>
      <c r="DY555" s="2"/>
      <c r="DZ555" s="2"/>
      <c r="EA555" s="2"/>
      <c r="EI555" s="2"/>
      <c r="EJ555" s="2"/>
      <c r="EK555" s="2"/>
      <c r="ES555" s="2"/>
      <c r="ET555" s="2"/>
      <c r="EU555" s="2"/>
      <c r="FC555" s="2"/>
      <c r="FD555" s="2"/>
      <c r="FE555" s="2"/>
      <c r="FJ555" s="13"/>
      <c r="FK555" s="13"/>
      <c r="FL555" s="13"/>
      <c r="FM555" s="13"/>
      <c r="FN555" s="13"/>
      <c r="FO555" s="13"/>
      <c r="FP555" s="13"/>
      <c r="FQ555" s="13"/>
      <c r="FR555" s="13"/>
      <c r="FS555" s="13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O556" s="2"/>
      <c r="DP556" s="2"/>
      <c r="DQ556" s="2"/>
      <c r="DY556" s="2"/>
      <c r="DZ556" s="2"/>
      <c r="EA556" s="2"/>
      <c r="EI556" s="2"/>
      <c r="EJ556" s="2"/>
      <c r="EK556" s="2"/>
      <c r="ES556" s="2"/>
      <c r="ET556" s="2"/>
      <c r="EU556" s="2"/>
      <c r="FC556" s="2"/>
      <c r="FD556" s="2"/>
      <c r="FE556" s="2"/>
      <c r="FJ556" s="13"/>
      <c r="FK556" s="13"/>
      <c r="FL556" s="13"/>
      <c r="FM556" s="13"/>
      <c r="FN556" s="13"/>
      <c r="FO556" s="13"/>
      <c r="FP556" s="13"/>
      <c r="FQ556" s="13"/>
      <c r="FR556" s="13"/>
      <c r="FS556" s="13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O557" s="2"/>
      <c r="DP557" s="2"/>
      <c r="DQ557" s="2"/>
      <c r="DY557" s="2"/>
      <c r="DZ557" s="2"/>
      <c r="EA557" s="2"/>
      <c r="EI557" s="2"/>
      <c r="EJ557" s="2"/>
      <c r="EK557" s="2"/>
      <c r="ES557" s="2"/>
      <c r="ET557" s="2"/>
      <c r="EU557" s="2"/>
      <c r="FC557" s="2"/>
      <c r="FD557" s="2"/>
      <c r="FE557" s="2"/>
      <c r="FJ557" s="13"/>
      <c r="FK557" s="13"/>
      <c r="FL557" s="13"/>
      <c r="FM557" s="13"/>
      <c r="FN557" s="13"/>
      <c r="FO557" s="13"/>
      <c r="FP557" s="13"/>
      <c r="FQ557" s="13"/>
      <c r="FR557" s="13"/>
      <c r="FS557" s="13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O558" s="2"/>
      <c r="DP558" s="2"/>
      <c r="DQ558" s="2"/>
      <c r="DY558" s="2"/>
      <c r="DZ558" s="2"/>
      <c r="EA558" s="2"/>
      <c r="EI558" s="2"/>
      <c r="EJ558" s="2"/>
      <c r="EK558" s="2"/>
      <c r="ES558" s="2"/>
      <c r="ET558" s="2"/>
      <c r="EU558" s="2"/>
      <c r="FC558" s="2"/>
      <c r="FD558" s="2"/>
      <c r="FE558" s="2"/>
      <c r="FJ558" s="13"/>
      <c r="FK558" s="13"/>
      <c r="FL558" s="13"/>
      <c r="FM558" s="13"/>
      <c r="FN558" s="13"/>
      <c r="FO558" s="13"/>
      <c r="FP558" s="13"/>
      <c r="FQ558" s="13"/>
      <c r="FR558" s="13"/>
      <c r="FS558" s="13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O559" s="2"/>
      <c r="DP559" s="2"/>
      <c r="DQ559" s="2"/>
      <c r="DY559" s="2"/>
      <c r="DZ559" s="2"/>
      <c r="EA559" s="2"/>
      <c r="EI559" s="2"/>
      <c r="EJ559" s="2"/>
      <c r="EK559" s="2"/>
      <c r="ES559" s="2"/>
      <c r="ET559" s="2"/>
      <c r="EU559" s="2"/>
      <c r="FC559" s="2"/>
      <c r="FD559" s="2"/>
      <c r="FE559" s="2"/>
      <c r="FJ559" s="13"/>
      <c r="FK559" s="13"/>
      <c r="FL559" s="13"/>
      <c r="FM559" s="13"/>
      <c r="FN559" s="13"/>
      <c r="FO559" s="13"/>
      <c r="FP559" s="13"/>
      <c r="FQ559" s="13"/>
      <c r="FR559" s="13"/>
      <c r="FS559" s="13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O560" s="2"/>
      <c r="DP560" s="2"/>
      <c r="DQ560" s="2"/>
      <c r="DY560" s="2"/>
      <c r="DZ560" s="2"/>
      <c r="EA560" s="2"/>
      <c r="EI560" s="2"/>
      <c r="EJ560" s="2"/>
      <c r="EK560" s="2"/>
      <c r="ES560" s="2"/>
      <c r="ET560" s="2"/>
      <c r="EU560" s="2"/>
      <c r="FC560" s="2"/>
      <c r="FD560" s="2"/>
      <c r="FE560" s="2"/>
      <c r="FJ560" s="13"/>
      <c r="FK560" s="13"/>
      <c r="FL560" s="13"/>
      <c r="FM560" s="13"/>
      <c r="FN560" s="13"/>
      <c r="FO560" s="13"/>
      <c r="FP560" s="13"/>
      <c r="FQ560" s="13"/>
      <c r="FR560" s="13"/>
      <c r="FS560" s="13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O561" s="2"/>
      <c r="DP561" s="2"/>
      <c r="DQ561" s="2"/>
      <c r="DY561" s="2"/>
      <c r="DZ561" s="2"/>
      <c r="EA561" s="2"/>
      <c r="EI561" s="2"/>
      <c r="EJ561" s="2"/>
      <c r="EK561" s="2"/>
      <c r="ES561" s="2"/>
      <c r="ET561" s="2"/>
      <c r="EU561" s="2"/>
      <c r="FC561" s="2"/>
      <c r="FD561" s="2"/>
      <c r="FE561" s="2"/>
      <c r="FJ561" s="13"/>
      <c r="FK561" s="13"/>
      <c r="FL561" s="13"/>
      <c r="FM561" s="13"/>
      <c r="FN561" s="13"/>
      <c r="FO561" s="13"/>
      <c r="FP561" s="13"/>
      <c r="FQ561" s="13"/>
      <c r="FR561" s="13"/>
      <c r="FS561" s="13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O562" s="2"/>
      <c r="DP562" s="2"/>
      <c r="DQ562" s="2"/>
      <c r="DY562" s="2"/>
      <c r="DZ562" s="2"/>
      <c r="EA562" s="2"/>
      <c r="EI562" s="2"/>
      <c r="EJ562" s="2"/>
      <c r="EK562" s="2"/>
      <c r="ES562" s="2"/>
      <c r="ET562" s="2"/>
      <c r="EU562" s="2"/>
      <c r="FC562" s="2"/>
      <c r="FD562" s="2"/>
      <c r="FE562" s="2"/>
      <c r="FJ562" s="13"/>
      <c r="FK562" s="13"/>
      <c r="FL562" s="13"/>
      <c r="FM562" s="13"/>
      <c r="FN562" s="13"/>
      <c r="FO562" s="13"/>
      <c r="FP562" s="13"/>
      <c r="FQ562" s="13"/>
      <c r="FR562" s="13"/>
      <c r="FS562" s="13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O563" s="2"/>
      <c r="DP563" s="2"/>
      <c r="DQ563" s="2"/>
      <c r="DY563" s="2"/>
      <c r="DZ563" s="2"/>
      <c r="EA563" s="2"/>
      <c r="EI563" s="2"/>
      <c r="EJ563" s="2"/>
      <c r="EK563" s="2"/>
      <c r="ES563" s="2"/>
      <c r="ET563" s="2"/>
      <c r="EU563" s="2"/>
      <c r="FC563" s="2"/>
      <c r="FD563" s="2"/>
      <c r="FE563" s="2"/>
      <c r="FJ563" s="13"/>
      <c r="FK563" s="13"/>
      <c r="FL563" s="13"/>
      <c r="FM563" s="13"/>
      <c r="FN563" s="13"/>
      <c r="FO563" s="13"/>
      <c r="FP563" s="13"/>
      <c r="FQ563" s="13"/>
      <c r="FR563" s="13"/>
      <c r="FS563" s="13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O564" s="2"/>
      <c r="DP564" s="2"/>
      <c r="DQ564" s="2"/>
      <c r="DY564" s="2"/>
      <c r="DZ564" s="2"/>
      <c r="EA564" s="2"/>
      <c r="EI564" s="2"/>
      <c r="EJ564" s="2"/>
      <c r="EK564" s="2"/>
      <c r="ES564" s="2"/>
      <c r="ET564" s="2"/>
      <c r="EU564" s="2"/>
      <c r="FC564" s="2"/>
      <c r="FD564" s="2"/>
      <c r="FE564" s="2"/>
      <c r="FJ564" s="13"/>
      <c r="FK564" s="13"/>
      <c r="FL564" s="13"/>
      <c r="FM564" s="13"/>
      <c r="FN564" s="13"/>
      <c r="FO564" s="13"/>
      <c r="FP564" s="13"/>
      <c r="FQ564" s="13"/>
      <c r="FR564" s="13"/>
      <c r="FS564" s="13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O565" s="2"/>
      <c r="DP565" s="2"/>
      <c r="DQ565" s="2"/>
      <c r="DY565" s="2"/>
      <c r="DZ565" s="2"/>
      <c r="EA565" s="2"/>
      <c r="EI565" s="2"/>
      <c r="EJ565" s="2"/>
      <c r="EK565" s="2"/>
      <c r="ES565" s="2"/>
      <c r="ET565" s="2"/>
      <c r="EU565" s="2"/>
      <c r="FC565" s="2"/>
      <c r="FD565" s="2"/>
      <c r="FE565" s="2"/>
      <c r="FJ565" s="13"/>
      <c r="FK565" s="13"/>
      <c r="FL565" s="13"/>
      <c r="FM565" s="13"/>
      <c r="FN565" s="13"/>
      <c r="FO565" s="13"/>
      <c r="FP565" s="13"/>
      <c r="FQ565" s="13"/>
      <c r="FR565" s="13"/>
      <c r="FS565" s="13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O566" s="2"/>
      <c r="DP566" s="2"/>
      <c r="DQ566" s="2"/>
      <c r="DY566" s="2"/>
      <c r="DZ566" s="2"/>
      <c r="EA566" s="2"/>
      <c r="EI566" s="2"/>
      <c r="EJ566" s="2"/>
      <c r="EK566" s="2"/>
      <c r="ES566" s="2"/>
      <c r="ET566" s="2"/>
      <c r="EU566" s="2"/>
      <c r="FC566" s="2"/>
      <c r="FD566" s="2"/>
      <c r="FE566" s="2"/>
      <c r="FJ566" s="13"/>
      <c r="FK566" s="13"/>
      <c r="FL566" s="13"/>
      <c r="FM566" s="13"/>
      <c r="FN566" s="13"/>
      <c r="FO566" s="13"/>
      <c r="FP566" s="13"/>
      <c r="FQ566" s="13"/>
      <c r="FR566" s="13"/>
      <c r="FS566" s="13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O567" s="2"/>
      <c r="DP567" s="2"/>
      <c r="DQ567" s="2"/>
      <c r="DY567" s="2"/>
      <c r="DZ567" s="2"/>
      <c r="EA567" s="2"/>
      <c r="EI567" s="2"/>
      <c r="EJ567" s="2"/>
      <c r="EK567" s="2"/>
      <c r="ES567" s="2"/>
      <c r="ET567" s="2"/>
      <c r="EU567" s="2"/>
      <c r="FC567" s="2"/>
      <c r="FD567" s="2"/>
      <c r="FE567" s="2"/>
      <c r="FJ567" s="13"/>
      <c r="FK567" s="13"/>
      <c r="FL567" s="13"/>
      <c r="FM567" s="13"/>
      <c r="FN567" s="13"/>
      <c r="FO567" s="13"/>
      <c r="FP567" s="13"/>
      <c r="FQ567" s="13"/>
      <c r="FR567" s="13"/>
      <c r="FS567" s="13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O568" s="2"/>
      <c r="DP568" s="2"/>
      <c r="DQ568" s="2"/>
      <c r="DY568" s="2"/>
      <c r="DZ568" s="2"/>
      <c r="EA568" s="2"/>
      <c r="EI568" s="2"/>
      <c r="EJ568" s="2"/>
      <c r="EK568" s="2"/>
      <c r="ES568" s="2"/>
      <c r="ET568" s="2"/>
      <c r="EU568" s="2"/>
      <c r="FC568" s="2"/>
      <c r="FD568" s="2"/>
      <c r="FE568" s="2"/>
      <c r="FJ568" s="13"/>
      <c r="FK568" s="13"/>
      <c r="FL568" s="13"/>
      <c r="FM568" s="13"/>
      <c r="FN568" s="13"/>
      <c r="FO568" s="13"/>
      <c r="FP568" s="13"/>
      <c r="FQ568" s="13"/>
      <c r="FR568" s="13"/>
      <c r="FS568" s="13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O569" s="2"/>
      <c r="DP569" s="2"/>
      <c r="DQ569" s="2"/>
      <c r="DY569" s="2"/>
      <c r="DZ569" s="2"/>
      <c r="EA569" s="2"/>
      <c r="EI569" s="2"/>
      <c r="EJ569" s="2"/>
      <c r="EK569" s="2"/>
      <c r="ES569" s="2"/>
      <c r="ET569" s="2"/>
      <c r="EU569" s="2"/>
      <c r="FC569" s="2"/>
      <c r="FD569" s="2"/>
      <c r="FE569" s="2"/>
      <c r="FJ569" s="13"/>
      <c r="FK569" s="13"/>
      <c r="FL569" s="13"/>
      <c r="FM569" s="13"/>
      <c r="FN569" s="13"/>
      <c r="FO569" s="13"/>
      <c r="FP569" s="13"/>
      <c r="FQ569" s="13"/>
      <c r="FR569" s="13"/>
      <c r="FS569" s="13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O570" s="2"/>
      <c r="DP570" s="2"/>
      <c r="DQ570" s="2"/>
      <c r="DY570" s="2"/>
      <c r="DZ570" s="2"/>
      <c r="EA570" s="2"/>
      <c r="EI570" s="2"/>
      <c r="EJ570" s="2"/>
      <c r="EK570" s="2"/>
      <c r="ES570" s="2"/>
      <c r="ET570" s="2"/>
      <c r="EU570" s="2"/>
      <c r="FC570" s="2"/>
      <c r="FD570" s="2"/>
      <c r="FE570" s="2"/>
      <c r="FJ570" s="13"/>
      <c r="FK570" s="13"/>
      <c r="FL570" s="13"/>
      <c r="FM570" s="13"/>
      <c r="FN570" s="13"/>
      <c r="FO570" s="13"/>
      <c r="FP570" s="13"/>
      <c r="FQ570" s="13"/>
      <c r="FR570" s="13"/>
      <c r="FS570" s="13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O571" s="2"/>
      <c r="DP571" s="2"/>
      <c r="DQ571" s="2"/>
      <c r="DY571" s="2"/>
      <c r="DZ571" s="2"/>
      <c r="EA571" s="2"/>
      <c r="EI571" s="2"/>
      <c r="EJ571" s="2"/>
      <c r="EK571" s="2"/>
      <c r="ES571" s="2"/>
      <c r="ET571" s="2"/>
      <c r="EU571" s="2"/>
      <c r="FC571" s="2"/>
      <c r="FD571" s="2"/>
      <c r="FE571" s="2"/>
      <c r="FJ571" s="13"/>
      <c r="FK571" s="13"/>
      <c r="FL571" s="13"/>
      <c r="FM571" s="13"/>
      <c r="FN571" s="13"/>
      <c r="FO571" s="13"/>
      <c r="FP571" s="13"/>
      <c r="FQ571" s="13"/>
      <c r="FR571" s="13"/>
      <c r="FS571" s="13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O572" s="2"/>
      <c r="DP572" s="2"/>
      <c r="DQ572" s="2"/>
      <c r="DY572" s="2"/>
      <c r="DZ572" s="2"/>
      <c r="EA572" s="2"/>
      <c r="EI572" s="2"/>
      <c r="EJ572" s="2"/>
      <c r="EK572" s="2"/>
      <c r="ES572" s="2"/>
      <c r="ET572" s="2"/>
      <c r="EU572" s="2"/>
      <c r="FC572" s="2"/>
      <c r="FD572" s="2"/>
      <c r="FE572" s="2"/>
      <c r="FJ572" s="13"/>
      <c r="FK572" s="13"/>
      <c r="FL572" s="13"/>
      <c r="FM572" s="13"/>
      <c r="FN572" s="13"/>
      <c r="FO572" s="13"/>
      <c r="FP572" s="13"/>
      <c r="FQ572" s="13"/>
      <c r="FR572" s="13"/>
      <c r="FS572" s="13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O573" s="2"/>
      <c r="DP573" s="2"/>
      <c r="DQ573" s="2"/>
      <c r="DY573" s="2"/>
      <c r="DZ573" s="2"/>
      <c r="EA573" s="2"/>
      <c r="EI573" s="2"/>
      <c r="EJ573" s="2"/>
      <c r="EK573" s="2"/>
      <c r="ES573" s="2"/>
      <c r="ET573" s="2"/>
      <c r="EU573" s="2"/>
      <c r="FC573" s="2"/>
      <c r="FD573" s="2"/>
      <c r="FE573" s="2"/>
      <c r="FJ573" s="13"/>
      <c r="FK573" s="13"/>
      <c r="FL573" s="13"/>
      <c r="FM573" s="13"/>
      <c r="FN573" s="13"/>
      <c r="FO573" s="13"/>
      <c r="FP573" s="13"/>
      <c r="FQ573" s="13"/>
      <c r="FR573" s="13"/>
      <c r="FS573" s="13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O574" s="2"/>
      <c r="DP574" s="2"/>
      <c r="DQ574" s="2"/>
      <c r="DY574" s="2"/>
      <c r="DZ574" s="2"/>
      <c r="EA574" s="2"/>
      <c r="EI574" s="2"/>
      <c r="EJ574" s="2"/>
      <c r="EK574" s="2"/>
      <c r="ES574" s="2"/>
      <c r="ET574" s="2"/>
      <c r="EU574" s="2"/>
      <c r="FC574" s="2"/>
      <c r="FD574" s="2"/>
      <c r="FE574" s="2"/>
      <c r="FJ574" s="13"/>
      <c r="FK574" s="13"/>
      <c r="FL574" s="13"/>
      <c r="FM574" s="13"/>
      <c r="FN574" s="13"/>
      <c r="FO574" s="13"/>
      <c r="FP574" s="13"/>
      <c r="FQ574" s="13"/>
      <c r="FR574" s="13"/>
      <c r="FS574" s="13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O575" s="2"/>
      <c r="DP575" s="2"/>
      <c r="DQ575" s="2"/>
      <c r="DY575" s="2"/>
      <c r="DZ575" s="2"/>
      <c r="EA575" s="2"/>
      <c r="EI575" s="2"/>
      <c r="EJ575" s="2"/>
      <c r="EK575" s="2"/>
      <c r="ES575" s="2"/>
      <c r="ET575" s="2"/>
      <c r="EU575" s="2"/>
      <c r="FC575" s="2"/>
      <c r="FD575" s="2"/>
      <c r="FE575" s="2"/>
      <c r="FJ575" s="13"/>
      <c r="FK575" s="13"/>
      <c r="FL575" s="13"/>
      <c r="FM575" s="13"/>
      <c r="FN575" s="13"/>
      <c r="FO575" s="13"/>
      <c r="FP575" s="13"/>
      <c r="FQ575" s="13"/>
      <c r="FR575" s="13"/>
      <c r="FS575" s="13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O576" s="2"/>
      <c r="DP576" s="2"/>
      <c r="DQ576" s="2"/>
      <c r="DY576" s="2"/>
      <c r="DZ576" s="2"/>
      <c r="EA576" s="2"/>
      <c r="EI576" s="2"/>
      <c r="EJ576" s="2"/>
      <c r="EK576" s="2"/>
      <c r="ES576" s="2"/>
      <c r="ET576" s="2"/>
      <c r="EU576" s="2"/>
      <c r="FC576" s="2"/>
      <c r="FD576" s="2"/>
      <c r="FE576" s="2"/>
      <c r="FJ576" s="13"/>
      <c r="FK576" s="13"/>
      <c r="FL576" s="13"/>
      <c r="FM576" s="13"/>
      <c r="FN576" s="13"/>
      <c r="FO576" s="13"/>
      <c r="FP576" s="13"/>
      <c r="FQ576" s="13"/>
      <c r="FR576" s="13"/>
      <c r="FS576" s="13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O577" s="2"/>
      <c r="DP577" s="2"/>
      <c r="DQ577" s="2"/>
      <c r="DY577" s="2"/>
      <c r="DZ577" s="2"/>
      <c r="EA577" s="2"/>
      <c r="EI577" s="2"/>
      <c r="EJ577" s="2"/>
      <c r="EK577" s="2"/>
      <c r="ES577" s="2"/>
      <c r="ET577" s="2"/>
      <c r="EU577" s="2"/>
      <c r="FC577" s="2"/>
      <c r="FD577" s="2"/>
      <c r="FE577" s="2"/>
      <c r="FJ577" s="13"/>
      <c r="FK577" s="13"/>
      <c r="FL577" s="13"/>
      <c r="FM577" s="13"/>
      <c r="FN577" s="13"/>
      <c r="FO577" s="13"/>
      <c r="FP577" s="13"/>
      <c r="FQ577" s="13"/>
      <c r="FR577" s="13"/>
      <c r="FS577" s="13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O578" s="2"/>
      <c r="DP578" s="2"/>
      <c r="DQ578" s="2"/>
      <c r="DY578" s="2"/>
      <c r="DZ578" s="2"/>
      <c r="EA578" s="2"/>
      <c r="EI578" s="2"/>
      <c r="EJ578" s="2"/>
      <c r="EK578" s="2"/>
      <c r="ES578" s="2"/>
      <c r="ET578" s="2"/>
      <c r="EU578" s="2"/>
      <c r="FC578" s="2"/>
      <c r="FD578" s="2"/>
      <c r="FE578" s="2"/>
      <c r="FJ578" s="13"/>
      <c r="FK578" s="13"/>
      <c r="FL578" s="13"/>
      <c r="FM578" s="13"/>
      <c r="FN578" s="13"/>
      <c r="FO578" s="13"/>
      <c r="FP578" s="13"/>
      <c r="FQ578" s="13"/>
      <c r="FR578" s="13"/>
      <c r="FS578" s="13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O579" s="2"/>
      <c r="DP579" s="2"/>
      <c r="DQ579" s="2"/>
      <c r="DY579" s="2"/>
      <c r="DZ579" s="2"/>
      <c r="EA579" s="2"/>
      <c r="EI579" s="2"/>
      <c r="EJ579" s="2"/>
      <c r="EK579" s="2"/>
      <c r="ES579" s="2"/>
      <c r="ET579" s="2"/>
      <c r="EU579" s="2"/>
      <c r="FC579" s="2"/>
      <c r="FD579" s="2"/>
      <c r="FE579" s="2"/>
      <c r="FJ579" s="13"/>
      <c r="FK579" s="13"/>
      <c r="FL579" s="13"/>
      <c r="FM579" s="13"/>
      <c r="FN579" s="13"/>
      <c r="FO579" s="13"/>
      <c r="FP579" s="13"/>
      <c r="FQ579" s="13"/>
      <c r="FR579" s="13"/>
      <c r="FS579" s="13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O580" s="2"/>
      <c r="DP580" s="2"/>
      <c r="DQ580" s="2"/>
      <c r="DY580" s="2"/>
      <c r="DZ580" s="2"/>
      <c r="EA580" s="2"/>
      <c r="EI580" s="2"/>
      <c r="EJ580" s="2"/>
      <c r="EK580" s="2"/>
      <c r="ES580" s="2"/>
      <c r="ET580" s="2"/>
      <c r="EU580" s="2"/>
      <c r="FC580" s="2"/>
      <c r="FD580" s="2"/>
      <c r="FE580" s="2"/>
      <c r="FJ580" s="13"/>
      <c r="FK580" s="13"/>
      <c r="FL580" s="13"/>
      <c r="FM580" s="13"/>
      <c r="FN580" s="13"/>
      <c r="FO580" s="13"/>
      <c r="FP580" s="13"/>
      <c r="FQ580" s="13"/>
      <c r="FR580" s="13"/>
      <c r="FS580" s="13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O581" s="2"/>
      <c r="DP581" s="2"/>
      <c r="DQ581" s="2"/>
      <c r="DY581" s="2"/>
      <c r="DZ581" s="2"/>
      <c r="EA581" s="2"/>
      <c r="EI581" s="2"/>
      <c r="EJ581" s="2"/>
      <c r="EK581" s="2"/>
      <c r="ES581" s="2"/>
      <c r="ET581" s="2"/>
      <c r="EU581" s="2"/>
      <c r="FC581" s="2"/>
      <c r="FD581" s="2"/>
      <c r="FE581" s="2"/>
      <c r="FJ581" s="13"/>
      <c r="FK581" s="13"/>
      <c r="FL581" s="13"/>
      <c r="FM581" s="13"/>
      <c r="FN581" s="13"/>
      <c r="FO581" s="13"/>
      <c r="FP581" s="13"/>
      <c r="FQ581" s="13"/>
      <c r="FR581" s="13"/>
      <c r="FS581" s="13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O582" s="2"/>
      <c r="DP582" s="2"/>
      <c r="DQ582" s="2"/>
      <c r="DY582" s="2"/>
      <c r="DZ582" s="2"/>
      <c r="EA582" s="2"/>
      <c r="EI582" s="2"/>
      <c r="EJ582" s="2"/>
      <c r="EK582" s="2"/>
      <c r="ES582" s="2"/>
      <c r="ET582" s="2"/>
      <c r="EU582" s="2"/>
      <c r="FC582" s="2"/>
      <c r="FD582" s="2"/>
      <c r="FE582" s="2"/>
      <c r="FJ582" s="13"/>
      <c r="FK582" s="13"/>
      <c r="FL582" s="13"/>
      <c r="FM582" s="13"/>
      <c r="FN582" s="13"/>
      <c r="FO582" s="13"/>
      <c r="FP582" s="13"/>
      <c r="FQ582" s="13"/>
      <c r="FR582" s="13"/>
      <c r="FS582" s="13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O583" s="2"/>
      <c r="DP583" s="2"/>
      <c r="DQ583" s="2"/>
      <c r="DY583" s="2"/>
      <c r="DZ583" s="2"/>
      <c r="EA583" s="2"/>
      <c r="EI583" s="2"/>
      <c r="EJ583" s="2"/>
      <c r="EK583" s="2"/>
      <c r="ES583" s="2"/>
      <c r="ET583" s="2"/>
      <c r="EU583" s="2"/>
      <c r="FC583" s="2"/>
      <c r="FD583" s="2"/>
      <c r="FE583" s="2"/>
      <c r="FJ583" s="13"/>
      <c r="FK583" s="13"/>
      <c r="FL583" s="13"/>
      <c r="FM583" s="13"/>
      <c r="FN583" s="13"/>
      <c r="FO583" s="13"/>
      <c r="FP583" s="13"/>
      <c r="FQ583" s="13"/>
      <c r="FR583" s="13"/>
      <c r="FS583" s="13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O584" s="2"/>
      <c r="DP584" s="2"/>
      <c r="DQ584" s="2"/>
      <c r="DY584" s="2"/>
      <c r="DZ584" s="2"/>
      <c r="EA584" s="2"/>
      <c r="EI584" s="2"/>
      <c r="EJ584" s="2"/>
      <c r="EK584" s="2"/>
      <c r="ES584" s="2"/>
      <c r="ET584" s="2"/>
      <c r="EU584" s="2"/>
      <c r="FC584" s="2"/>
      <c r="FD584" s="2"/>
      <c r="FE584" s="2"/>
      <c r="FJ584" s="13"/>
      <c r="FK584" s="13"/>
      <c r="FL584" s="13"/>
      <c r="FM584" s="13"/>
      <c r="FN584" s="13"/>
      <c r="FO584" s="13"/>
      <c r="FP584" s="13"/>
      <c r="FQ584" s="13"/>
      <c r="FR584" s="13"/>
      <c r="FS584" s="13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O585" s="2"/>
      <c r="DP585" s="2"/>
      <c r="DQ585" s="2"/>
      <c r="DY585" s="2"/>
      <c r="DZ585" s="2"/>
      <c r="EA585" s="2"/>
      <c r="EI585" s="2"/>
      <c r="EJ585" s="2"/>
      <c r="EK585" s="2"/>
      <c r="ES585" s="2"/>
      <c r="ET585" s="2"/>
      <c r="EU585" s="2"/>
      <c r="FC585" s="2"/>
      <c r="FD585" s="2"/>
      <c r="FE585" s="2"/>
      <c r="FJ585" s="13"/>
      <c r="FK585" s="13"/>
      <c r="FL585" s="13"/>
      <c r="FM585" s="13"/>
      <c r="FN585" s="13"/>
      <c r="FO585" s="13"/>
      <c r="FP585" s="13"/>
      <c r="FQ585" s="13"/>
      <c r="FR585" s="13"/>
      <c r="FS585" s="13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O586" s="2"/>
      <c r="DP586" s="2"/>
      <c r="DQ586" s="2"/>
      <c r="DY586" s="2"/>
      <c r="DZ586" s="2"/>
      <c r="EA586" s="2"/>
      <c r="EI586" s="2"/>
      <c r="EJ586" s="2"/>
      <c r="EK586" s="2"/>
      <c r="ES586" s="2"/>
      <c r="ET586" s="2"/>
      <c r="EU586" s="2"/>
      <c r="FC586" s="2"/>
      <c r="FD586" s="2"/>
      <c r="FE586" s="2"/>
      <c r="FJ586" s="13"/>
      <c r="FK586" s="13"/>
      <c r="FL586" s="13"/>
      <c r="FM586" s="13"/>
      <c r="FN586" s="13"/>
      <c r="FO586" s="13"/>
      <c r="FP586" s="13"/>
      <c r="FQ586" s="13"/>
      <c r="FR586" s="13"/>
      <c r="FS586" s="13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O587" s="2"/>
      <c r="DP587" s="2"/>
      <c r="DQ587" s="2"/>
      <c r="DY587" s="2"/>
      <c r="DZ587" s="2"/>
      <c r="EA587" s="2"/>
      <c r="EI587" s="2"/>
      <c r="EJ587" s="2"/>
      <c r="EK587" s="2"/>
      <c r="ES587" s="2"/>
      <c r="ET587" s="2"/>
      <c r="EU587" s="2"/>
      <c r="FC587" s="2"/>
      <c r="FD587" s="2"/>
      <c r="FE587" s="2"/>
      <c r="FJ587" s="13"/>
      <c r="FK587" s="13"/>
      <c r="FL587" s="13"/>
      <c r="FM587" s="13"/>
      <c r="FN587" s="13"/>
      <c r="FO587" s="13"/>
      <c r="FP587" s="13"/>
      <c r="FQ587" s="13"/>
      <c r="FR587" s="13"/>
      <c r="FS587" s="13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O588" s="2"/>
      <c r="DP588" s="2"/>
      <c r="DQ588" s="2"/>
      <c r="DY588" s="2"/>
      <c r="DZ588" s="2"/>
      <c r="EA588" s="2"/>
      <c r="EI588" s="2"/>
      <c r="EJ588" s="2"/>
      <c r="EK588" s="2"/>
      <c r="ES588" s="2"/>
      <c r="ET588" s="2"/>
      <c r="EU588" s="2"/>
      <c r="FC588" s="2"/>
      <c r="FD588" s="2"/>
      <c r="FE588" s="2"/>
      <c r="FJ588" s="13"/>
      <c r="FK588" s="13"/>
      <c r="FL588" s="13"/>
      <c r="FM588" s="13"/>
      <c r="FN588" s="13"/>
      <c r="FO588" s="13"/>
      <c r="FP588" s="13"/>
      <c r="FQ588" s="13"/>
      <c r="FR588" s="13"/>
      <c r="FS588" s="13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O589" s="2"/>
      <c r="DP589" s="2"/>
      <c r="DQ589" s="2"/>
      <c r="DY589" s="2"/>
      <c r="DZ589" s="2"/>
      <c r="EA589" s="2"/>
      <c r="EI589" s="2"/>
      <c r="EJ589" s="2"/>
      <c r="EK589" s="2"/>
      <c r="ES589" s="2"/>
      <c r="ET589" s="2"/>
      <c r="EU589" s="2"/>
      <c r="FC589" s="2"/>
      <c r="FD589" s="2"/>
      <c r="FE589" s="2"/>
      <c r="FJ589" s="13"/>
      <c r="FK589" s="13"/>
      <c r="FL589" s="13"/>
      <c r="FM589" s="13"/>
      <c r="FN589" s="13"/>
      <c r="FO589" s="13"/>
      <c r="FP589" s="13"/>
      <c r="FQ589" s="13"/>
      <c r="FR589" s="13"/>
      <c r="FS589" s="13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O590" s="2"/>
      <c r="DP590" s="2"/>
      <c r="DQ590" s="2"/>
      <c r="DY590" s="2"/>
      <c r="DZ590" s="2"/>
      <c r="EA590" s="2"/>
      <c r="EI590" s="2"/>
      <c r="EJ590" s="2"/>
      <c r="EK590" s="2"/>
      <c r="ES590" s="2"/>
      <c r="ET590" s="2"/>
      <c r="EU590" s="2"/>
      <c r="FC590" s="2"/>
      <c r="FD590" s="2"/>
      <c r="FE590" s="2"/>
      <c r="FJ590" s="13"/>
      <c r="FK590" s="13"/>
      <c r="FL590" s="13"/>
      <c r="FM590" s="13"/>
      <c r="FN590" s="13"/>
      <c r="FO590" s="13"/>
      <c r="FP590" s="13"/>
      <c r="FQ590" s="13"/>
      <c r="FR590" s="13"/>
      <c r="FS590" s="13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O591" s="2"/>
      <c r="DP591" s="2"/>
      <c r="DQ591" s="2"/>
      <c r="DY591" s="2"/>
      <c r="DZ591" s="2"/>
      <c r="EA591" s="2"/>
      <c r="EI591" s="2"/>
      <c r="EJ591" s="2"/>
      <c r="EK591" s="2"/>
      <c r="ES591" s="2"/>
      <c r="ET591" s="2"/>
      <c r="EU591" s="2"/>
      <c r="FC591" s="2"/>
      <c r="FD591" s="2"/>
      <c r="FE591" s="2"/>
      <c r="FJ591" s="13"/>
      <c r="FK591" s="13"/>
      <c r="FL591" s="13"/>
      <c r="FM591" s="13"/>
      <c r="FN591" s="13"/>
      <c r="FO591" s="13"/>
      <c r="FP591" s="13"/>
      <c r="FQ591" s="13"/>
      <c r="FR591" s="13"/>
      <c r="FS591" s="13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O592" s="2"/>
      <c r="DP592" s="2"/>
      <c r="DQ592" s="2"/>
      <c r="DY592" s="2"/>
      <c r="DZ592" s="2"/>
      <c r="EA592" s="2"/>
      <c r="EI592" s="2"/>
      <c r="EJ592" s="2"/>
      <c r="EK592" s="2"/>
      <c r="ES592" s="2"/>
      <c r="ET592" s="2"/>
      <c r="EU592" s="2"/>
      <c r="FC592" s="2"/>
      <c r="FD592" s="2"/>
      <c r="FE592" s="2"/>
      <c r="FJ592" s="13"/>
      <c r="FK592" s="13"/>
      <c r="FL592" s="13"/>
      <c r="FM592" s="13"/>
      <c r="FN592" s="13"/>
      <c r="FO592" s="13"/>
      <c r="FP592" s="13"/>
      <c r="FQ592" s="13"/>
      <c r="FR592" s="13"/>
      <c r="FS592" s="13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O593" s="2"/>
      <c r="DP593" s="2"/>
      <c r="DQ593" s="2"/>
      <c r="DY593" s="2"/>
      <c r="DZ593" s="2"/>
      <c r="EA593" s="2"/>
      <c r="EI593" s="2"/>
      <c r="EJ593" s="2"/>
      <c r="EK593" s="2"/>
      <c r="ES593" s="2"/>
      <c r="ET593" s="2"/>
      <c r="EU593" s="2"/>
      <c r="FC593" s="2"/>
      <c r="FD593" s="2"/>
      <c r="FE593" s="2"/>
      <c r="FJ593" s="13"/>
      <c r="FK593" s="13"/>
      <c r="FL593" s="13"/>
      <c r="FM593" s="13"/>
      <c r="FN593" s="13"/>
      <c r="FO593" s="13"/>
      <c r="FP593" s="13"/>
      <c r="FQ593" s="13"/>
      <c r="FR593" s="13"/>
      <c r="FS593" s="13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O594" s="2"/>
      <c r="DP594" s="2"/>
      <c r="DQ594" s="2"/>
      <c r="DY594" s="2"/>
      <c r="DZ594" s="2"/>
      <c r="EA594" s="2"/>
      <c r="EI594" s="2"/>
      <c r="EJ594" s="2"/>
      <c r="EK594" s="2"/>
      <c r="ES594" s="2"/>
      <c r="ET594" s="2"/>
      <c r="EU594" s="2"/>
      <c r="FC594" s="2"/>
      <c r="FD594" s="2"/>
      <c r="FE594" s="2"/>
      <c r="FJ594" s="13"/>
      <c r="FK594" s="13"/>
      <c r="FL594" s="13"/>
      <c r="FM594" s="13"/>
      <c r="FN594" s="13"/>
      <c r="FO594" s="13"/>
      <c r="FP594" s="13"/>
      <c r="FQ594" s="13"/>
      <c r="FR594" s="13"/>
      <c r="FS594" s="13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O595" s="2"/>
      <c r="DP595" s="2"/>
      <c r="DQ595" s="2"/>
      <c r="DY595" s="2"/>
      <c r="DZ595" s="2"/>
      <c r="EA595" s="2"/>
      <c r="EI595" s="2"/>
      <c r="EJ595" s="2"/>
      <c r="EK595" s="2"/>
      <c r="ES595" s="2"/>
      <c r="ET595" s="2"/>
      <c r="EU595" s="2"/>
      <c r="FC595" s="2"/>
      <c r="FD595" s="2"/>
      <c r="FE595" s="2"/>
      <c r="FJ595" s="13"/>
      <c r="FK595" s="13"/>
      <c r="FL595" s="13"/>
      <c r="FM595" s="13"/>
      <c r="FN595" s="13"/>
      <c r="FO595" s="13"/>
      <c r="FP595" s="13"/>
      <c r="FQ595" s="13"/>
      <c r="FR595" s="13"/>
      <c r="FS595" s="13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O596" s="2"/>
      <c r="DP596" s="2"/>
      <c r="DQ596" s="2"/>
      <c r="DY596" s="2"/>
      <c r="DZ596" s="2"/>
      <c r="EA596" s="2"/>
      <c r="EI596" s="2"/>
      <c r="EJ596" s="2"/>
      <c r="EK596" s="2"/>
      <c r="ES596" s="2"/>
      <c r="ET596" s="2"/>
      <c r="EU596" s="2"/>
      <c r="FC596" s="2"/>
      <c r="FD596" s="2"/>
      <c r="FE596" s="2"/>
      <c r="FJ596" s="13"/>
      <c r="FK596" s="13"/>
      <c r="FL596" s="13"/>
      <c r="FM596" s="13"/>
      <c r="FN596" s="13"/>
      <c r="FO596" s="13"/>
      <c r="FP596" s="13"/>
      <c r="FQ596" s="13"/>
      <c r="FR596" s="13"/>
      <c r="FS596" s="13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O597" s="2"/>
      <c r="DP597" s="2"/>
      <c r="DQ597" s="2"/>
      <c r="DY597" s="2"/>
      <c r="DZ597" s="2"/>
      <c r="EA597" s="2"/>
      <c r="EI597" s="2"/>
      <c r="EJ597" s="2"/>
      <c r="EK597" s="2"/>
      <c r="ES597" s="2"/>
      <c r="ET597" s="2"/>
      <c r="EU597" s="2"/>
      <c r="FC597" s="2"/>
      <c r="FD597" s="2"/>
      <c r="FE597" s="2"/>
      <c r="FJ597" s="13"/>
      <c r="FK597" s="13"/>
      <c r="FL597" s="13"/>
      <c r="FM597" s="13"/>
      <c r="FN597" s="13"/>
      <c r="FO597" s="13"/>
      <c r="FP597" s="13"/>
      <c r="FQ597" s="13"/>
      <c r="FR597" s="13"/>
      <c r="FS597" s="13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O598" s="2"/>
      <c r="DP598" s="2"/>
      <c r="DQ598" s="2"/>
      <c r="DY598" s="2"/>
      <c r="DZ598" s="2"/>
      <c r="EA598" s="2"/>
      <c r="EI598" s="2"/>
      <c r="EJ598" s="2"/>
      <c r="EK598" s="2"/>
      <c r="ES598" s="2"/>
      <c r="ET598" s="2"/>
      <c r="EU598" s="2"/>
      <c r="FC598" s="2"/>
      <c r="FD598" s="2"/>
      <c r="FE598" s="2"/>
      <c r="FJ598" s="13"/>
      <c r="FK598" s="13"/>
      <c r="FL598" s="13"/>
      <c r="FM598" s="13"/>
      <c r="FN598" s="13"/>
      <c r="FO598" s="13"/>
      <c r="FP598" s="13"/>
      <c r="FQ598" s="13"/>
      <c r="FR598" s="13"/>
      <c r="FS598" s="13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O599" s="2"/>
      <c r="DP599" s="2"/>
      <c r="DQ599" s="2"/>
      <c r="DY599" s="2"/>
      <c r="DZ599" s="2"/>
      <c r="EA599" s="2"/>
      <c r="EI599" s="2"/>
      <c r="EJ599" s="2"/>
      <c r="EK599" s="2"/>
      <c r="ES599" s="2"/>
      <c r="ET599" s="2"/>
      <c r="EU599" s="2"/>
      <c r="FC599" s="2"/>
      <c r="FD599" s="2"/>
      <c r="FE599" s="2"/>
      <c r="FJ599" s="13"/>
      <c r="FK599" s="13"/>
      <c r="FL599" s="13"/>
      <c r="FM599" s="13"/>
      <c r="FN599" s="13"/>
      <c r="FO599" s="13"/>
      <c r="FP599" s="13"/>
      <c r="FQ599" s="13"/>
      <c r="FR599" s="13"/>
      <c r="FS599" s="13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O600" s="2"/>
      <c r="DP600" s="2"/>
      <c r="DQ600" s="2"/>
      <c r="DY600" s="2"/>
      <c r="DZ600" s="2"/>
      <c r="EA600" s="2"/>
      <c r="EI600" s="2"/>
      <c r="EJ600" s="2"/>
      <c r="EK600" s="2"/>
      <c r="ES600" s="2"/>
      <c r="ET600" s="2"/>
      <c r="EU600" s="2"/>
      <c r="FC600" s="2"/>
      <c r="FD600" s="2"/>
      <c r="FE600" s="2"/>
      <c r="FJ600" s="13"/>
      <c r="FK600" s="13"/>
      <c r="FL600" s="13"/>
      <c r="FM600" s="13"/>
      <c r="FN600" s="13"/>
      <c r="FO600" s="13"/>
      <c r="FP600" s="13"/>
      <c r="FQ600" s="13"/>
      <c r="FR600" s="13"/>
      <c r="FS600" s="13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O601" s="2"/>
      <c r="DP601" s="2"/>
      <c r="DQ601" s="2"/>
      <c r="DY601" s="2"/>
      <c r="DZ601" s="2"/>
      <c r="EA601" s="2"/>
      <c r="EI601" s="2"/>
      <c r="EJ601" s="2"/>
      <c r="EK601" s="2"/>
      <c r="ES601" s="2"/>
      <c r="ET601" s="2"/>
      <c r="EU601" s="2"/>
      <c r="FC601" s="2"/>
      <c r="FD601" s="2"/>
      <c r="FE601" s="2"/>
      <c r="FJ601" s="13"/>
      <c r="FK601" s="13"/>
      <c r="FL601" s="13"/>
      <c r="FM601" s="13"/>
      <c r="FN601" s="13"/>
      <c r="FO601" s="13"/>
      <c r="FP601" s="13"/>
      <c r="FQ601" s="13"/>
      <c r="FR601" s="13"/>
      <c r="FS601" s="13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O602" s="2"/>
      <c r="DP602" s="2"/>
      <c r="DQ602" s="2"/>
      <c r="DY602" s="2"/>
      <c r="DZ602" s="2"/>
      <c r="EA602" s="2"/>
      <c r="EI602" s="2"/>
      <c r="EJ602" s="2"/>
      <c r="EK602" s="2"/>
      <c r="ES602" s="2"/>
      <c r="ET602" s="2"/>
      <c r="EU602" s="2"/>
      <c r="FC602" s="2"/>
      <c r="FD602" s="2"/>
      <c r="FE602" s="2"/>
      <c r="FJ602" s="13"/>
      <c r="FK602" s="13"/>
      <c r="FL602" s="13"/>
      <c r="FM602" s="13"/>
      <c r="FN602" s="13"/>
      <c r="FO602" s="13"/>
      <c r="FP602" s="13"/>
      <c r="FQ602" s="13"/>
      <c r="FR602" s="13"/>
      <c r="FS602" s="13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O603" s="2"/>
      <c r="DP603" s="2"/>
      <c r="DQ603" s="2"/>
      <c r="DY603" s="2"/>
      <c r="DZ603" s="2"/>
      <c r="EA603" s="2"/>
      <c r="EI603" s="2"/>
      <c r="EJ603" s="2"/>
      <c r="EK603" s="2"/>
      <c r="ES603" s="2"/>
      <c r="ET603" s="2"/>
      <c r="EU603" s="2"/>
      <c r="FC603" s="2"/>
      <c r="FD603" s="2"/>
      <c r="FE603" s="2"/>
      <c r="FJ603" s="13"/>
      <c r="FK603" s="13"/>
      <c r="FL603" s="13"/>
      <c r="FM603" s="13"/>
      <c r="FN603" s="13"/>
      <c r="FO603" s="13"/>
      <c r="FP603" s="13"/>
      <c r="FQ603" s="13"/>
      <c r="FR603" s="13"/>
      <c r="FS603" s="13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O604" s="2"/>
      <c r="DP604" s="2"/>
      <c r="DQ604" s="2"/>
      <c r="DY604" s="2"/>
      <c r="DZ604" s="2"/>
      <c r="EA604" s="2"/>
      <c r="EI604" s="2"/>
      <c r="EJ604" s="2"/>
      <c r="EK604" s="2"/>
      <c r="ES604" s="2"/>
      <c r="ET604" s="2"/>
      <c r="EU604" s="2"/>
      <c r="FC604" s="2"/>
      <c r="FD604" s="2"/>
      <c r="FE604" s="2"/>
      <c r="FJ604" s="13"/>
      <c r="FK604" s="13"/>
      <c r="FL604" s="13"/>
      <c r="FM604" s="13"/>
      <c r="FN604" s="13"/>
      <c r="FO604" s="13"/>
      <c r="FP604" s="13"/>
      <c r="FQ604" s="13"/>
      <c r="FR604" s="13"/>
      <c r="FS604" s="13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O605" s="2"/>
      <c r="DP605" s="2"/>
      <c r="DQ605" s="2"/>
      <c r="DY605" s="2"/>
      <c r="DZ605" s="2"/>
      <c r="EA605" s="2"/>
      <c r="EI605" s="2"/>
      <c r="EJ605" s="2"/>
      <c r="EK605" s="2"/>
      <c r="ES605" s="2"/>
      <c r="ET605" s="2"/>
      <c r="EU605" s="2"/>
      <c r="FC605" s="2"/>
      <c r="FD605" s="2"/>
      <c r="FE605" s="2"/>
      <c r="FJ605" s="13"/>
      <c r="FK605" s="13"/>
      <c r="FL605" s="13"/>
      <c r="FM605" s="13"/>
      <c r="FN605" s="13"/>
      <c r="FO605" s="13"/>
      <c r="FP605" s="13"/>
      <c r="FQ605" s="13"/>
      <c r="FR605" s="13"/>
      <c r="FS605" s="13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O606" s="2"/>
      <c r="DP606" s="2"/>
      <c r="DQ606" s="2"/>
      <c r="DY606" s="2"/>
      <c r="DZ606" s="2"/>
      <c r="EA606" s="2"/>
      <c r="EI606" s="2"/>
      <c r="EJ606" s="2"/>
      <c r="EK606" s="2"/>
      <c r="ES606" s="2"/>
      <c r="ET606" s="2"/>
      <c r="EU606" s="2"/>
      <c r="FC606" s="2"/>
      <c r="FD606" s="2"/>
      <c r="FE606" s="2"/>
      <c r="FJ606" s="13"/>
      <c r="FK606" s="13"/>
      <c r="FL606" s="13"/>
      <c r="FM606" s="13"/>
      <c r="FN606" s="13"/>
      <c r="FO606" s="13"/>
      <c r="FP606" s="13"/>
      <c r="FQ606" s="13"/>
      <c r="FR606" s="13"/>
      <c r="FS606" s="13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O607" s="2"/>
      <c r="DP607" s="2"/>
      <c r="DQ607" s="2"/>
      <c r="DY607" s="2"/>
      <c r="DZ607" s="2"/>
      <c r="EA607" s="2"/>
      <c r="EI607" s="2"/>
      <c r="EJ607" s="2"/>
      <c r="EK607" s="2"/>
      <c r="ES607" s="2"/>
      <c r="ET607" s="2"/>
      <c r="EU607" s="2"/>
      <c r="FC607" s="2"/>
      <c r="FD607" s="2"/>
      <c r="FE607" s="2"/>
      <c r="FJ607" s="13"/>
      <c r="FK607" s="13"/>
      <c r="FL607" s="13"/>
      <c r="FM607" s="13"/>
      <c r="FN607" s="13"/>
      <c r="FO607" s="13"/>
      <c r="FP607" s="13"/>
      <c r="FQ607" s="13"/>
      <c r="FR607" s="13"/>
      <c r="FS607" s="13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O608" s="2"/>
      <c r="DP608" s="2"/>
      <c r="DQ608" s="2"/>
      <c r="DY608" s="2"/>
      <c r="DZ608" s="2"/>
      <c r="EA608" s="2"/>
      <c r="EI608" s="2"/>
      <c r="EJ608" s="2"/>
      <c r="EK608" s="2"/>
      <c r="ES608" s="2"/>
      <c r="ET608" s="2"/>
      <c r="EU608" s="2"/>
      <c r="FC608" s="2"/>
      <c r="FD608" s="2"/>
      <c r="FE608" s="2"/>
      <c r="FJ608" s="13"/>
      <c r="FK608" s="13"/>
      <c r="FL608" s="13"/>
      <c r="FM608" s="13"/>
      <c r="FN608" s="13"/>
      <c r="FO608" s="13"/>
      <c r="FP608" s="13"/>
      <c r="FQ608" s="13"/>
      <c r="FR608" s="13"/>
      <c r="FS608" s="13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O609" s="2"/>
      <c r="DP609" s="2"/>
      <c r="DQ609" s="2"/>
      <c r="DY609" s="2"/>
      <c r="DZ609" s="2"/>
      <c r="EA609" s="2"/>
      <c r="EI609" s="2"/>
      <c r="EJ609" s="2"/>
      <c r="EK609" s="2"/>
      <c r="ES609" s="2"/>
      <c r="ET609" s="2"/>
      <c r="EU609" s="2"/>
      <c r="FC609" s="2"/>
      <c r="FD609" s="2"/>
      <c r="FE609" s="2"/>
      <c r="FJ609" s="13"/>
      <c r="FK609" s="13"/>
      <c r="FL609" s="13"/>
      <c r="FM609" s="13"/>
      <c r="FN609" s="13"/>
      <c r="FO609" s="13"/>
      <c r="FP609" s="13"/>
      <c r="FQ609" s="13"/>
      <c r="FR609" s="13"/>
      <c r="FS609" s="13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O610" s="2"/>
      <c r="DP610" s="2"/>
      <c r="DQ610" s="2"/>
      <c r="DY610" s="2"/>
      <c r="DZ610" s="2"/>
      <c r="EA610" s="2"/>
      <c r="EI610" s="2"/>
      <c r="EJ610" s="2"/>
      <c r="EK610" s="2"/>
      <c r="ES610" s="2"/>
      <c r="ET610" s="2"/>
      <c r="EU610" s="2"/>
      <c r="FC610" s="2"/>
      <c r="FD610" s="2"/>
      <c r="FE610" s="2"/>
      <c r="FJ610" s="13"/>
      <c r="FK610" s="13"/>
      <c r="FL610" s="13"/>
      <c r="FM610" s="13"/>
      <c r="FN610" s="13"/>
      <c r="FO610" s="13"/>
      <c r="FP610" s="13"/>
      <c r="FQ610" s="13"/>
      <c r="FR610" s="13"/>
      <c r="FS610" s="13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O611" s="2"/>
      <c r="DP611" s="2"/>
      <c r="DQ611" s="2"/>
      <c r="DY611" s="2"/>
      <c r="DZ611" s="2"/>
      <c r="EA611" s="2"/>
      <c r="EI611" s="2"/>
      <c r="EJ611" s="2"/>
      <c r="EK611" s="2"/>
      <c r="ES611" s="2"/>
      <c r="ET611" s="2"/>
      <c r="EU611" s="2"/>
      <c r="FC611" s="2"/>
      <c r="FD611" s="2"/>
      <c r="FE611" s="2"/>
      <c r="FJ611" s="13"/>
      <c r="FK611" s="13"/>
      <c r="FL611" s="13"/>
      <c r="FM611" s="13"/>
      <c r="FN611" s="13"/>
      <c r="FO611" s="13"/>
      <c r="FP611" s="13"/>
      <c r="FQ611" s="13"/>
      <c r="FR611" s="13"/>
      <c r="FS611" s="13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O612" s="2"/>
      <c r="DP612" s="2"/>
      <c r="DQ612" s="2"/>
      <c r="DY612" s="2"/>
      <c r="DZ612" s="2"/>
      <c r="EA612" s="2"/>
      <c r="EI612" s="2"/>
      <c r="EJ612" s="2"/>
      <c r="EK612" s="2"/>
      <c r="ES612" s="2"/>
      <c r="ET612" s="2"/>
      <c r="EU612" s="2"/>
      <c r="FC612" s="2"/>
      <c r="FD612" s="2"/>
      <c r="FE612" s="2"/>
      <c r="FJ612" s="13"/>
      <c r="FK612" s="13"/>
      <c r="FL612" s="13"/>
      <c r="FM612" s="13"/>
      <c r="FN612" s="13"/>
      <c r="FO612" s="13"/>
      <c r="FP612" s="13"/>
      <c r="FQ612" s="13"/>
      <c r="FR612" s="13"/>
      <c r="FS612" s="13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O613" s="2"/>
      <c r="DP613" s="2"/>
      <c r="DQ613" s="2"/>
      <c r="DY613" s="2"/>
      <c r="DZ613" s="2"/>
      <c r="EA613" s="2"/>
      <c r="EI613" s="2"/>
      <c r="EJ613" s="2"/>
      <c r="EK613" s="2"/>
      <c r="ES613" s="2"/>
      <c r="ET613" s="2"/>
      <c r="EU613" s="2"/>
      <c r="FC613" s="2"/>
      <c r="FD613" s="2"/>
      <c r="FE613" s="2"/>
      <c r="FJ613" s="13"/>
      <c r="FK613" s="13"/>
      <c r="FL613" s="13"/>
      <c r="FM613" s="13"/>
      <c r="FN613" s="13"/>
      <c r="FO613" s="13"/>
      <c r="FP613" s="13"/>
      <c r="FQ613" s="13"/>
      <c r="FR613" s="13"/>
      <c r="FS613" s="13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O614" s="2"/>
      <c r="DP614" s="2"/>
      <c r="DQ614" s="2"/>
      <c r="DY614" s="2"/>
      <c r="DZ614" s="2"/>
      <c r="EA614" s="2"/>
      <c r="EI614" s="2"/>
      <c r="EJ614" s="2"/>
      <c r="EK614" s="2"/>
      <c r="ES614" s="2"/>
      <c r="ET614" s="2"/>
      <c r="EU614" s="2"/>
      <c r="FC614" s="2"/>
      <c r="FD614" s="2"/>
      <c r="FE614" s="2"/>
      <c r="FJ614" s="13"/>
      <c r="FK614" s="13"/>
      <c r="FL614" s="13"/>
      <c r="FM614" s="13"/>
      <c r="FN614" s="13"/>
      <c r="FO614" s="13"/>
      <c r="FP614" s="13"/>
      <c r="FQ614" s="13"/>
      <c r="FR614" s="13"/>
      <c r="FS614" s="13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O615" s="2"/>
      <c r="DP615" s="2"/>
      <c r="DQ615" s="2"/>
      <c r="DY615" s="2"/>
      <c r="DZ615" s="2"/>
      <c r="EA615" s="2"/>
      <c r="EI615" s="2"/>
      <c r="EJ615" s="2"/>
      <c r="EK615" s="2"/>
      <c r="ES615" s="2"/>
      <c r="ET615" s="2"/>
      <c r="EU615" s="2"/>
      <c r="FC615" s="2"/>
      <c r="FD615" s="2"/>
      <c r="FE615" s="2"/>
      <c r="FJ615" s="13"/>
      <c r="FK615" s="13"/>
      <c r="FL615" s="13"/>
      <c r="FM615" s="13"/>
      <c r="FN615" s="13"/>
      <c r="FO615" s="13"/>
      <c r="FP615" s="13"/>
      <c r="FQ615" s="13"/>
      <c r="FR615" s="13"/>
      <c r="FS615" s="13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O616" s="2"/>
      <c r="DP616" s="2"/>
      <c r="DQ616" s="2"/>
      <c r="DY616" s="2"/>
      <c r="DZ616" s="2"/>
      <c r="EA616" s="2"/>
      <c r="EI616" s="2"/>
      <c r="EJ616" s="2"/>
      <c r="EK616" s="2"/>
      <c r="ES616" s="2"/>
      <c r="ET616" s="2"/>
      <c r="EU616" s="2"/>
      <c r="FC616" s="2"/>
      <c r="FD616" s="2"/>
      <c r="FE616" s="2"/>
      <c r="FJ616" s="13"/>
      <c r="FK616" s="13"/>
      <c r="FL616" s="13"/>
      <c r="FM616" s="13"/>
      <c r="FN616" s="13"/>
      <c r="FO616" s="13"/>
      <c r="FP616" s="13"/>
      <c r="FQ616" s="13"/>
      <c r="FR616" s="13"/>
      <c r="FS616" s="13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O617" s="2"/>
      <c r="DP617" s="2"/>
      <c r="DQ617" s="2"/>
      <c r="DY617" s="2"/>
      <c r="DZ617" s="2"/>
      <c r="EA617" s="2"/>
      <c r="EI617" s="2"/>
      <c r="EJ617" s="2"/>
      <c r="EK617" s="2"/>
      <c r="ES617" s="2"/>
      <c r="ET617" s="2"/>
      <c r="EU617" s="2"/>
      <c r="FC617" s="2"/>
      <c r="FD617" s="2"/>
      <c r="FE617" s="2"/>
      <c r="FJ617" s="13"/>
      <c r="FK617" s="13"/>
      <c r="FL617" s="13"/>
      <c r="FM617" s="13"/>
      <c r="FN617" s="13"/>
      <c r="FO617" s="13"/>
      <c r="FP617" s="13"/>
      <c r="FQ617" s="13"/>
      <c r="FR617" s="13"/>
      <c r="FS617" s="13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O618" s="2"/>
      <c r="DP618" s="2"/>
      <c r="DQ618" s="2"/>
      <c r="DY618" s="2"/>
      <c r="DZ618" s="2"/>
      <c r="EA618" s="2"/>
      <c r="EI618" s="2"/>
      <c r="EJ618" s="2"/>
      <c r="EK618" s="2"/>
      <c r="ES618" s="2"/>
      <c r="ET618" s="2"/>
      <c r="EU618" s="2"/>
      <c r="FC618" s="2"/>
      <c r="FD618" s="2"/>
      <c r="FE618" s="2"/>
      <c r="FJ618" s="13"/>
      <c r="FK618" s="13"/>
      <c r="FL618" s="13"/>
      <c r="FM618" s="13"/>
      <c r="FN618" s="13"/>
      <c r="FO618" s="13"/>
      <c r="FP618" s="13"/>
      <c r="FQ618" s="13"/>
      <c r="FR618" s="13"/>
      <c r="FS618" s="13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O619" s="2"/>
      <c r="DP619" s="2"/>
      <c r="DQ619" s="2"/>
      <c r="DY619" s="2"/>
      <c r="DZ619" s="2"/>
      <c r="EA619" s="2"/>
      <c r="EI619" s="2"/>
      <c r="EJ619" s="2"/>
      <c r="EK619" s="2"/>
      <c r="ES619" s="2"/>
      <c r="ET619" s="2"/>
      <c r="EU619" s="2"/>
      <c r="FC619" s="2"/>
      <c r="FD619" s="2"/>
      <c r="FE619" s="2"/>
      <c r="FJ619" s="13"/>
      <c r="FK619" s="13"/>
      <c r="FL619" s="13"/>
      <c r="FM619" s="13"/>
      <c r="FN619" s="13"/>
      <c r="FO619" s="13"/>
      <c r="FP619" s="13"/>
      <c r="FQ619" s="13"/>
      <c r="FR619" s="13"/>
      <c r="FS619" s="13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O620" s="2"/>
      <c r="DP620" s="2"/>
      <c r="DQ620" s="2"/>
      <c r="DY620" s="2"/>
      <c r="DZ620" s="2"/>
      <c r="EA620" s="2"/>
      <c r="EI620" s="2"/>
      <c r="EJ620" s="2"/>
      <c r="EK620" s="2"/>
      <c r="ES620" s="2"/>
      <c r="ET620" s="2"/>
      <c r="EU620" s="2"/>
      <c r="FC620" s="2"/>
      <c r="FD620" s="2"/>
      <c r="FE620" s="2"/>
      <c r="FJ620" s="13"/>
      <c r="FK620" s="13"/>
      <c r="FL620" s="13"/>
      <c r="FM620" s="13"/>
      <c r="FN620" s="13"/>
      <c r="FO620" s="13"/>
      <c r="FP620" s="13"/>
      <c r="FQ620" s="13"/>
      <c r="FR620" s="13"/>
      <c r="FS620" s="13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O621" s="2"/>
      <c r="DP621" s="2"/>
      <c r="DQ621" s="2"/>
      <c r="DY621" s="2"/>
      <c r="DZ621" s="2"/>
      <c r="EA621" s="2"/>
      <c r="EI621" s="2"/>
      <c r="EJ621" s="2"/>
      <c r="EK621" s="2"/>
      <c r="ES621" s="2"/>
      <c r="ET621" s="2"/>
      <c r="EU621" s="2"/>
      <c r="FC621" s="2"/>
      <c r="FD621" s="2"/>
      <c r="FE621" s="2"/>
      <c r="FJ621" s="13"/>
      <c r="FK621" s="13"/>
      <c r="FL621" s="13"/>
      <c r="FM621" s="13"/>
      <c r="FN621" s="13"/>
      <c r="FO621" s="13"/>
      <c r="FP621" s="13"/>
      <c r="FQ621" s="13"/>
      <c r="FR621" s="13"/>
      <c r="FS621" s="13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O622" s="2"/>
      <c r="DP622" s="2"/>
      <c r="DQ622" s="2"/>
      <c r="DY622" s="2"/>
      <c r="DZ622" s="2"/>
      <c r="EA622" s="2"/>
      <c r="EI622" s="2"/>
      <c r="EJ622" s="2"/>
      <c r="EK622" s="2"/>
      <c r="ES622" s="2"/>
      <c r="ET622" s="2"/>
      <c r="EU622" s="2"/>
      <c r="FC622" s="2"/>
      <c r="FD622" s="2"/>
      <c r="FE622" s="2"/>
      <c r="FJ622" s="13"/>
      <c r="FK622" s="13"/>
      <c r="FL622" s="13"/>
      <c r="FM622" s="13"/>
      <c r="FN622" s="13"/>
      <c r="FO622" s="13"/>
      <c r="FP622" s="13"/>
      <c r="FQ622" s="13"/>
      <c r="FR622" s="13"/>
      <c r="FS622" s="13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O623" s="2"/>
      <c r="DP623" s="2"/>
      <c r="DQ623" s="2"/>
      <c r="DY623" s="2"/>
      <c r="DZ623" s="2"/>
      <c r="EA623" s="2"/>
      <c r="EI623" s="2"/>
      <c r="EJ623" s="2"/>
      <c r="EK623" s="2"/>
      <c r="ES623" s="2"/>
      <c r="ET623" s="2"/>
      <c r="EU623" s="2"/>
      <c r="FC623" s="2"/>
      <c r="FD623" s="2"/>
      <c r="FE623" s="2"/>
      <c r="FJ623" s="13"/>
      <c r="FK623" s="13"/>
      <c r="FL623" s="13"/>
      <c r="FM623" s="13"/>
      <c r="FN623" s="13"/>
      <c r="FO623" s="13"/>
      <c r="FP623" s="13"/>
      <c r="FQ623" s="13"/>
      <c r="FR623" s="13"/>
      <c r="FS623" s="13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O624" s="2"/>
      <c r="DP624" s="2"/>
      <c r="DQ624" s="2"/>
      <c r="DY624" s="2"/>
      <c r="DZ624" s="2"/>
      <c r="EA624" s="2"/>
      <c r="EI624" s="2"/>
      <c r="EJ624" s="2"/>
      <c r="EK624" s="2"/>
      <c r="ES624" s="2"/>
      <c r="ET624" s="2"/>
      <c r="EU624" s="2"/>
      <c r="FC624" s="2"/>
      <c r="FD624" s="2"/>
      <c r="FE624" s="2"/>
      <c r="FJ624" s="13"/>
      <c r="FK624" s="13"/>
      <c r="FL624" s="13"/>
      <c r="FM624" s="13"/>
      <c r="FN624" s="13"/>
      <c r="FO624" s="13"/>
      <c r="FP624" s="13"/>
      <c r="FQ624" s="13"/>
      <c r="FR624" s="13"/>
      <c r="FS624" s="13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O625" s="2"/>
      <c r="DP625" s="2"/>
      <c r="DQ625" s="2"/>
      <c r="DY625" s="2"/>
      <c r="DZ625" s="2"/>
      <c r="EA625" s="2"/>
      <c r="EI625" s="2"/>
      <c r="EJ625" s="2"/>
      <c r="EK625" s="2"/>
      <c r="ES625" s="2"/>
      <c r="ET625" s="2"/>
      <c r="EU625" s="2"/>
      <c r="FC625" s="2"/>
      <c r="FD625" s="2"/>
      <c r="FE625" s="2"/>
      <c r="FJ625" s="13"/>
      <c r="FK625" s="13"/>
      <c r="FL625" s="13"/>
      <c r="FM625" s="13"/>
      <c r="FN625" s="13"/>
      <c r="FO625" s="13"/>
      <c r="FP625" s="13"/>
      <c r="FQ625" s="13"/>
      <c r="FR625" s="13"/>
      <c r="FS625" s="13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O626" s="2"/>
      <c r="DP626" s="2"/>
      <c r="DQ626" s="2"/>
      <c r="DY626" s="2"/>
      <c r="DZ626" s="2"/>
      <c r="EA626" s="2"/>
      <c r="EI626" s="2"/>
      <c r="EJ626" s="2"/>
      <c r="EK626" s="2"/>
      <c r="ES626" s="2"/>
      <c r="ET626" s="2"/>
      <c r="EU626" s="2"/>
      <c r="FC626" s="2"/>
      <c r="FD626" s="2"/>
      <c r="FE626" s="2"/>
      <c r="FJ626" s="13"/>
      <c r="FK626" s="13"/>
      <c r="FL626" s="13"/>
      <c r="FM626" s="13"/>
      <c r="FN626" s="13"/>
      <c r="FO626" s="13"/>
      <c r="FP626" s="13"/>
      <c r="FQ626" s="13"/>
      <c r="FR626" s="13"/>
      <c r="FS626" s="13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O627" s="2"/>
      <c r="DP627" s="2"/>
      <c r="DQ627" s="2"/>
      <c r="DY627" s="2"/>
      <c r="DZ627" s="2"/>
      <c r="EA627" s="2"/>
      <c r="EI627" s="2"/>
      <c r="EJ627" s="2"/>
      <c r="EK627" s="2"/>
      <c r="ES627" s="2"/>
      <c r="ET627" s="2"/>
      <c r="EU627" s="2"/>
      <c r="FC627" s="2"/>
      <c r="FD627" s="2"/>
      <c r="FE627" s="2"/>
      <c r="FJ627" s="13"/>
      <c r="FK627" s="13"/>
      <c r="FL627" s="13"/>
      <c r="FM627" s="13"/>
      <c r="FN627" s="13"/>
      <c r="FO627" s="13"/>
      <c r="FP627" s="13"/>
      <c r="FQ627" s="13"/>
      <c r="FR627" s="13"/>
      <c r="FS627" s="13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O628" s="2"/>
      <c r="DP628" s="2"/>
      <c r="DQ628" s="2"/>
      <c r="DY628" s="2"/>
      <c r="DZ628" s="2"/>
      <c r="EA628" s="2"/>
      <c r="EI628" s="2"/>
      <c r="EJ628" s="2"/>
      <c r="EK628" s="2"/>
      <c r="ES628" s="2"/>
      <c r="ET628" s="2"/>
      <c r="EU628" s="2"/>
      <c r="FC628" s="2"/>
      <c r="FD628" s="2"/>
      <c r="FE628" s="2"/>
      <c r="FJ628" s="13"/>
      <c r="FK628" s="13"/>
      <c r="FL628" s="13"/>
      <c r="FM628" s="13"/>
      <c r="FN628" s="13"/>
      <c r="FO628" s="13"/>
      <c r="FP628" s="13"/>
      <c r="FQ628" s="13"/>
      <c r="FR628" s="13"/>
      <c r="FS628" s="13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O629" s="2"/>
      <c r="DP629" s="2"/>
      <c r="DQ629" s="2"/>
      <c r="DY629" s="2"/>
      <c r="DZ629" s="2"/>
      <c r="EA629" s="2"/>
      <c r="EI629" s="2"/>
      <c r="EJ629" s="2"/>
      <c r="EK629" s="2"/>
      <c r="ES629" s="2"/>
      <c r="ET629" s="2"/>
      <c r="EU629" s="2"/>
      <c r="FC629" s="2"/>
      <c r="FD629" s="2"/>
      <c r="FE629" s="2"/>
      <c r="FJ629" s="13"/>
      <c r="FK629" s="13"/>
      <c r="FL629" s="13"/>
      <c r="FM629" s="13"/>
      <c r="FN629" s="13"/>
      <c r="FO629" s="13"/>
      <c r="FP629" s="13"/>
      <c r="FQ629" s="13"/>
      <c r="FR629" s="13"/>
      <c r="FS629" s="13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O630" s="2"/>
      <c r="DP630" s="2"/>
      <c r="DQ630" s="2"/>
      <c r="DY630" s="2"/>
      <c r="DZ630" s="2"/>
      <c r="EA630" s="2"/>
      <c r="EI630" s="2"/>
      <c r="EJ630" s="2"/>
      <c r="EK630" s="2"/>
      <c r="ES630" s="2"/>
      <c r="ET630" s="2"/>
      <c r="EU630" s="2"/>
      <c r="FC630" s="2"/>
      <c r="FD630" s="2"/>
      <c r="FE630" s="2"/>
      <c r="FJ630" s="13"/>
      <c r="FK630" s="13"/>
      <c r="FL630" s="13"/>
      <c r="FM630" s="13"/>
      <c r="FN630" s="13"/>
      <c r="FO630" s="13"/>
      <c r="FP630" s="13"/>
      <c r="FQ630" s="13"/>
      <c r="FR630" s="13"/>
      <c r="FS630" s="13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O631" s="2"/>
      <c r="DP631" s="2"/>
      <c r="DQ631" s="2"/>
      <c r="DY631" s="2"/>
      <c r="DZ631" s="2"/>
      <c r="EA631" s="2"/>
      <c r="EI631" s="2"/>
      <c r="EJ631" s="2"/>
      <c r="EK631" s="2"/>
      <c r="ES631" s="2"/>
      <c r="ET631" s="2"/>
      <c r="EU631" s="2"/>
      <c r="FC631" s="2"/>
      <c r="FD631" s="2"/>
      <c r="FE631" s="2"/>
      <c r="FJ631" s="13"/>
      <c r="FK631" s="13"/>
      <c r="FL631" s="13"/>
      <c r="FM631" s="13"/>
      <c r="FN631" s="13"/>
      <c r="FO631" s="13"/>
      <c r="FP631" s="13"/>
      <c r="FQ631" s="13"/>
      <c r="FR631" s="13"/>
      <c r="FS631" s="13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O632" s="2"/>
      <c r="DP632" s="2"/>
      <c r="DQ632" s="2"/>
      <c r="DY632" s="2"/>
      <c r="DZ632" s="2"/>
      <c r="EA632" s="2"/>
      <c r="EI632" s="2"/>
      <c r="EJ632" s="2"/>
      <c r="EK632" s="2"/>
      <c r="ES632" s="2"/>
      <c r="ET632" s="2"/>
      <c r="EU632" s="2"/>
      <c r="FC632" s="2"/>
      <c r="FD632" s="2"/>
      <c r="FE632" s="2"/>
      <c r="FJ632" s="13"/>
      <c r="FK632" s="13"/>
      <c r="FL632" s="13"/>
      <c r="FM632" s="13"/>
      <c r="FN632" s="13"/>
      <c r="FO632" s="13"/>
      <c r="FP632" s="13"/>
      <c r="FQ632" s="13"/>
      <c r="FR632" s="13"/>
      <c r="FS632" s="13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O633" s="2"/>
      <c r="DP633" s="2"/>
      <c r="DQ633" s="2"/>
      <c r="DY633" s="2"/>
      <c r="DZ633" s="2"/>
      <c r="EA633" s="2"/>
      <c r="EI633" s="2"/>
      <c r="EJ633" s="2"/>
      <c r="EK633" s="2"/>
      <c r="ES633" s="2"/>
      <c r="ET633" s="2"/>
      <c r="EU633" s="2"/>
      <c r="FC633" s="2"/>
      <c r="FD633" s="2"/>
      <c r="FE633" s="2"/>
      <c r="FJ633" s="13"/>
      <c r="FK633" s="13"/>
      <c r="FL633" s="13"/>
      <c r="FM633" s="13"/>
      <c r="FN633" s="13"/>
      <c r="FO633" s="13"/>
      <c r="FP633" s="13"/>
      <c r="FQ633" s="13"/>
      <c r="FR633" s="13"/>
      <c r="FS633" s="13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O634" s="2"/>
      <c r="DP634" s="2"/>
      <c r="DQ634" s="2"/>
      <c r="DY634" s="2"/>
      <c r="DZ634" s="2"/>
      <c r="EA634" s="2"/>
      <c r="EI634" s="2"/>
      <c r="EJ634" s="2"/>
      <c r="EK634" s="2"/>
      <c r="ES634" s="2"/>
      <c r="ET634" s="2"/>
      <c r="EU634" s="2"/>
      <c r="FC634" s="2"/>
      <c r="FD634" s="2"/>
      <c r="FE634" s="2"/>
      <c r="FJ634" s="13"/>
      <c r="FK634" s="13"/>
      <c r="FL634" s="13"/>
      <c r="FM634" s="13"/>
      <c r="FN634" s="13"/>
      <c r="FO634" s="13"/>
      <c r="FP634" s="13"/>
      <c r="FQ634" s="13"/>
      <c r="FR634" s="13"/>
      <c r="FS634" s="13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O635" s="2"/>
      <c r="DP635" s="2"/>
      <c r="DQ635" s="2"/>
      <c r="DY635" s="2"/>
      <c r="DZ635" s="2"/>
      <c r="EA635" s="2"/>
      <c r="EI635" s="2"/>
      <c r="EJ635" s="2"/>
      <c r="EK635" s="2"/>
      <c r="ES635" s="2"/>
      <c r="ET635" s="2"/>
      <c r="EU635" s="2"/>
      <c r="FC635" s="2"/>
      <c r="FD635" s="2"/>
      <c r="FE635" s="2"/>
      <c r="FJ635" s="13"/>
      <c r="FK635" s="13"/>
      <c r="FL635" s="13"/>
      <c r="FM635" s="13"/>
      <c r="FN635" s="13"/>
      <c r="FO635" s="13"/>
      <c r="FP635" s="13"/>
      <c r="FQ635" s="13"/>
      <c r="FR635" s="13"/>
      <c r="FS635" s="13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O636" s="2"/>
      <c r="DP636" s="2"/>
      <c r="DQ636" s="2"/>
      <c r="DY636" s="2"/>
      <c r="DZ636" s="2"/>
      <c r="EA636" s="2"/>
      <c r="EI636" s="2"/>
      <c r="EJ636" s="2"/>
      <c r="EK636" s="2"/>
      <c r="ES636" s="2"/>
      <c r="ET636" s="2"/>
      <c r="EU636" s="2"/>
      <c r="FC636" s="2"/>
      <c r="FD636" s="2"/>
      <c r="FE636" s="2"/>
      <c r="FJ636" s="13"/>
      <c r="FK636" s="13"/>
      <c r="FL636" s="13"/>
      <c r="FM636" s="13"/>
      <c r="FN636" s="13"/>
      <c r="FO636" s="13"/>
      <c r="FP636" s="13"/>
      <c r="FQ636" s="13"/>
      <c r="FR636" s="13"/>
      <c r="FS636" s="13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O637" s="2"/>
      <c r="DP637" s="2"/>
      <c r="DQ637" s="2"/>
      <c r="DY637" s="2"/>
      <c r="DZ637" s="2"/>
      <c r="EA637" s="2"/>
      <c r="EI637" s="2"/>
      <c r="EJ637" s="2"/>
      <c r="EK637" s="2"/>
      <c r="ES637" s="2"/>
      <c r="ET637" s="2"/>
      <c r="EU637" s="2"/>
      <c r="FC637" s="2"/>
      <c r="FD637" s="2"/>
      <c r="FE637" s="2"/>
      <c r="FJ637" s="13"/>
      <c r="FK637" s="13"/>
      <c r="FL637" s="13"/>
      <c r="FM637" s="13"/>
      <c r="FN637" s="13"/>
      <c r="FO637" s="13"/>
      <c r="FP637" s="13"/>
      <c r="FQ637" s="13"/>
      <c r="FR637" s="13"/>
      <c r="FS637" s="13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O638" s="2"/>
      <c r="DP638" s="2"/>
      <c r="DQ638" s="2"/>
      <c r="DY638" s="2"/>
      <c r="DZ638" s="2"/>
      <c r="EA638" s="2"/>
      <c r="EI638" s="2"/>
      <c r="EJ638" s="2"/>
      <c r="EK638" s="2"/>
      <c r="ES638" s="2"/>
      <c r="ET638" s="2"/>
      <c r="EU638" s="2"/>
      <c r="FC638" s="2"/>
      <c r="FD638" s="2"/>
      <c r="FE638" s="2"/>
      <c r="FJ638" s="13"/>
      <c r="FK638" s="13"/>
      <c r="FL638" s="13"/>
      <c r="FM638" s="13"/>
      <c r="FN638" s="13"/>
      <c r="FO638" s="13"/>
      <c r="FP638" s="13"/>
      <c r="FQ638" s="13"/>
      <c r="FR638" s="13"/>
      <c r="FS638" s="13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O639" s="2"/>
      <c r="DP639" s="2"/>
      <c r="DQ639" s="2"/>
      <c r="DY639" s="2"/>
      <c r="DZ639" s="2"/>
      <c r="EA639" s="2"/>
      <c r="EI639" s="2"/>
      <c r="EJ639" s="2"/>
      <c r="EK639" s="2"/>
      <c r="ES639" s="2"/>
      <c r="ET639" s="2"/>
      <c r="EU639" s="2"/>
      <c r="FC639" s="2"/>
      <c r="FD639" s="2"/>
      <c r="FE639" s="2"/>
      <c r="FJ639" s="13"/>
      <c r="FK639" s="13"/>
      <c r="FL639" s="13"/>
      <c r="FM639" s="13"/>
      <c r="FN639" s="13"/>
      <c r="FO639" s="13"/>
      <c r="FP639" s="13"/>
      <c r="FQ639" s="13"/>
      <c r="FR639" s="13"/>
      <c r="FS639" s="13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O640" s="2"/>
      <c r="DP640" s="2"/>
      <c r="DQ640" s="2"/>
      <c r="DY640" s="2"/>
      <c r="DZ640" s="2"/>
      <c r="EA640" s="2"/>
      <c r="EI640" s="2"/>
      <c r="EJ640" s="2"/>
      <c r="EK640" s="2"/>
      <c r="ES640" s="2"/>
      <c r="ET640" s="2"/>
      <c r="EU640" s="2"/>
      <c r="FC640" s="2"/>
      <c r="FD640" s="2"/>
      <c r="FE640" s="2"/>
      <c r="FJ640" s="13"/>
      <c r="FK640" s="13"/>
      <c r="FL640" s="13"/>
      <c r="FM640" s="13"/>
      <c r="FN640" s="13"/>
      <c r="FO640" s="13"/>
      <c r="FP640" s="13"/>
      <c r="FQ640" s="13"/>
      <c r="FR640" s="13"/>
      <c r="FS640" s="13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O641" s="2"/>
      <c r="DP641" s="2"/>
      <c r="DQ641" s="2"/>
      <c r="DY641" s="2"/>
      <c r="DZ641" s="2"/>
      <c r="EA641" s="2"/>
      <c r="EI641" s="2"/>
      <c r="EJ641" s="2"/>
      <c r="EK641" s="2"/>
      <c r="ES641" s="2"/>
      <c r="ET641" s="2"/>
      <c r="EU641" s="2"/>
      <c r="FC641" s="2"/>
      <c r="FD641" s="2"/>
      <c r="FE641" s="2"/>
      <c r="FJ641" s="13"/>
      <c r="FK641" s="13"/>
      <c r="FL641" s="13"/>
      <c r="FM641" s="13"/>
      <c r="FN641" s="13"/>
      <c r="FO641" s="13"/>
      <c r="FP641" s="13"/>
      <c r="FQ641" s="13"/>
      <c r="FR641" s="13"/>
      <c r="FS641" s="13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O642" s="2"/>
      <c r="DP642" s="2"/>
      <c r="DQ642" s="2"/>
      <c r="DY642" s="2"/>
      <c r="DZ642" s="2"/>
      <c r="EA642" s="2"/>
      <c r="EI642" s="2"/>
      <c r="EJ642" s="2"/>
      <c r="EK642" s="2"/>
      <c r="ES642" s="2"/>
      <c r="ET642" s="2"/>
      <c r="EU642" s="2"/>
      <c r="FC642" s="2"/>
      <c r="FD642" s="2"/>
      <c r="FE642" s="2"/>
      <c r="FJ642" s="13"/>
      <c r="FK642" s="13"/>
      <c r="FL642" s="13"/>
      <c r="FM642" s="13"/>
      <c r="FN642" s="13"/>
      <c r="FO642" s="13"/>
      <c r="FP642" s="13"/>
      <c r="FQ642" s="13"/>
      <c r="FR642" s="13"/>
      <c r="FS642" s="13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O643" s="2"/>
      <c r="DP643" s="2"/>
      <c r="DQ643" s="2"/>
      <c r="DY643" s="2"/>
      <c r="DZ643" s="2"/>
      <c r="EA643" s="2"/>
      <c r="EI643" s="2"/>
      <c r="EJ643" s="2"/>
      <c r="EK643" s="2"/>
      <c r="ES643" s="2"/>
      <c r="ET643" s="2"/>
      <c r="EU643" s="2"/>
      <c r="FC643" s="2"/>
      <c r="FD643" s="2"/>
      <c r="FE643" s="2"/>
      <c r="FJ643" s="13"/>
      <c r="FK643" s="13"/>
      <c r="FL643" s="13"/>
      <c r="FM643" s="13"/>
      <c r="FN643" s="13"/>
      <c r="FO643" s="13"/>
      <c r="FP643" s="13"/>
      <c r="FQ643" s="13"/>
      <c r="FR643" s="13"/>
      <c r="FS643" s="13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O644" s="2"/>
      <c r="DP644" s="2"/>
      <c r="DQ644" s="2"/>
      <c r="DY644" s="2"/>
      <c r="DZ644" s="2"/>
      <c r="EA644" s="2"/>
      <c r="EI644" s="2"/>
      <c r="EJ644" s="2"/>
      <c r="EK644" s="2"/>
      <c r="ES644" s="2"/>
      <c r="ET644" s="2"/>
      <c r="EU644" s="2"/>
      <c r="FC644" s="2"/>
      <c r="FD644" s="2"/>
      <c r="FE644" s="2"/>
      <c r="FJ644" s="13"/>
      <c r="FK644" s="13"/>
      <c r="FL644" s="13"/>
      <c r="FM644" s="13"/>
      <c r="FN644" s="13"/>
      <c r="FO644" s="13"/>
      <c r="FP644" s="13"/>
      <c r="FQ644" s="13"/>
      <c r="FR644" s="13"/>
      <c r="FS644" s="13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O645" s="2"/>
      <c r="DP645" s="2"/>
      <c r="DQ645" s="2"/>
      <c r="DY645" s="2"/>
      <c r="DZ645" s="2"/>
      <c r="EA645" s="2"/>
      <c r="EI645" s="2"/>
      <c r="EJ645" s="2"/>
      <c r="EK645" s="2"/>
      <c r="ES645" s="2"/>
      <c r="ET645" s="2"/>
      <c r="EU645" s="2"/>
      <c r="FC645" s="2"/>
      <c r="FD645" s="2"/>
      <c r="FE645" s="2"/>
      <c r="FJ645" s="13"/>
      <c r="FK645" s="13"/>
      <c r="FL645" s="13"/>
      <c r="FM645" s="13"/>
      <c r="FN645" s="13"/>
      <c r="FO645" s="13"/>
      <c r="FP645" s="13"/>
      <c r="FQ645" s="13"/>
      <c r="FR645" s="13"/>
      <c r="FS645" s="13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O646" s="2"/>
      <c r="DP646" s="2"/>
      <c r="DQ646" s="2"/>
      <c r="DY646" s="2"/>
      <c r="DZ646" s="2"/>
      <c r="EA646" s="2"/>
      <c r="EI646" s="2"/>
      <c r="EJ646" s="2"/>
      <c r="EK646" s="2"/>
      <c r="ES646" s="2"/>
      <c r="ET646" s="2"/>
      <c r="EU646" s="2"/>
      <c r="FC646" s="2"/>
      <c r="FD646" s="2"/>
      <c r="FE646" s="2"/>
      <c r="FJ646" s="13"/>
      <c r="FK646" s="13"/>
      <c r="FL646" s="13"/>
      <c r="FM646" s="13"/>
      <c r="FN646" s="13"/>
      <c r="FO646" s="13"/>
      <c r="FP646" s="13"/>
      <c r="FQ646" s="13"/>
      <c r="FR646" s="13"/>
      <c r="FS646" s="13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O647" s="2"/>
      <c r="DP647" s="2"/>
      <c r="DQ647" s="2"/>
      <c r="DY647" s="2"/>
      <c r="DZ647" s="2"/>
      <c r="EA647" s="2"/>
      <c r="EI647" s="2"/>
      <c r="EJ647" s="2"/>
      <c r="EK647" s="2"/>
      <c r="ES647" s="2"/>
      <c r="ET647" s="2"/>
      <c r="EU647" s="2"/>
      <c r="FC647" s="2"/>
      <c r="FD647" s="2"/>
      <c r="FE647" s="2"/>
      <c r="FJ647" s="13"/>
      <c r="FK647" s="13"/>
      <c r="FL647" s="13"/>
      <c r="FM647" s="13"/>
      <c r="FN647" s="13"/>
      <c r="FO647" s="13"/>
      <c r="FP647" s="13"/>
      <c r="FQ647" s="13"/>
      <c r="FR647" s="13"/>
      <c r="FS647" s="13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O648" s="2"/>
      <c r="DP648" s="2"/>
      <c r="DQ648" s="2"/>
      <c r="DY648" s="2"/>
      <c r="DZ648" s="2"/>
      <c r="EA648" s="2"/>
      <c r="EI648" s="2"/>
      <c r="EJ648" s="2"/>
      <c r="EK648" s="2"/>
      <c r="ES648" s="2"/>
      <c r="ET648" s="2"/>
      <c r="EU648" s="2"/>
      <c r="FC648" s="2"/>
      <c r="FD648" s="2"/>
      <c r="FE648" s="2"/>
      <c r="FJ648" s="13"/>
      <c r="FK648" s="13"/>
      <c r="FL648" s="13"/>
      <c r="FM648" s="13"/>
      <c r="FN648" s="13"/>
      <c r="FO648" s="13"/>
      <c r="FP648" s="13"/>
      <c r="FQ648" s="13"/>
      <c r="FR648" s="13"/>
      <c r="FS648" s="13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O649" s="2"/>
      <c r="DP649" s="2"/>
      <c r="DQ649" s="2"/>
      <c r="DY649" s="2"/>
      <c r="DZ649" s="2"/>
      <c r="EA649" s="2"/>
      <c r="EI649" s="2"/>
      <c r="EJ649" s="2"/>
      <c r="EK649" s="2"/>
      <c r="ES649" s="2"/>
      <c r="ET649" s="2"/>
      <c r="EU649" s="2"/>
      <c r="FC649" s="2"/>
      <c r="FD649" s="2"/>
      <c r="FE649" s="2"/>
      <c r="FJ649" s="13"/>
      <c r="FK649" s="13"/>
      <c r="FL649" s="13"/>
      <c r="FM649" s="13"/>
      <c r="FN649" s="13"/>
      <c r="FO649" s="13"/>
      <c r="FP649" s="13"/>
      <c r="FQ649" s="13"/>
      <c r="FR649" s="13"/>
      <c r="FS649" s="13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O650" s="2"/>
      <c r="DP650" s="2"/>
      <c r="DQ650" s="2"/>
      <c r="DY650" s="2"/>
      <c r="DZ650" s="2"/>
      <c r="EA650" s="2"/>
      <c r="EI650" s="2"/>
      <c r="EJ650" s="2"/>
      <c r="EK650" s="2"/>
      <c r="ES650" s="2"/>
      <c r="ET650" s="2"/>
      <c r="EU650" s="2"/>
      <c r="FC650" s="2"/>
      <c r="FD650" s="2"/>
      <c r="FE650" s="2"/>
      <c r="FJ650" s="13"/>
      <c r="FK650" s="13"/>
      <c r="FL650" s="13"/>
      <c r="FM650" s="13"/>
      <c r="FN650" s="13"/>
      <c r="FO650" s="13"/>
      <c r="FP650" s="13"/>
      <c r="FQ650" s="13"/>
      <c r="FR650" s="13"/>
      <c r="FS650" s="13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O651" s="2"/>
      <c r="DP651" s="2"/>
      <c r="DQ651" s="2"/>
      <c r="DY651" s="2"/>
      <c r="DZ651" s="2"/>
      <c r="EA651" s="2"/>
      <c r="EI651" s="2"/>
      <c r="EJ651" s="2"/>
      <c r="EK651" s="2"/>
      <c r="ES651" s="2"/>
      <c r="ET651" s="2"/>
      <c r="EU651" s="2"/>
      <c r="FC651" s="2"/>
      <c r="FD651" s="2"/>
      <c r="FE651" s="2"/>
      <c r="FJ651" s="13"/>
      <c r="FK651" s="13"/>
      <c r="FL651" s="13"/>
      <c r="FM651" s="13"/>
      <c r="FN651" s="13"/>
      <c r="FO651" s="13"/>
      <c r="FP651" s="13"/>
      <c r="FQ651" s="13"/>
      <c r="FR651" s="13"/>
      <c r="FS651" s="13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O652" s="2"/>
      <c r="DP652" s="2"/>
      <c r="DQ652" s="2"/>
      <c r="DY652" s="2"/>
      <c r="DZ652" s="2"/>
      <c r="EA652" s="2"/>
      <c r="EI652" s="2"/>
      <c r="EJ652" s="2"/>
      <c r="EK652" s="2"/>
      <c r="ES652" s="2"/>
      <c r="ET652" s="2"/>
      <c r="EU652" s="2"/>
      <c r="FC652" s="2"/>
      <c r="FD652" s="2"/>
      <c r="FE652" s="2"/>
      <c r="FJ652" s="13"/>
      <c r="FK652" s="13"/>
      <c r="FL652" s="13"/>
      <c r="FM652" s="13"/>
      <c r="FN652" s="13"/>
      <c r="FO652" s="13"/>
      <c r="FP652" s="13"/>
      <c r="FQ652" s="13"/>
      <c r="FR652" s="13"/>
      <c r="FS652" s="13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O653" s="2"/>
      <c r="DP653" s="2"/>
      <c r="DQ653" s="2"/>
      <c r="DY653" s="2"/>
      <c r="DZ653" s="2"/>
      <c r="EA653" s="2"/>
      <c r="EI653" s="2"/>
      <c r="EJ653" s="2"/>
      <c r="EK653" s="2"/>
      <c r="ES653" s="2"/>
      <c r="ET653" s="2"/>
      <c r="EU653" s="2"/>
      <c r="FC653" s="2"/>
      <c r="FD653" s="2"/>
      <c r="FE653" s="2"/>
      <c r="FJ653" s="13"/>
      <c r="FK653" s="13"/>
      <c r="FL653" s="13"/>
      <c r="FM653" s="13"/>
      <c r="FN653" s="13"/>
      <c r="FO653" s="13"/>
      <c r="FP653" s="13"/>
      <c r="FQ653" s="13"/>
      <c r="FR653" s="13"/>
      <c r="FS653" s="13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O654" s="2"/>
      <c r="DP654" s="2"/>
      <c r="DQ654" s="2"/>
      <c r="DY654" s="2"/>
      <c r="DZ654" s="2"/>
      <c r="EA654" s="2"/>
      <c r="EI654" s="2"/>
      <c r="EJ654" s="2"/>
      <c r="EK654" s="2"/>
      <c r="ES654" s="2"/>
      <c r="ET654" s="2"/>
      <c r="EU654" s="2"/>
      <c r="FC654" s="2"/>
      <c r="FD654" s="2"/>
      <c r="FE654" s="2"/>
      <c r="FJ654" s="13"/>
      <c r="FK654" s="13"/>
      <c r="FL654" s="13"/>
      <c r="FM654" s="13"/>
      <c r="FN654" s="13"/>
      <c r="FO654" s="13"/>
      <c r="FP654" s="13"/>
      <c r="FQ654" s="13"/>
      <c r="FR654" s="13"/>
      <c r="FS654" s="13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O655" s="2"/>
      <c r="DP655" s="2"/>
      <c r="DQ655" s="2"/>
      <c r="DY655" s="2"/>
      <c r="DZ655" s="2"/>
      <c r="EA655" s="2"/>
      <c r="EI655" s="2"/>
      <c r="EJ655" s="2"/>
      <c r="EK655" s="2"/>
      <c r="ES655" s="2"/>
      <c r="ET655" s="2"/>
      <c r="EU655" s="2"/>
      <c r="FC655" s="2"/>
      <c r="FD655" s="2"/>
      <c r="FE655" s="2"/>
      <c r="FJ655" s="13"/>
      <c r="FK655" s="13"/>
      <c r="FL655" s="13"/>
      <c r="FM655" s="13"/>
      <c r="FN655" s="13"/>
      <c r="FO655" s="13"/>
      <c r="FP655" s="13"/>
      <c r="FQ655" s="13"/>
      <c r="FR655" s="13"/>
      <c r="FS655" s="13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O656" s="2"/>
      <c r="DP656" s="2"/>
      <c r="DQ656" s="2"/>
      <c r="DY656" s="2"/>
      <c r="DZ656" s="2"/>
      <c r="EA656" s="2"/>
      <c r="EI656" s="2"/>
      <c r="EJ656" s="2"/>
      <c r="EK656" s="2"/>
      <c r="ES656" s="2"/>
      <c r="ET656" s="2"/>
      <c r="EU656" s="2"/>
      <c r="FC656" s="2"/>
      <c r="FD656" s="2"/>
      <c r="FE656" s="2"/>
      <c r="FJ656" s="13"/>
      <c r="FK656" s="13"/>
      <c r="FL656" s="13"/>
      <c r="FM656" s="13"/>
      <c r="FN656" s="13"/>
      <c r="FO656" s="13"/>
      <c r="FP656" s="13"/>
      <c r="FQ656" s="13"/>
      <c r="FR656" s="13"/>
      <c r="FS656" s="13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O657" s="2"/>
      <c r="DP657" s="2"/>
      <c r="DQ657" s="2"/>
      <c r="DY657" s="2"/>
      <c r="DZ657" s="2"/>
      <c r="EA657" s="2"/>
      <c r="EI657" s="2"/>
      <c r="EJ657" s="2"/>
      <c r="EK657" s="2"/>
      <c r="ES657" s="2"/>
      <c r="ET657" s="2"/>
      <c r="EU657" s="2"/>
      <c r="FC657" s="2"/>
      <c r="FD657" s="2"/>
      <c r="FE657" s="2"/>
      <c r="FJ657" s="13"/>
      <c r="FK657" s="13"/>
      <c r="FL657" s="13"/>
      <c r="FM657" s="13"/>
      <c r="FN657" s="13"/>
      <c r="FO657" s="13"/>
      <c r="FP657" s="13"/>
      <c r="FQ657" s="13"/>
      <c r="FR657" s="13"/>
      <c r="FS657" s="13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O658" s="2"/>
      <c r="DP658" s="2"/>
      <c r="DQ658" s="2"/>
      <c r="DY658" s="2"/>
      <c r="DZ658" s="2"/>
      <c r="EA658" s="2"/>
      <c r="EI658" s="2"/>
      <c r="EJ658" s="2"/>
      <c r="EK658" s="2"/>
      <c r="ES658" s="2"/>
      <c r="ET658" s="2"/>
      <c r="EU658" s="2"/>
      <c r="FC658" s="2"/>
      <c r="FD658" s="2"/>
      <c r="FE658" s="2"/>
      <c r="FJ658" s="13"/>
      <c r="FK658" s="13"/>
      <c r="FL658" s="13"/>
      <c r="FM658" s="13"/>
      <c r="FN658" s="13"/>
      <c r="FO658" s="13"/>
      <c r="FP658" s="13"/>
      <c r="FQ658" s="13"/>
      <c r="FR658" s="13"/>
      <c r="FS658" s="13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O659" s="2"/>
      <c r="DP659" s="2"/>
      <c r="DQ659" s="2"/>
      <c r="DY659" s="2"/>
      <c r="DZ659" s="2"/>
      <c r="EA659" s="2"/>
      <c r="EI659" s="2"/>
      <c r="EJ659" s="2"/>
      <c r="EK659" s="2"/>
      <c r="ES659" s="2"/>
      <c r="ET659" s="2"/>
      <c r="EU659" s="2"/>
      <c r="FC659" s="2"/>
      <c r="FD659" s="2"/>
      <c r="FE659" s="2"/>
      <c r="FJ659" s="13"/>
      <c r="FK659" s="13"/>
      <c r="FL659" s="13"/>
      <c r="FM659" s="13"/>
      <c r="FN659" s="13"/>
      <c r="FO659" s="13"/>
      <c r="FP659" s="13"/>
      <c r="FQ659" s="13"/>
      <c r="FR659" s="13"/>
      <c r="FS659" s="13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O660" s="2"/>
      <c r="DP660" s="2"/>
      <c r="DQ660" s="2"/>
      <c r="DY660" s="2"/>
      <c r="DZ660" s="2"/>
      <c r="EA660" s="2"/>
      <c r="EI660" s="2"/>
      <c r="EJ660" s="2"/>
      <c r="EK660" s="2"/>
      <c r="ES660" s="2"/>
      <c r="ET660" s="2"/>
      <c r="EU660" s="2"/>
      <c r="FC660" s="2"/>
      <c r="FD660" s="2"/>
      <c r="FE660" s="2"/>
      <c r="FJ660" s="13"/>
      <c r="FK660" s="13"/>
      <c r="FL660" s="13"/>
      <c r="FM660" s="13"/>
      <c r="FN660" s="13"/>
      <c r="FO660" s="13"/>
      <c r="FP660" s="13"/>
      <c r="FQ660" s="13"/>
      <c r="FR660" s="13"/>
      <c r="FS660" s="13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O661" s="2"/>
      <c r="DP661" s="2"/>
      <c r="DQ661" s="2"/>
      <c r="DY661" s="2"/>
      <c r="DZ661" s="2"/>
      <c r="EA661" s="2"/>
      <c r="EI661" s="2"/>
      <c r="EJ661" s="2"/>
      <c r="EK661" s="2"/>
      <c r="ES661" s="2"/>
      <c r="ET661" s="2"/>
      <c r="EU661" s="2"/>
      <c r="FC661" s="2"/>
      <c r="FD661" s="2"/>
      <c r="FE661" s="2"/>
      <c r="FJ661" s="13"/>
      <c r="FK661" s="13"/>
      <c r="FL661" s="13"/>
      <c r="FM661" s="13"/>
      <c r="FN661" s="13"/>
      <c r="FO661" s="13"/>
      <c r="FP661" s="13"/>
      <c r="FQ661" s="13"/>
      <c r="FR661" s="13"/>
      <c r="FS661" s="13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O662" s="2"/>
      <c r="DP662" s="2"/>
      <c r="DQ662" s="2"/>
      <c r="DY662" s="2"/>
      <c r="DZ662" s="2"/>
      <c r="EA662" s="2"/>
      <c r="EI662" s="2"/>
      <c r="EJ662" s="2"/>
      <c r="EK662" s="2"/>
      <c r="ES662" s="2"/>
      <c r="ET662" s="2"/>
      <c r="EU662" s="2"/>
      <c r="FC662" s="2"/>
      <c r="FD662" s="2"/>
      <c r="FE662" s="2"/>
      <c r="FJ662" s="13"/>
      <c r="FK662" s="13"/>
      <c r="FL662" s="13"/>
      <c r="FM662" s="13"/>
      <c r="FN662" s="13"/>
      <c r="FO662" s="13"/>
      <c r="FP662" s="13"/>
      <c r="FQ662" s="13"/>
      <c r="FR662" s="13"/>
      <c r="FS662" s="13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O663" s="2"/>
      <c r="DP663" s="2"/>
      <c r="DQ663" s="2"/>
      <c r="DY663" s="2"/>
      <c r="DZ663" s="2"/>
      <c r="EA663" s="2"/>
      <c r="EI663" s="2"/>
      <c r="EJ663" s="2"/>
      <c r="EK663" s="2"/>
      <c r="ES663" s="2"/>
      <c r="ET663" s="2"/>
      <c r="EU663" s="2"/>
      <c r="FC663" s="2"/>
      <c r="FD663" s="2"/>
      <c r="FE663" s="2"/>
      <c r="FJ663" s="13"/>
      <c r="FK663" s="13"/>
      <c r="FL663" s="13"/>
      <c r="FM663" s="13"/>
      <c r="FN663" s="13"/>
      <c r="FO663" s="13"/>
      <c r="FP663" s="13"/>
      <c r="FQ663" s="13"/>
      <c r="FR663" s="13"/>
      <c r="FS663" s="13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O664" s="2"/>
      <c r="DP664" s="2"/>
      <c r="DQ664" s="2"/>
      <c r="DY664" s="2"/>
      <c r="DZ664" s="2"/>
      <c r="EA664" s="2"/>
      <c r="EI664" s="2"/>
      <c r="EJ664" s="2"/>
      <c r="EK664" s="2"/>
      <c r="ES664" s="2"/>
      <c r="ET664" s="2"/>
      <c r="EU664" s="2"/>
      <c r="FC664" s="2"/>
      <c r="FD664" s="2"/>
      <c r="FE664" s="2"/>
      <c r="FJ664" s="13"/>
      <c r="FK664" s="13"/>
      <c r="FL664" s="13"/>
      <c r="FM664" s="13"/>
      <c r="FN664" s="13"/>
      <c r="FO664" s="13"/>
      <c r="FP664" s="13"/>
      <c r="FQ664" s="13"/>
      <c r="FR664" s="13"/>
      <c r="FS664" s="13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O665" s="2"/>
      <c r="DP665" s="2"/>
      <c r="DQ665" s="2"/>
      <c r="DY665" s="2"/>
      <c r="DZ665" s="2"/>
      <c r="EA665" s="2"/>
      <c r="EI665" s="2"/>
      <c r="EJ665" s="2"/>
      <c r="EK665" s="2"/>
      <c r="ES665" s="2"/>
      <c r="ET665" s="2"/>
      <c r="EU665" s="2"/>
      <c r="FC665" s="2"/>
      <c r="FD665" s="2"/>
      <c r="FE665" s="2"/>
      <c r="FJ665" s="13"/>
      <c r="FK665" s="13"/>
      <c r="FL665" s="13"/>
      <c r="FM665" s="13"/>
      <c r="FN665" s="13"/>
      <c r="FO665" s="13"/>
      <c r="FP665" s="13"/>
      <c r="FQ665" s="13"/>
      <c r="FR665" s="13"/>
      <c r="FS665" s="13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O666" s="2"/>
      <c r="DP666" s="2"/>
      <c r="DQ666" s="2"/>
      <c r="DY666" s="2"/>
      <c r="DZ666" s="2"/>
      <c r="EA666" s="2"/>
      <c r="EI666" s="2"/>
      <c r="EJ666" s="2"/>
      <c r="EK666" s="2"/>
      <c r="ES666" s="2"/>
      <c r="ET666" s="2"/>
      <c r="EU666" s="2"/>
      <c r="FC666" s="2"/>
      <c r="FD666" s="2"/>
      <c r="FE666" s="2"/>
      <c r="FJ666" s="13"/>
      <c r="FK666" s="13"/>
      <c r="FL666" s="13"/>
      <c r="FM666" s="13"/>
      <c r="FN666" s="13"/>
      <c r="FO666" s="13"/>
      <c r="FP666" s="13"/>
      <c r="FQ666" s="13"/>
      <c r="FR666" s="13"/>
      <c r="FS666" s="13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O667" s="2"/>
      <c r="DP667" s="2"/>
      <c r="DQ667" s="2"/>
      <c r="DY667" s="2"/>
      <c r="DZ667" s="2"/>
      <c r="EA667" s="2"/>
      <c r="EI667" s="2"/>
      <c r="EJ667" s="2"/>
      <c r="EK667" s="2"/>
      <c r="ES667" s="2"/>
      <c r="ET667" s="2"/>
      <c r="EU667" s="2"/>
      <c r="FC667" s="2"/>
      <c r="FD667" s="2"/>
      <c r="FE667" s="2"/>
      <c r="FJ667" s="13"/>
      <c r="FK667" s="13"/>
      <c r="FL667" s="13"/>
      <c r="FM667" s="13"/>
      <c r="FN667" s="13"/>
      <c r="FO667" s="13"/>
      <c r="FP667" s="13"/>
      <c r="FQ667" s="13"/>
      <c r="FR667" s="13"/>
      <c r="FS667" s="13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O668" s="2"/>
      <c r="DP668" s="2"/>
      <c r="DQ668" s="2"/>
      <c r="DY668" s="2"/>
      <c r="DZ668" s="2"/>
      <c r="EA668" s="2"/>
      <c r="EI668" s="2"/>
      <c r="EJ668" s="2"/>
      <c r="EK668" s="2"/>
      <c r="ES668" s="2"/>
      <c r="ET668" s="2"/>
      <c r="EU668" s="2"/>
      <c r="FC668" s="2"/>
      <c r="FD668" s="2"/>
      <c r="FE668" s="2"/>
      <c r="FJ668" s="13"/>
      <c r="FK668" s="13"/>
      <c r="FL668" s="13"/>
      <c r="FM668" s="13"/>
      <c r="FN668" s="13"/>
      <c r="FO668" s="13"/>
      <c r="FP668" s="13"/>
      <c r="FQ668" s="13"/>
      <c r="FR668" s="13"/>
      <c r="FS668" s="13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O669" s="2"/>
      <c r="DP669" s="2"/>
      <c r="DQ669" s="2"/>
      <c r="DY669" s="2"/>
      <c r="DZ669" s="2"/>
      <c r="EA669" s="2"/>
      <c r="EI669" s="2"/>
      <c r="EJ669" s="2"/>
      <c r="EK669" s="2"/>
      <c r="ES669" s="2"/>
      <c r="ET669" s="2"/>
      <c r="EU669" s="2"/>
      <c r="FC669" s="2"/>
      <c r="FD669" s="2"/>
      <c r="FE669" s="2"/>
      <c r="FJ669" s="13"/>
      <c r="FK669" s="13"/>
      <c r="FL669" s="13"/>
      <c r="FM669" s="13"/>
      <c r="FN669" s="13"/>
      <c r="FO669" s="13"/>
      <c r="FP669" s="13"/>
      <c r="FQ669" s="13"/>
      <c r="FR669" s="13"/>
      <c r="FS669" s="13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O670" s="2"/>
      <c r="DP670" s="2"/>
      <c r="DQ670" s="2"/>
      <c r="DY670" s="2"/>
      <c r="DZ670" s="2"/>
      <c r="EA670" s="2"/>
      <c r="EI670" s="2"/>
      <c r="EJ670" s="2"/>
      <c r="EK670" s="2"/>
      <c r="ES670" s="2"/>
      <c r="ET670" s="2"/>
      <c r="EU670" s="2"/>
      <c r="FC670" s="2"/>
      <c r="FD670" s="2"/>
      <c r="FE670" s="2"/>
      <c r="FJ670" s="13"/>
      <c r="FK670" s="13"/>
      <c r="FL670" s="13"/>
      <c r="FM670" s="13"/>
      <c r="FN670" s="13"/>
      <c r="FO670" s="13"/>
      <c r="FP670" s="13"/>
      <c r="FQ670" s="13"/>
      <c r="FR670" s="13"/>
      <c r="FS670" s="13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O671" s="2"/>
      <c r="DP671" s="2"/>
      <c r="DQ671" s="2"/>
      <c r="DY671" s="2"/>
      <c r="DZ671" s="2"/>
      <c r="EA671" s="2"/>
      <c r="EI671" s="2"/>
      <c r="EJ671" s="2"/>
      <c r="EK671" s="2"/>
      <c r="ES671" s="2"/>
      <c r="ET671" s="2"/>
      <c r="EU671" s="2"/>
      <c r="FC671" s="2"/>
      <c r="FD671" s="2"/>
      <c r="FE671" s="2"/>
      <c r="FJ671" s="13"/>
      <c r="FK671" s="13"/>
      <c r="FL671" s="13"/>
      <c r="FM671" s="13"/>
      <c r="FN671" s="13"/>
      <c r="FO671" s="13"/>
      <c r="FP671" s="13"/>
      <c r="FQ671" s="13"/>
      <c r="FR671" s="13"/>
      <c r="FS671" s="13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O672" s="2"/>
      <c r="DP672" s="2"/>
      <c r="DQ672" s="2"/>
      <c r="DY672" s="2"/>
      <c r="DZ672" s="2"/>
      <c r="EA672" s="2"/>
      <c r="EI672" s="2"/>
      <c r="EJ672" s="2"/>
      <c r="EK672" s="2"/>
      <c r="ES672" s="2"/>
      <c r="ET672" s="2"/>
      <c r="EU672" s="2"/>
      <c r="FC672" s="2"/>
      <c r="FD672" s="2"/>
      <c r="FE672" s="2"/>
      <c r="FJ672" s="13"/>
      <c r="FK672" s="13"/>
      <c r="FL672" s="13"/>
      <c r="FM672" s="13"/>
      <c r="FN672" s="13"/>
      <c r="FO672" s="13"/>
      <c r="FP672" s="13"/>
      <c r="FQ672" s="13"/>
      <c r="FR672" s="13"/>
      <c r="FS672" s="13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O673" s="2"/>
      <c r="DP673" s="2"/>
      <c r="DQ673" s="2"/>
      <c r="DY673" s="2"/>
      <c r="DZ673" s="2"/>
      <c r="EA673" s="2"/>
      <c r="EI673" s="2"/>
      <c r="EJ673" s="2"/>
      <c r="EK673" s="2"/>
      <c r="ES673" s="2"/>
      <c r="ET673" s="2"/>
      <c r="EU673" s="2"/>
      <c r="FC673" s="2"/>
      <c r="FD673" s="2"/>
      <c r="FE673" s="2"/>
      <c r="FJ673" s="13"/>
      <c r="FK673" s="13"/>
      <c r="FL673" s="13"/>
      <c r="FM673" s="13"/>
      <c r="FN673" s="13"/>
      <c r="FO673" s="13"/>
      <c r="FP673" s="13"/>
      <c r="FQ673" s="13"/>
      <c r="FR673" s="13"/>
      <c r="FS673" s="13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O674" s="2"/>
      <c r="DP674" s="2"/>
      <c r="DQ674" s="2"/>
      <c r="DY674" s="2"/>
      <c r="DZ674" s="2"/>
      <c r="EA674" s="2"/>
      <c r="EI674" s="2"/>
      <c r="EJ674" s="2"/>
      <c r="EK674" s="2"/>
      <c r="ES674" s="2"/>
      <c r="ET674" s="2"/>
      <c r="EU674" s="2"/>
      <c r="FC674" s="2"/>
      <c r="FD674" s="2"/>
      <c r="FE674" s="2"/>
      <c r="FJ674" s="13"/>
      <c r="FK674" s="13"/>
      <c r="FL674" s="13"/>
      <c r="FM674" s="13"/>
      <c r="FN674" s="13"/>
      <c r="FO674" s="13"/>
      <c r="FP674" s="13"/>
      <c r="FQ674" s="13"/>
      <c r="FR674" s="13"/>
      <c r="FS674" s="13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O675" s="2"/>
      <c r="DP675" s="2"/>
      <c r="DQ675" s="2"/>
      <c r="DY675" s="2"/>
      <c r="DZ675" s="2"/>
      <c r="EA675" s="2"/>
      <c r="EI675" s="2"/>
      <c r="EJ675" s="2"/>
      <c r="EK675" s="2"/>
      <c r="ES675" s="2"/>
      <c r="ET675" s="2"/>
      <c r="EU675" s="2"/>
      <c r="FC675" s="2"/>
      <c r="FD675" s="2"/>
      <c r="FE675" s="2"/>
      <c r="FJ675" s="13"/>
      <c r="FK675" s="13"/>
      <c r="FL675" s="13"/>
      <c r="FM675" s="13"/>
      <c r="FN675" s="13"/>
      <c r="FO675" s="13"/>
      <c r="FP675" s="13"/>
      <c r="FQ675" s="13"/>
      <c r="FR675" s="13"/>
      <c r="FS675" s="13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O676" s="2"/>
      <c r="DP676" s="2"/>
      <c r="DQ676" s="2"/>
      <c r="DY676" s="2"/>
      <c r="DZ676" s="2"/>
      <c r="EA676" s="2"/>
      <c r="EI676" s="2"/>
      <c r="EJ676" s="2"/>
      <c r="EK676" s="2"/>
      <c r="ES676" s="2"/>
      <c r="ET676" s="2"/>
      <c r="EU676" s="2"/>
      <c r="FC676" s="2"/>
      <c r="FD676" s="2"/>
      <c r="FE676" s="2"/>
      <c r="FJ676" s="13"/>
      <c r="FK676" s="13"/>
      <c r="FL676" s="13"/>
      <c r="FM676" s="13"/>
      <c r="FN676" s="13"/>
      <c r="FO676" s="13"/>
      <c r="FP676" s="13"/>
      <c r="FQ676" s="13"/>
      <c r="FR676" s="13"/>
      <c r="FS676" s="13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O677" s="2"/>
      <c r="DP677" s="2"/>
      <c r="DQ677" s="2"/>
      <c r="DY677" s="2"/>
      <c r="DZ677" s="2"/>
      <c r="EA677" s="2"/>
      <c r="EI677" s="2"/>
      <c r="EJ677" s="2"/>
      <c r="EK677" s="2"/>
      <c r="ES677" s="2"/>
      <c r="ET677" s="2"/>
      <c r="EU677" s="2"/>
      <c r="FC677" s="2"/>
      <c r="FD677" s="2"/>
      <c r="FE677" s="2"/>
      <c r="FJ677" s="13"/>
      <c r="FK677" s="13"/>
      <c r="FL677" s="13"/>
      <c r="FM677" s="13"/>
      <c r="FN677" s="13"/>
      <c r="FO677" s="13"/>
      <c r="FP677" s="13"/>
      <c r="FQ677" s="13"/>
      <c r="FR677" s="13"/>
      <c r="FS677" s="13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O678" s="2"/>
      <c r="DP678" s="2"/>
      <c r="DQ678" s="2"/>
      <c r="DY678" s="2"/>
      <c r="DZ678" s="2"/>
      <c r="EA678" s="2"/>
      <c r="EI678" s="2"/>
      <c r="EJ678" s="2"/>
      <c r="EK678" s="2"/>
      <c r="ES678" s="2"/>
      <c r="ET678" s="2"/>
      <c r="EU678" s="2"/>
      <c r="FC678" s="2"/>
      <c r="FD678" s="2"/>
      <c r="FE678" s="2"/>
      <c r="FJ678" s="13"/>
      <c r="FK678" s="13"/>
      <c r="FL678" s="13"/>
      <c r="FM678" s="13"/>
      <c r="FN678" s="13"/>
      <c r="FO678" s="13"/>
      <c r="FP678" s="13"/>
      <c r="FQ678" s="13"/>
      <c r="FR678" s="13"/>
      <c r="FS678" s="13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O679" s="2"/>
      <c r="DP679" s="2"/>
      <c r="DQ679" s="2"/>
      <c r="DY679" s="2"/>
      <c r="DZ679" s="2"/>
      <c r="EA679" s="2"/>
      <c r="EI679" s="2"/>
      <c r="EJ679" s="2"/>
      <c r="EK679" s="2"/>
      <c r="ES679" s="2"/>
      <c r="ET679" s="2"/>
      <c r="EU679" s="2"/>
      <c r="FC679" s="2"/>
      <c r="FD679" s="2"/>
      <c r="FE679" s="2"/>
      <c r="FJ679" s="13"/>
      <c r="FK679" s="13"/>
      <c r="FL679" s="13"/>
      <c r="FM679" s="13"/>
      <c r="FN679" s="13"/>
      <c r="FO679" s="13"/>
      <c r="FP679" s="13"/>
      <c r="FQ679" s="13"/>
      <c r="FR679" s="13"/>
      <c r="FS679" s="13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O680" s="2"/>
      <c r="DP680" s="2"/>
      <c r="DQ680" s="2"/>
      <c r="DY680" s="2"/>
      <c r="DZ680" s="2"/>
      <c r="EA680" s="2"/>
      <c r="EI680" s="2"/>
      <c r="EJ680" s="2"/>
      <c r="EK680" s="2"/>
      <c r="ES680" s="2"/>
      <c r="ET680" s="2"/>
      <c r="EU680" s="2"/>
      <c r="FC680" s="2"/>
      <c r="FD680" s="2"/>
      <c r="FE680" s="2"/>
      <c r="FJ680" s="13"/>
      <c r="FK680" s="13"/>
      <c r="FL680" s="13"/>
      <c r="FM680" s="13"/>
      <c r="FN680" s="13"/>
      <c r="FO680" s="13"/>
      <c r="FP680" s="13"/>
      <c r="FQ680" s="13"/>
      <c r="FR680" s="13"/>
      <c r="FS680" s="13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O681" s="2"/>
      <c r="DP681" s="2"/>
      <c r="DQ681" s="2"/>
      <c r="DY681" s="2"/>
      <c r="DZ681" s="2"/>
      <c r="EA681" s="2"/>
      <c r="EI681" s="2"/>
      <c r="EJ681" s="2"/>
      <c r="EK681" s="2"/>
      <c r="ES681" s="2"/>
      <c r="ET681" s="2"/>
      <c r="EU681" s="2"/>
      <c r="FC681" s="2"/>
      <c r="FD681" s="2"/>
      <c r="FE681" s="2"/>
      <c r="FJ681" s="13"/>
      <c r="FK681" s="13"/>
      <c r="FL681" s="13"/>
      <c r="FM681" s="13"/>
      <c r="FN681" s="13"/>
      <c r="FO681" s="13"/>
      <c r="FP681" s="13"/>
      <c r="FQ681" s="13"/>
      <c r="FR681" s="13"/>
      <c r="FS681" s="13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O682" s="2"/>
      <c r="DP682" s="2"/>
      <c r="DQ682" s="2"/>
      <c r="DY682" s="2"/>
      <c r="DZ682" s="2"/>
      <c r="EA682" s="2"/>
      <c r="EI682" s="2"/>
      <c r="EJ682" s="2"/>
      <c r="EK682" s="2"/>
      <c r="ES682" s="2"/>
      <c r="ET682" s="2"/>
      <c r="EU682" s="2"/>
      <c r="FC682" s="2"/>
      <c r="FD682" s="2"/>
      <c r="FE682" s="2"/>
      <c r="FJ682" s="13"/>
      <c r="FK682" s="13"/>
      <c r="FL682" s="13"/>
      <c r="FM682" s="13"/>
      <c r="FN682" s="13"/>
      <c r="FO682" s="13"/>
      <c r="FP682" s="13"/>
      <c r="FQ682" s="13"/>
      <c r="FR682" s="13"/>
      <c r="FS682" s="13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O683" s="2"/>
      <c r="DP683" s="2"/>
      <c r="DQ683" s="2"/>
      <c r="DY683" s="2"/>
      <c r="DZ683" s="2"/>
      <c r="EA683" s="2"/>
      <c r="EI683" s="2"/>
      <c r="EJ683" s="2"/>
      <c r="EK683" s="2"/>
      <c r="ES683" s="2"/>
      <c r="ET683" s="2"/>
      <c r="EU683" s="2"/>
      <c r="FC683" s="2"/>
      <c r="FD683" s="2"/>
      <c r="FE683" s="2"/>
      <c r="FJ683" s="13"/>
      <c r="FK683" s="13"/>
      <c r="FL683" s="13"/>
      <c r="FM683" s="13"/>
      <c r="FN683" s="13"/>
      <c r="FO683" s="13"/>
      <c r="FP683" s="13"/>
      <c r="FQ683" s="13"/>
      <c r="FR683" s="13"/>
      <c r="FS683" s="13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O684" s="2"/>
      <c r="DP684" s="2"/>
      <c r="DQ684" s="2"/>
      <c r="DY684" s="2"/>
      <c r="DZ684" s="2"/>
      <c r="EA684" s="2"/>
      <c r="EI684" s="2"/>
      <c r="EJ684" s="2"/>
      <c r="EK684" s="2"/>
      <c r="ES684" s="2"/>
      <c r="ET684" s="2"/>
      <c r="EU684" s="2"/>
      <c r="FC684" s="2"/>
      <c r="FD684" s="2"/>
      <c r="FE684" s="2"/>
      <c r="FJ684" s="13"/>
      <c r="FK684" s="13"/>
      <c r="FL684" s="13"/>
      <c r="FM684" s="13"/>
      <c r="FN684" s="13"/>
      <c r="FO684" s="13"/>
      <c r="FP684" s="13"/>
      <c r="FQ684" s="13"/>
      <c r="FR684" s="13"/>
      <c r="FS684" s="13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O685" s="2"/>
      <c r="DP685" s="2"/>
      <c r="DQ685" s="2"/>
      <c r="DY685" s="2"/>
      <c r="DZ685" s="2"/>
      <c r="EA685" s="2"/>
      <c r="EI685" s="2"/>
      <c r="EJ685" s="2"/>
      <c r="EK685" s="2"/>
      <c r="ES685" s="2"/>
      <c r="ET685" s="2"/>
      <c r="EU685" s="2"/>
      <c r="FC685" s="2"/>
      <c r="FD685" s="2"/>
      <c r="FE685" s="2"/>
      <c r="FJ685" s="13"/>
      <c r="FK685" s="13"/>
      <c r="FL685" s="13"/>
      <c r="FM685" s="13"/>
      <c r="FN685" s="13"/>
      <c r="FO685" s="13"/>
      <c r="FP685" s="13"/>
      <c r="FQ685" s="13"/>
      <c r="FR685" s="13"/>
      <c r="FS685" s="13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O686" s="2"/>
      <c r="DP686" s="2"/>
      <c r="DQ686" s="2"/>
      <c r="DY686" s="2"/>
      <c r="DZ686" s="2"/>
      <c r="EA686" s="2"/>
      <c r="EI686" s="2"/>
      <c r="EJ686" s="2"/>
      <c r="EK686" s="2"/>
      <c r="ES686" s="2"/>
      <c r="ET686" s="2"/>
      <c r="EU686" s="2"/>
      <c r="FC686" s="2"/>
      <c r="FD686" s="2"/>
      <c r="FE686" s="2"/>
      <c r="FJ686" s="13"/>
      <c r="FK686" s="13"/>
      <c r="FL686" s="13"/>
      <c r="FM686" s="13"/>
      <c r="FN686" s="13"/>
      <c r="FO686" s="13"/>
      <c r="FP686" s="13"/>
      <c r="FQ686" s="13"/>
      <c r="FR686" s="13"/>
      <c r="FS686" s="13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O687" s="2"/>
      <c r="DP687" s="2"/>
      <c r="DQ687" s="2"/>
      <c r="DY687" s="2"/>
      <c r="DZ687" s="2"/>
      <c r="EA687" s="2"/>
      <c r="EI687" s="2"/>
      <c r="EJ687" s="2"/>
      <c r="EK687" s="2"/>
      <c r="ES687" s="2"/>
      <c r="ET687" s="2"/>
      <c r="EU687" s="2"/>
      <c r="FC687" s="2"/>
      <c r="FD687" s="2"/>
      <c r="FE687" s="2"/>
      <c r="FJ687" s="13"/>
      <c r="FK687" s="13"/>
      <c r="FL687" s="13"/>
      <c r="FM687" s="13"/>
      <c r="FN687" s="13"/>
      <c r="FO687" s="13"/>
      <c r="FP687" s="13"/>
      <c r="FQ687" s="13"/>
      <c r="FR687" s="13"/>
      <c r="FS687" s="13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O688" s="2"/>
      <c r="DP688" s="2"/>
      <c r="DQ688" s="2"/>
      <c r="DY688" s="2"/>
      <c r="DZ688" s="2"/>
      <c r="EA688" s="2"/>
      <c r="EI688" s="2"/>
      <c r="EJ688" s="2"/>
      <c r="EK688" s="2"/>
      <c r="ES688" s="2"/>
      <c r="ET688" s="2"/>
      <c r="EU688" s="2"/>
      <c r="FC688" s="2"/>
      <c r="FD688" s="2"/>
      <c r="FE688" s="2"/>
      <c r="FJ688" s="13"/>
      <c r="FK688" s="13"/>
      <c r="FL688" s="13"/>
      <c r="FM688" s="13"/>
      <c r="FN688" s="13"/>
      <c r="FO688" s="13"/>
      <c r="FP688" s="13"/>
      <c r="FQ688" s="13"/>
      <c r="FR688" s="13"/>
      <c r="FS688" s="13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O689" s="2"/>
      <c r="DP689" s="2"/>
      <c r="DQ689" s="2"/>
      <c r="DY689" s="2"/>
      <c r="DZ689" s="2"/>
      <c r="EA689" s="2"/>
      <c r="EI689" s="2"/>
      <c r="EJ689" s="2"/>
      <c r="EK689" s="2"/>
      <c r="ES689" s="2"/>
      <c r="ET689" s="2"/>
      <c r="EU689" s="2"/>
      <c r="FC689" s="2"/>
      <c r="FD689" s="2"/>
      <c r="FE689" s="2"/>
      <c r="FJ689" s="13"/>
      <c r="FK689" s="13"/>
      <c r="FL689" s="13"/>
      <c r="FM689" s="13"/>
      <c r="FN689" s="13"/>
      <c r="FO689" s="13"/>
      <c r="FP689" s="13"/>
      <c r="FQ689" s="13"/>
      <c r="FR689" s="13"/>
      <c r="FS689" s="13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O690" s="2"/>
      <c r="DP690" s="2"/>
      <c r="DQ690" s="2"/>
      <c r="DY690" s="2"/>
      <c r="DZ690" s="2"/>
      <c r="EA690" s="2"/>
      <c r="EI690" s="2"/>
      <c r="EJ690" s="2"/>
      <c r="EK690" s="2"/>
      <c r="ES690" s="2"/>
      <c r="ET690" s="2"/>
      <c r="EU690" s="2"/>
      <c r="FC690" s="2"/>
      <c r="FD690" s="2"/>
      <c r="FE690" s="2"/>
      <c r="FJ690" s="13"/>
      <c r="FK690" s="13"/>
      <c r="FL690" s="13"/>
      <c r="FM690" s="13"/>
      <c r="FN690" s="13"/>
      <c r="FO690" s="13"/>
      <c r="FP690" s="13"/>
      <c r="FQ690" s="13"/>
      <c r="FR690" s="13"/>
      <c r="FS690" s="13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O691" s="2"/>
      <c r="DP691" s="2"/>
      <c r="DQ691" s="2"/>
      <c r="DY691" s="2"/>
      <c r="DZ691" s="2"/>
      <c r="EA691" s="2"/>
      <c r="EI691" s="2"/>
      <c r="EJ691" s="2"/>
      <c r="EK691" s="2"/>
      <c r="ES691" s="2"/>
      <c r="ET691" s="2"/>
      <c r="EU691" s="2"/>
      <c r="FC691" s="2"/>
      <c r="FD691" s="2"/>
      <c r="FE691" s="2"/>
      <c r="FJ691" s="13"/>
      <c r="FK691" s="13"/>
      <c r="FL691" s="13"/>
      <c r="FM691" s="13"/>
      <c r="FN691" s="13"/>
      <c r="FO691" s="13"/>
      <c r="FP691" s="13"/>
      <c r="FQ691" s="13"/>
      <c r="FR691" s="13"/>
      <c r="FS691" s="13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O692" s="2"/>
      <c r="DP692" s="2"/>
      <c r="DQ692" s="2"/>
      <c r="DY692" s="2"/>
      <c r="DZ692" s="2"/>
      <c r="EA692" s="2"/>
      <c r="EI692" s="2"/>
      <c r="EJ692" s="2"/>
      <c r="EK692" s="2"/>
      <c r="ES692" s="2"/>
      <c r="ET692" s="2"/>
      <c r="EU692" s="2"/>
      <c r="FC692" s="2"/>
      <c r="FD692" s="2"/>
      <c r="FE692" s="2"/>
      <c r="FJ692" s="13"/>
      <c r="FK692" s="13"/>
      <c r="FL692" s="13"/>
      <c r="FM692" s="13"/>
      <c r="FN692" s="13"/>
      <c r="FO692" s="13"/>
      <c r="FP692" s="13"/>
      <c r="FQ692" s="13"/>
      <c r="FR692" s="13"/>
      <c r="FS692" s="13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O693" s="2"/>
      <c r="DP693" s="2"/>
      <c r="DQ693" s="2"/>
      <c r="DY693" s="2"/>
      <c r="DZ693" s="2"/>
      <c r="EA693" s="2"/>
      <c r="EI693" s="2"/>
      <c r="EJ693" s="2"/>
      <c r="EK693" s="2"/>
      <c r="ES693" s="2"/>
      <c r="ET693" s="2"/>
      <c r="EU693" s="2"/>
      <c r="FC693" s="2"/>
      <c r="FD693" s="2"/>
      <c r="FE693" s="2"/>
      <c r="FJ693" s="13"/>
      <c r="FK693" s="13"/>
      <c r="FL693" s="13"/>
      <c r="FM693" s="13"/>
      <c r="FN693" s="13"/>
      <c r="FO693" s="13"/>
      <c r="FP693" s="13"/>
      <c r="FQ693" s="13"/>
      <c r="FR693" s="13"/>
      <c r="FS693" s="13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O694" s="2"/>
      <c r="DP694" s="2"/>
      <c r="DQ694" s="2"/>
      <c r="DY694" s="2"/>
      <c r="DZ694" s="2"/>
      <c r="EA694" s="2"/>
      <c r="EI694" s="2"/>
      <c r="EJ694" s="2"/>
      <c r="EK694" s="2"/>
      <c r="ES694" s="2"/>
      <c r="ET694" s="2"/>
      <c r="EU694" s="2"/>
      <c r="FC694" s="2"/>
      <c r="FD694" s="2"/>
      <c r="FE694" s="2"/>
      <c r="FJ694" s="13"/>
      <c r="FK694" s="13"/>
      <c r="FL694" s="13"/>
      <c r="FM694" s="13"/>
      <c r="FN694" s="13"/>
      <c r="FO694" s="13"/>
      <c r="FP694" s="13"/>
      <c r="FQ694" s="13"/>
      <c r="FR694" s="13"/>
      <c r="FS694" s="13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O695" s="2"/>
      <c r="DP695" s="2"/>
      <c r="DQ695" s="2"/>
      <c r="DY695" s="2"/>
      <c r="DZ695" s="2"/>
      <c r="EA695" s="2"/>
      <c r="EI695" s="2"/>
      <c r="EJ695" s="2"/>
      <c r="EK695" s="2"/>
      <c r="ES695" s="2"/>
      <c r="ET695" s="2"/>
      <c r="EU695" s="2"/>
      <c r="FC695" s="2"/>
      <c r="FD695" s="2"/>
      <c r="FE695" s="2"/>
      <c r="FJ695" s="13"/>
      <c r="FK695" s="13"/>
      <c r="FL695" s="13"/>
      <c r="FM695" s="13"/>
      <c r="FN695" s="13"/>
      <c r="FO695" s="13"/>
      <c r="FP695" s="13"/>
      <c r="FQ695" s="13"/>
      <c r="FR695" s="13"/>
      <c r="FS695" s="13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O696" s="2"/>
      <c r="DP696" s="2"/>
      <c r="DQ696" s="2"/>
      <c r="DY696" s="2"/>
      <c r="DZ696" s="2"/>
      <c r="EA696" s="2"/>
      <c r="EI696" s="2"/>
      <c r="EJ696" s="2"/>
      <c r="EK696" s="2"/>
      <c r="ES696" s="2"/>
      <c r="ET696" s="2"/>
      <c r="EU696" s="2"/>
      <c r="FC696" s="2"/>
      <c r="FD696" s="2"/>
      <c r="FE696" s="2"/>
      <c r="FJ696" s="13"/>
      <c r="FK696" s="13"/>
      <c r="FL696" s="13"/>
      <c r="FM696" s="13"/>
      <c r="FN696" s="13"/>
      <c r="FO696" s="13"/>
      <c r="FP696" s="13"/>
      <c r="FQ696" s="13"/>
      <c r="FR696" s="13"/>
      <c r="FS696" s="13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O697" s="2"/>
      <c r="DP697" s="2"/>
      <c r="DQ697" s="2"/>
      <c r="DY697" s="2"/>
      <c r="DZ697" s="2"/>
      <c r="EA697" s="2"/>
      <c r="EI697" s="2"/>
      <c r="EJ697" s="2"/>
      <c r="EK697" s="2"/>
      <c r="ES697" s="2"/>
      <c r="ET697" s="2"/>
      <c r="EU697" s="2"/>
      <c r="FC697" s="2"/>
      <c r="FD697" s="2"/>
      <c r="FE697" s="2"/>
      <c r="FJ697" s="13"/>
      <c r="FK697" s="13"/>
      <c r="FL697" s="13"/>
      <c r="FM697" s="13"/>
      <c r="FN697" s="13"/>
      <c r="FO697" s="13"/>
      <c r="FP697" s="13"/>
      <c r="FQ697" s="13"/>
      <c r="FR697" s="13"/>
      <c r="FS697" s="13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O698" s="2"/>
      <c r="DP698" s="2"/>
      <c r="DQ698" s="2"/>
      <c r="DY698" s="2"/>
      <c r="DZ698" s="2"/>
      <c r="EA698" s="2"/>
      <c r="EI698" s="2"/>
      <c r="EJ698" s="2"/>
      <c r="EK698" s="2"/>
      <c r="ES698" s="2"/>
      <c r="ET698" s="2"/>
      <c r="EU698" s="2"/>
      <c r="FC698" s="2"/>
      <c r="FD698" s="2"/>
      <c r="FE698" s="2"/>
      <c r="FJ698" s="13"/>
      <c r="FK698" s="13"/>
      <c r="FL698" s="13"/>
      <c r="FM698" s="13"/>
      <c r="FN698" s="13"/>
      <c r="FO698" s="13"/>
      <c r="FP698" s="13"/>
      <c r="FQ698" s="13"/>
      <c r="FR698" s="13"/>
      <c r="FS698" s="13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O699" s="2"/>
      <c r="DP699" s="2"/>
      <c r="DQ699" s="2"/>
      <c r="DY699" s="2"/>
      <c r="DZ699" s="2"/>
      <c r="EA699" s="2"/>
      <c r="EI699" s="2"/>
      <c r="EJ699" s="2"/>
      <c r="EK699" s="2"/>
      <c r="ES699" s="2"/>
      <c r="ET699" s="2"/>
      <c r="EU699" s="2"/>
      <c r="FC699" s="2"/>
      <c r="FD699" s="2"/>
      <c r="FE699" s="2"/>
      <c r="FJ699" s="13"/>
      <c r="FK699" s="13"/>
      <c r="FL699" s="13"/>
      <c r="FM699" s="13"/>
      <c r="FN699" s="13"/>
      <c r="FO699" s="13"/>
      <c r="FP699" s="13"/>
      <c r="FQ699" s="13"/>
      <c r="FR699" s="13"/>
      <c r="FS699" s="13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O700" s="2"/>
      <c r="DP700" s="2"/>
      <c r="DQ700" s="2"/>
      <c r="DY700" s="2"/>
      <c r="DZ700" s="2"/>
      <c r="EA700" s="2"/>
      <c r="EI700" s="2"/>
      <c r="EJ700" s="2"/>
      <c r="EK700" s="2"/>
      <c r="ES700" s="2"/>
      <c r="ET700" s="2"/>
      <c r="EU700" s="2"/>
      <c r="FC700" s="2"/>
      <c r="FD700" s="2"/>
      <c r="FE700" s="2"/>
      <c r="FJ700" s="13"/>
      <c r="FK700" s="13"/>
      <c r="FL700" s="13"/>
      <c r="FM700" s="13"/>
      <c r="FN700" s="13"/>
      <c r="FO700" s="13"/>
      <c r="FP700" s="13"/>
      <c r="FQ700" s="13"/>
      <c r="FR700" s="13"/>
      <c r="FS700" s="13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O701" s="2"/>
      <c r="DP701" s="2"/>
      <c r="DQ701" s="2"/>
      <c r="DY701" s="2"/>
      <c r="DZ701" s="2"/>
      <c r="EA701" s="2"/>
      <c r="EI701" s="2"/>
      <c r="EJ701" s="2"/>
      <c r="EK701" s="2"/>
      <c r="ES701" s="2"/>
      <c r="ET701" s="2"/>
      <c r="EU701" s="2"/>
      <c r="FC701" s="2"/>
      <c r="FD701" s="2"/>
      <c r="FE701" s="2"/>
      <c r="FJ701" s="13"/>
      <c r="FK701" s="13"/>
      <c r="FL701" s="13"/>
      <c r="FM701" s="13"/>
      <c r="FN701" s="13"/>
      <c r="FO701" s="13"/>
      <c r="FP701" s="13"/>
      <c r="FQ701" s="13"/>
      <c r="FR701" s="13"/>
      <c r="FS701" s="13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O702" s="2"/>
      <c r="DP702" s="2"/>
      <c r="DQ702" s="2"/>
      <c r="DY702" s="2"/>
      <c r="DZ702" s="2"/>
      <c r="EA702" s="2"/>
      <c r="EI702" s="2"/>
      <c r="EJ702" s="2"/>
      <c r="EK702" s="2"/>
      <c r="ES702" s="2"/>
      <c r="ET702" s="2"/>
      <c r="EU702" s="2"/>
      <c r="FC702" s="2"/>
      <c r="FD702" s="2"/>
      <c r="FE702" s="2"/>
      <c r="FJ702" s="13"/>
      <c r="FK702" s="13"/>
      <c r="FL702" s="13"/>
      <c r="FM702" s="13"/>
      <c r="FN702" s="13"/>
      <c r="FO702" s="13"/>
      <c r="FP702" s="13"/>
      <c r="FQ702" s="13"/>
      <c r="FR702" s="13"/>
      <c r="FS702" s="13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O703" s="2"/>
      <c r="DP703" s="2"/>
      <c r="DQ703" s="2"/>
      <c r="DY703" s="2"/>
      <c r="DZ703" s="2"/>
      <c r="EA703" s="2"/>
      <c r="EI703" s="2"/>
      <c r="EJ703" s="2"/>
      <c r="EK703" s="2"/>
      <c r="ES703" s="2"/>
      <c r="ET703" s="2"/>
      <c r="EU703" s="2"/>
      <c r="FC703" s="2"/>
      <c r="FD703" s="2"/>
      <c r="FE703" s="2"/>
      <c r="FJ703" s="13"/>
      <c r="FK703" s="13"/>
      <c r="FL703" s="13"/>
      <c r="FM703" s="13"/>
      <c r="FN703" s="13"/>
      <c r="FO703" s="13"/>
      <c r="FP703" s="13"/>
      <c r="FQ703" s="13"/>
      <c r="FR703" s="13"/>
      <c r="FS703" s="13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O704" s="2"/>
      <c r="DP704" s="2"/>
      <c r="DQ704" s="2"/>
      <c r="DY704" s="2"/>
      <c r="DZ704" s="2"/>
      <c r="EA704" s="2"/>
      <c r="EI704" s="2"/>
      <c r="EJ704" s="2"/>
      <c r="EK704" s="2"/>
      <c r="ES704" s="2"/>
      <c r="ET704" s="2"/>
      <c r="EU704" s="2"/>
      <c r="FC704" s="2"/>
      <c r="FD704" s="2"/>
      <c r="FE704" s="2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O705" s="2"/>
      <c r="DP705" s="2"/>
      <c r="DQ705" s="2"/>
      <c r="DY705" s="2"/>
      <c r="DZ705" s="2"/>
      <c r="EA705" s="2"/>
      <c r="EI705" s="2"/>
      <c r="EJ705" s="2"/>
      <c r="EK705" s="2"/>
      <c r="ES705" s="2"/>
      <c r="ET705" s="2"/>
      <c r="EU705" s="2"/>
      <c r="FC705" s="2"/>
      <c r="FD705" s="2"/>
      <c r="FE705" s="2"/>
      <c r="FJ705" s="13"/>
      <c r="FK705" s="13"/>
      <c r="FL705" s="13"/>
      <c r="FM705" s="13"/>
      <c r="FN705" s="13"/>
      <c r="FO705" s="13"/>
      <c r="FP705" s="13"/>
      <c r="FQ705" s="13"/>
      <c r="FR705" s="13"/>
      <c r="FS705" s="13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O706" s="2"/>
      <c r="DP706" s="2"/>
      <c r="DQ706" s="2"/>
      <c r="DY706" s="2"/>
      <c r="DZ706" s="2"/>
      <c r="EA706" s="2"/>
      <c r="EI706" s="2"/>
      <c r="EJ706" s="2"/>
      <c r="EK706" s="2"/>
      <c r="ES706" s="2"/>
      <c r="ET706" s="2"/>
      <c r="EU706" s="2"/>
      <c r="FC706" s="2"/>
      <c r="FD706" s="2"/>
      <c r="FE706" s="2"/>
      <c r="FJ706" s="13"/>
      <c r="FK706" s="13"/>
      <c r="FL706" s="13"/>
      <c r="FM706" s="13"/>
      <c r="FN706" s="13"/>
      <c r="FO706" s="13"/>
      <c r="FP706" s="13"/>
      <c r="FQ706" s="13"/>
      <c r="FR706" s="13"/>
      <c r="FS706" s="13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O707" s="2"/>
      <c r="DP707" s="2"/>
      <c r="DQ707" s="2"/>
      <c r="DY707" s="2"/>
      <c r="DZ707" s="2"/>
      <c r="EA707" s="2"/>
      <c r="EI707" s="2"/>
      <c r="EJ707" s="2"/>
      <c r="EK707" s="2"/>
      <c r="ES707" s="2"/>
      <c r="ET707" s="2"/>
      <c r="EU707" s="2"/>
      <c r="FC707" s="2"/>
      <c r="FD707" s="2"/>
      <c r="FE707" s="2"/>
      <c r="FJ707" s="13"/>
      <c r="FK707" s="13"/>
      <c r="FL707" s="13"/>
      <c r="FM707" s="13"/>
      <c r="FN707" s="13"/>
      <c r="FO707" s="13"/>
      <c r="FP707" s="13"/>
      <c r="FQ707" s="13"/>
      <c r="FR707" s="13"/>
      <c r="FS707" s="13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O708" s="2"/>
      <c r="DP708" s="2"/>
      <c r="DQ708" s="2"/>
      <c r="DY708" s="2"/>
      <c r="DZ708" s="2"/>
      <c r="EA708" s="2"/>
      <c r="EI708" s="2"/>
      <c r="EJ708" s="2"/>
      <c r="EK708" s="2"/>
      <c r="ES708" s="2"/>
      <c r="ET708" s="2"/>
      <c r="EU708" s="2"/>
      <c r="FC708" s="2"/>
      <c r="FD708" s="2"/>
      <c r="FE708" s="2"/>
      <c r="FJ708" s="13"/>
      <c r="FK708" s="13"/>
      <c r="FL708" s="13"/>
      <c r="FM708" s="13"/>
      <c r="FN708" s="13"/>
      <c r="FO708" s="13"/>
      <c r="FP708" s="13"/>
      <c r="FQ708" s="13"/>
      <c r="FR708" s="13"/>
      <c r="FS708" s="13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O709" s="2"/>
      <c r="DP709" s="2"/>
      <c r="DQ709" s="2"/>
      <c r="DY709" s="2"/>
      <c r="DZ709" s="2"/>
      <c r="EA709" s="2"/>
      <c r="EI709" s="2"/>
      <c r="EJ709" s="2"/>
      <c r="EK709" s="2"/>
      <c r="ES709" s="2"/>
      <c r="ET709" s="2"/>
      <c r="EU709" s="2"/>
      <c r="FC709" s="2"/>
      <c r="FD709" s="2"/>
      <c r="FE709" s="2"/>
      <c r="FJ709" s="13"/>
      <c r="FK709" s="13"/>
      <c r="FL709" s="13"/>
      <c r="FM709" s="13"/>
      <c r="FN709" s="13"/>
      <c r="FO709" s="13"/>
      <c r="FP709" s="13"/>
      <c r="FQ709" s="13"/>
      <c r="FR709" s="13"/>
      <c r="FS709" s="13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O710" s="2"/>
      <c r="DP710" s="2"/>
      <c r="DQ710" s="2"/>
      <c r="DY710" s="2"/>
      <c r="DZ710" s="2"/>
      <c r="EA710" s="2"/>
      <c r="EI710" s="2"/>
      <c r="EJ710" s="2"/>
      <c r="EK710" s="2"/>
      <c r="ES710" s="2"/>
      <c r="ET710" s="2"/>
      <c r="EU710" s="2"/>
      <c r="FC710" s="2"/>
      <c r="FD710" s="2"/>
      <c r="FE710" s="2"/>
      <c r="FJ710" s="13"/>
      <c r="FK710" s="13"/>
      <c r="FL710" s="13"/>
      <c r="FM710" s="13"/>
      <c r="FN710" s="13"/>
      <c r="FO710" s="13"/>
      <c r="FP710" s="13"/>
      <c r="FQ710" s="13"/>
      <c r="FR710" s="13"/>
      <c r="FS710" s="13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O711" s="2"/>
      <c r="DP711" s="2"/>
      <c r="DQ711" s="2"/>
      <c r="DY711" s="2"/>
      <c r="DZ711" s="2"/>
      <c r="EA711" s="2"/>
      <c r="EI711" s="2"/>
      <c r="EJ711" s="2"/>
      <c r="EK711" s="2"/>
      <c r="ES711" s="2"/>
      <c r="ET711" s="2"/>
      <c r="EU711" s="2"/>
      <c r="FC711" s="2"/>
      <c r="FD711" s="2"/>
      <c r="FE711" s="2"/>
      <c r="FJ711" s="13"/>
      <c r="FK711" s="13"/>
      <c r="FL711" s="13"/>
      <c r="FM711" s="13"/>
      <c r="FN711" s="13"/>
      <c r="FO711" s="13"/>
      <c r="FP711" s="13"/>
      <c r="FQ711" s="13"/>
      <c r="FR711" s="13"/>
      <c r="FS711" s="13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O712" s="2"/>
      <c r="DP712" s="2"/>
      <c r="DQ712" s="2"/>
      <c r="DY712" s="2"/>
      <c r="DZ712" s="2"/>
      <c r="EA712" s="2"/>
      <c r="EI712" s="2"/>
      <c r="EJ712" s="2"/>
      <c r="EK712" s="2"/>
      <c r="ES712" s="2"/>
      <c r="ET712" s="2"/>
      <c r="EU712" s="2"/>
      <c r="FC712" s="2"/>
      <c r="FD712" s="2"/>
      <c r="FE712" s="2"/>
      <c r="FJ712" s="13"/>
      <c r="FK712" s="13"/>
      <c r="FL712" s="13"/>
      <c r="FM712" s="13"/>
      <c r="FN712" s="13"/>
      <c r="FO712" s="13"/>
      <c r="FP712" s="13"/>
      <c r="FQ712" s="13"/>
      <c r="FR712" s="13"/>
      <c r="FS712" s="13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O713" s="2"/>
      <c r="DP713" s="2"/>
      <c r="DQ713" s="2"/>
      <c r="DY713" s="2"/>
      <c r="DZ713" s="2"/>
      <c r="EA713" s="2"/>
      <c r="EI713" s="2"/>
      <c r="EJ713" s="2"/>
      <c r="EK713" s="2"/>
      <c r="ES713" s="2"/>
      <c r="ET713" s="2"/>
      <c r="EU713" s="2"/>
      <c r="FC713" s="2"/>
      <c r="FD713" s="2"/>
      <c r="FE713" s="2"/>
      <c r="FJ713" s="13"/>
      <c r="FK713" s="13"/>
      <c r="FL713" s="13"/>
      <c r="FM713" s="13"/>
      <c r="FN713" s="13"/>
      <c r="FO713" s="13"/>
      <c r="FP713" s="13"/>
      <c r="FQ713" s="13"/>
      <c r="FR713" s="13"/>
      <c r="FS713" s="13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O714" s="2"/>
      <c r="DP714" s="2"/>
      <c r="DQ714" s="2"/>
      <c r="DY714" s="2"/>
      <c r="DZ714" s="2"/>
      <c r="EA714" s="2"/>
      <c r="EI714" s="2"/>
      <c r="EJ714" s="2"/>
      <c r="EK714" s="2"/>
      <c r="ES714" s="2"/>
      <c r="ET714" s="2"/>
      <c r="EU714" s="2"/>
      <c r="FC714" s="2"/>
      <c r="FD714" s="2"/>
      <c r="FE714" s="2"/>
      <c r="FJ714" s="13"/>
      <c r="FK714" s="13"/>
      <c r="FL714" s="13"/>
      <c r="FM714" s="13"/>
      <c r="FN714" s="13"/>
      <c r="FO714" s="13"/>
      <c r="FP714" s="13"/>
      <c r="FQ714" s="13"/>
      <c r="FR714" s="13"/>
      <c r="FS714" s="13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O715" s="2"/>
      <c r="DP715" s="2"/>
      <c r="DQ715" s="2"/>
      <c r="DY715" s="2"/>
      <c r="DZ715" s="2"/>
      <c r="EA715" s="2"/>
      <c r="EI715" s="2"/>
      <c r="EJ715" s="2"/>
      <c r="EK715" s="2"/>
      <c r="ES715" s="2"/>
      <c r="ET715" s="2"/>
      <c r="EU715" s="2"/>
      <c r="FC715" s="2"/>
      <c r="FD715" s="2"/>
      <c r="FE715" s="2"/>
      <c r="FJ715" s="13"/>
      <c r="FK715" s="13"/>
      <c r="FL715" s="13"/>
      <c r="FM715" s="13"/>
      <c r="FN715" s="13"/>
      <c r="FO715" s="13"/>
      <c r="FP715" s="13"/>
      <c r="FQ715" s="13"/>
      <c r="FR715" s="13"/>
      <c r="FS715" s="13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O716" s="2"/>
      <c r="DP716" s="2"/>
      <c r="DQ716" s="2"/>
      <c r="DY716" s="2"/>
      <c r="DZ716" s="2"/>
      <c r="EA716" s="2"/>
      <c r="EI716" s="2"/>
      <c r="EJ716" s="2"/>
      <c r="EK716" s="2"/>
      <c r="ES716" s="2"/>
      <c r="ET716" s="2"/>
      <c r="EU716" s="2"/>
      <c r="FC716" s="2"/>
      <c r="FD716" s="2"/>
      <c r="FE716" s="2"/>
      <c r="FJ716" s="13"/>
      <c r="FK716" s="13"/>
      <c r="FL716" s="13"/>
      <c r="FM716" s="13"/>
      <c r="FN716" s="13"/>
      <c r="FO716" s="13"/>
      <c r="FP716" s="13"/>
      <c r="FQ716" s="13"/>
      <c r="FR716" s="13"/>
      <c r="FS716" s="13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O717" s="2"/>
      <c r="DP717" s="2"/>
      <c r="DQ717" s="2"/>
      <c r="DY717" s="2"/>
      <c r="DZ717" s="2"/>
      <c r="EA717" s="2"/>
      <c r="EI717" s="2"/>
      <c r="EJ717" s="2"/>
      <c r="EK717" s="2"/>
      <c r="ES717" s="2"/>
      <c r="ET717" s="2"/>
      <c r="EU717" s="2"/>
      <c r="FC717" s="2"/>
      <c r="FD717" s="2"/>
      <c r="FE717" s="2"/>
      <c r="FJ717" s="13"/>
      <c r="FK717" s="13"/>
      <c r="FL717" s="13"/>
      <c r="FM717" s="13"/>
      <c r="FN717" s="13"/>
      <c r="FO717" s="13"/>
      <c r="FP717" s="13"/>
      <c r="FQ717" s="13"/>
      <c r="FR717" s="13"/>
      <c r="FS717" s="13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O718" s="2"/>
      <c r="DP718" s="2"/>
      <c r="DQ718" s="2"/>
      <c r="DY718" s="2"/>
      <c r="DZ718" s="2"/>
      <c r="EA718" s="2"/>
      <c r="EI718" s="2"/>
      <c r="EJ718" s="2"/>
      <c r="EK718" s="2"/>
      <c r="ES718" s="2"/>
      <c r="ET718" s="2"/>
      <c r="EU718" s="2"/>
      <c r="FC718" s="2"/>
      <c r="FD718" s="2"/>
      <c r="FE718" s="2"/>
      <c r="FJ718" s="13"/>
      <c r="FK718" s="13"/>
      <c r="FL718" s="13"/>
      <c r="FM718" s="13"/>
      <c r="FN718" s="13"/>
      <c r="FO718" s="13"/>
      <c r="FP718" s="13"/>
      <c r="FQ718" s="13"/>
      <c r="FR718" s="13"/>
      <c r="FS718" s="13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O719" s="2"/>
      <c r="DP719" s="2"/>
      <c r="DQ719" s="2"/>
      <c r="DY719" s="2"/>
      <c r="DZ719" s="2"/>
      <c r="EA719" s="2"/>
      <c r="EI719" s="2"/>
      <c r="EJ719" s="2"/>
      <c r="EK719" s="2"/>
      <c r="ES719" s="2"/>
      <c r="ET719" s="2"/>
      <c r="EU719" s="2"/>
      <c r="FC719" s="2"/>
      <c r="FD719" s="2"/>
      <c r="FE719" s="2"/>
      <c r="FJ719" s="13"/>
      <c r="FK719" s="13"/>
      <c r="FL719" s="13"/>
      <c r="FM719" s="13"/>
      <c r="FN719" s="13"/>
      <c r="FO719" s="13"/>
      <c r="FP719" s="13"/>
      <c r="FQ719" s="13"/>
      <c r="FR719" s="13"/>
      <c r="FS719" s="13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O720" s="2"/>
      <c r="DP720" s="2"/>
      <c r="DQ720" s="2"/>
      <c r="DY720" s="2"/>
      <c r="DZ720" s="2"/>
      <c r="EA720" s="2"/>
      <c r="EI720" s="2"/>
      <c r="EJ720" s="2"/>
      <c r="EK720" s="2"/>
      <c r="ES720" s="2"/>
      <c r="ET720" s="2"/>
      <c r="EU720" s="2"/>
      <c r="FC720" s="2"/>
      <c r="FD720" s="2"/>
      <c r="FE720" s="2"/>
      <c r="FJ720" s="13"/>
      <c r="FK720" s="13"/>
      <c r="FL720" s="13"/>
      <c r="FM720" s="13"/>
      <c r="FN720" s="13"/>
      <c r="FO720" s="13"/>
      <c r="FP720" s="13"/>
      <c r="FQ720" s="13"/>
      <c r="FR720" s="13"/>
      <c r="FS720" s="13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O721" s="2"/>
      <c r="DP721" s="2"/>
      <c r="DQ721" s="2"/>
      <c r="DY721" s="2"/>
      <c r="DZ721" s="2"/>
      <c r="EA721" s="2"/>
      <c r="EI721" s="2"/>
      <c r="EJ721" s="2"/>
      <c r="EK721" s="2"/>
      <c r="ES721" s="2"/>
      <c r="ET721" s="2"/>
      <c r="EU721" s="2"/>
      <c r="FC721" s="2"/>
      <c r="FD721" s="2"/>
      <c r="FE721" s="2"/>
      <c r="FJ721" s="13"/>
      <c r="FK721" s="13"/>
      <c r="FL721" s="13"/>
      <c r="FM721" s="13"/>
      <c r="FN721" s="13"/>
      <c r="FO721" s="13"/>
      <c r="FP721" s="13"/>
      <c r="FQ721" s="13"/>
      <c r="FR721" s="13"/>
      <c r="FS721" s="13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O722" s="2"/>
      <c r="DP722" s="2"/>
      <c r="DQ722" s="2"/>
      <c r="DY722" s="2"/>
      <c r="DZ722" s="2"/>
      <c r="EA722" s="2"/>
      <c r="EI722" s="2"/>
      <c r="EJ722" s="2"/>
      <c r="EK722" s="2"/>
      <c r="ES722" s="2"/>
      <c r="ET722" s="2"/>
      <c r="EU722" s="2"/>
      <c r="FC722" s="2"/>
      <c r="FD722" s="2"/>
      <c r="FE722" s="2"/>
      <c r="FJ722" s="13"/>
      <c r="FK722" s="13"/>
      <c r="FL722" s="13"/>
      <c r="FM722" s="13"/>
      <c r="FN722" s="13"/>
      <c r="FO722" s="13"/>
      <c r="FP722" s="13"/>
      <c r="FQ722" s="13"/>
      <c r="FR722" s="13"/>
      <c r="FS722" s="13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O723" s="2"/>
      <c r="DP723" s="2"/>
      <c r="DQ723" s="2"/>
      <c r="DY723" s="2"/>
      <c r="DZ723" s="2"/>
      <c r="EA723" s="2"/>
      <c r="EI723" s="2"/>
      <c r="EJ723" s="2"/>
      <c r="EK723" s="2"/>
      <c r="ES723" s="2"/>
      <c r="ET723" s="2"/>
      <c r="EU723" s="2"/>
      <c r="FC723" s="2"/>
      <c r="FD723" s="2"/>
      <c r="FE723" s="2"/>
      <c r="FJ723" s="13"/>
      <c r="FK723" s="13"/>
      <c r="FL723" s="13"/>
      <c r="FM723" s="13"/>
      <c r="FN723" s="13"/>
      <c r="FO723" s="13"/>
      <c r="FP723" s="13"/>
      <c r="FQ723" s="13"/>
      <c r="FR723" s="13"/>
      <c r="FS723" s="13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O724" s="2"/>
      <c r="DP724" s="2"/>
      <c r="DQ724" s="2"/>
      <c r="DY724" s="2"/>
      <c r="DZ724" s="2"/>
      <c r="EA724" s="2"/>
      <c r="EI724" s="2"/>
      <c r="EJ724" s="2"/>
      <c r="EK724" s="2"/>
      <c r="ES724" s="2"/>
      <c r="ET724" s="2"/>
      <c r="EU724" s="2"/>
      <c r="FC724" s="2"/>
      <c r="FD724" s="2"/>
      <c r="FE724" s="2"/>
      <c r="FJ724" s="13"/>
      <c r="FK724" s="13"/>
      <c r="FL724" s="13"/>
      <c r="FM724" s="13"/>
      <c r="FN724" s="13"/>
      <c r="FO724" s="13"/>
      <c r="FP724" s="13"/>
      <c r="FQ724" s="13"/>
      <c r="FR724" s="13"/>
      <c r="FS724" s="13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O725" s="2"/>
      <c r="DP725" s="2"/>
      <c r="DQ725" s="2"/>
      <c r="DY725" s="2"/>
      <c r="DZ725" s="2"/>
      <c r="EA725" s="2"/>
      <c r="EI725" s="2"/>
      <c r="EJ725" s="2"/>
      <c r="EK725" s="2"/>
      <c r="ES725" s="2"/>
      <c r="ET725" s="2"/>
      <c r="EU725" s="2"/>
      <c r="FC725" s="2"/>
      <c r="FD725" s="2"/>
      <c r="FE725" s="2"/>
      <c r="FJ725" s="13"/>
      <c r="FK725" s="13"/>
      <c r="FL725" s="13"/>
      <c r="FM725" s="13"/>
      <c r="FN725" s="13"/>
      <c r="FO725" s="13"/>
      <c r="FP725" s="13"/>
      <c r="FQ725" s="13"/>
      <c r="FR725" s="13"/>
      <c r="FS725" s="13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O726" s="2"/>
      <c r="DP726" s="2"/>
      <c r="DQ726" s="2"/>
      <c r="DY726" s="2"/>
      <c r="DZ726" s="2"/>
      <c r="EA726" s="2"/>
      <c r="EI726" s="2"/>
      <c r="EJ726" s="2"/>
      <c r="EK726" s="2"/>
      <c r="ES726" s="2"/>
      <c r="ET726" s="2"/>
      <c r="EU726" s="2"/>
      <c r="FC726" s="2"/>
      <c r="FD726" s="2"/>
      <c r="FE726" s="2"/>
      <c r="FJ726" s="13"/>
      <c r="FK726" s="13"/>
      <c r="FL726" s="13"/>
      <c r="FM726" s="13"/>
      <c r="FN726" s="13"/>
      <c r="FO726" s="13"/>
      <c r="FP726" s="13"/>
      <c r="FQ726" s="13"/>
      <c r="FR726" s="13"/>
      <c r="FS726" s="13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O727" s="2"/>
      <c r="DP727" s="2"/>
      <c r="DQ727" s="2"/>
      <c r="DY727" s="2"/>
      <c r="DZ727" s="2"/>
      <c r="EA727" s="2"/>
      <c r="EI727" s="2"/>
      <c r="EJ727" s="2"/>
      <c r="EK727" s="2"/>
      <c r="ES727" s="2"/>
      <c r="ET727" s="2"/>
      <c r="EU727" s="2"/>
      <c r="FC727" s="2"/>
      <c r="FD727" s="2"/>
      <c r="FE727" s="2"/>
      <c r="FJ727" s="13"/>
      <c r="FK727" s="13"/>
      <c r="FL727" s="13"/>
      <c r="FM727" s="13"/>
      <c r="FN727" s="13"/>
      <c r="FO727" s="13"/>
      <c r="FP727" s="13"/>
      <c r="FQ727" s="13"/>
      <c r="FR727" s="13"/>
      <c r="FS727" s="13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O728" s="2"/>
      <c r="DP728" s="2"/>
      <c r="DQ728" s="2"/>
      <c r="DY728" s="2"/>
      <c r="DZ728" s="2"/>
      <c r="EA728" s="2"/>
      <c r="EI728" s="2"/>
      <c r="EJ728" s="2"/>
      <c r="EK728" s="2"/>
      <c r="ES728" s="2"/>
      <c r="ET728" s="2"/>
      <c r="EU728" s="2"/>
      <c r="FC728" s="2"/>
      <c r="FD728" s="2"/>
      <c r="FE728" s="2"/>
      <c r="FJ728" s="13"/>
      <c r="FK728" s="13"/>
      <c r="FL728" s="13"/>
      <c r="FM728" s="13"/>
      <c r="FN728" s="13"/>
      <c r="FO728" s="13"/>
      <c r="FP728" s="13"/>
      <c r="FQ728" s="13"/>
      <c r="FR728" s="13"/>
      <c r="FS728" s="13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O729" s="2"/>
      <c r="DP729" s="2"/>
      <c r="DQ729" s="2"/>
      <c r="DY729" s="2"/>
      <c r="DZ729" s="2"/>
      <c r="EA729" s="2"/>
      <c r="EI729" s="2"/>
      <c r="EJ729" s="2"/>
      <c r="EK729" s="2"/>
      <c r="ES729" s="2"/>
      <c r="ET729" s="2"/>
      <c r="EU729" s="2"/>
      <c r="FC729" s="2"/>
      <c r="FD729" s="2"/>
      <c r="FE729" s="2"/>
      <c r="FJ729" s="13"/>
      <c r="FK729" s="13"/>
      <c r="FL729" s="13"/>
      <c r="FM729" s="13"/>
      <c r="FN729" s="13"/>
      <c r="FO729" s="13"/>
      <c r="FP729" s="13"/>
      <c r="FQ729" s="13"/>
      <c r="FR729" s="13"/>
      <c r="FS729" s="13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O730" s="2"/>
      <c r="DP730" s="2"/>
      <c r="DQ730" s="2"/>
      <c r="DY730" s="2"/>
      <c r="DZ730" s="2"/>
      <c r="EA730" s="2"/>
      <c r="EI730" s="2"/>
      <c r="EJ730" s="2"/>
      <c r="EK730" s="2"/>
      <c r="ES730" s="2"/>
      <c r="ET730" s="2"/>
      <c r="EU730" s="2"/>
      <c r="FC730" s="2"/>
      <c r="FD730" s="2"/>
      <c r="FE730" s="2"/>
      <c r="FJ730" s="13"/>
      <c r="FK730" s="13"/>
      <c r="FL730" s="13"/>
      <c r="FM730" s="13"/>
      <c r="FN730" s="13"/>
      <c r="FO730" s="13"/>
      <c r="FP730" s="13"/>
      <c r="FQ730" s="13"/>
      <c r="FR730" s="13"/>
      <c r="FS730" s="13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O731" s="2"/>
      <c r="DP731" s="2"/>
      <c r="DQ731" s="2"/>
      <c r="DY731" s="2"/>
      <c r="DZ731" s="2"/>
      <c r="EA731" s="2"/>
      <c r="EI731" s="2"/>
      <c r="EJ731" s="2"/>
      <c r="EK731" s="2"/>
      <c r="ES731" s="2"/>
      <c r="ET731" s="2"/>
      <c r="EU731" s="2"/>
      <c r="FC731" s="2"/>
      <c r="FD731" s="2"/>
      <c r="FE731" s="2"/>
      <c r="FJ731" s="13"/>
      <c r="FK731" s="13"/>
      <c r="FL731" s="13"/>
      <c r="FM731" s="13"/>
      <c r="FN731" s="13"/>
      <c r="FO731" s="13"/>
      <c r="FP731" s="13"/>
      <c r="FQ731" s="13"/>
      <c r="FR731" s="13"/>
      <c r="FS731" s="13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O732" s="2"/>
      <c r="DP732" s="2"/>
      <c r="DQ732" s="2"/>
      <c r="DY732" s="2"/>
      <c r="DZ732" s="2"/>
      <c r="EA732" s="2"/>
      <c r="EI732" s="2"/>
      <c r="EJ732" s="2"/>
      <c r="EK732" s="2"/>
      <c r="ES732" s="2"/>
      <c r="ET732" s="2"/>
      <c r="EU732" s="2"/>
      <c r="FC732" s="2"/>
      <c r="FD732" s="2"/>
      <c r="FE732" s="2"/>
      <c r="FJ732" s="13"/>
      <c r="FK732" s="13"/>
      <c r="FL732" s="13"/>
      <c r="FM732" s="13"/>
      <c r="FN732" s="13"/>
      <c r="FO732" s="13"/>
      <c r="FP732" s="13"/>
      <c r="FQ732" s="13"/>
      <c r="FR732" s="13"/>
      <c r="FS732" s="13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O733" s="2"/>
      <c r="DP733" s="2"/>
      <c r="DQ733" s="2"/>
      <c r="DY733" s="2"/>
      <c r="DZ733" s="2"/>
      <c r="EA733" s="2"/>
      <c r="EI733" s="2"/>
      <c r="EJ733" s="2"/>
      <c r="EK733" s="2"/>
      <c r="ES733" s="2"/>
      <c r="ET733" s="2"/>
      <c r="EU733" s="2"/>
      <c r="FC733" s="2"/>
      <c r="FD733" s="2"/>
      <c r="FE733" s="2"/>
      <c r="FJ733" s="13"/>
      <c r="FK733" s="13"/>
      <c r="FL733" s="13"/>
      <c r="FM733" s="13"/>
      <c r="FN733" s="13"/>
      <c r="FO733" s="13"/>
      <c r="FP733" s="13"/>
      <c r="FQ733" s="13"/>
      <c r="FR733" s="13"/>
      <c r="FS733" s="13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O734" s="2"/>
      <c r="DP734" s="2"/>
      <c r="DQ734" s="2"/>
      <c r="DY734" s="2"/>
      <c r="DZ734" s="2"/>
      <c r="EA734" s="2"/>
      <c r="EI734" s="2"/>
      <c r="EJ734" s="2"/>
      <c r="EK734" s="2"/>
      <c r="ES734" s="2"/>
      <c r="ET734" s="2"/>
      <c r="EU734" s="2"/>
      <c r="FC734" s="2"/>
      <c r="FD734" s="2"/>
      <c r="FE734" s="2"/>
      <c r="FJ734" s="13"/>
      <c r="FK734" s="13"/>
      <c r="FL734" s="13"/>
      <c r="FM734" s="13"/>
      <c r="FN734" s="13"/>
      <c r="FO734" s="13"/>
      <c r="FP734" s="13"/>
      <c r="FQ734" s="13"/>
      <c r="FR734" s="13"/>
      <c r="FS734" s="13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O735" s="2"/>
      <c r="DP735" s="2"/>
      <c r="DQ735" s="2"/>
      <c r="DY735" s="2"/>
      <c r="DZ735" s="2"/>
      <c r="EA735" s="2"/>
      <c r="EI735" s="2"/>
      <c r="EJ735" s="2"/>
      <c r="EK735" s="2"/>
      <c r="ES735" s="2"/>
      <c r="ET735" s="2"/>
      <c r="EU735" s="2"/>
      <c r="FC735" s="2"/>
      <c r="FD735" s="2"/>
      <c r="FE735" s="2"/>
      <c r="FJ735" s="13"/>
      <c r="FK735" s="13"/>
      <c r="FL735" s="13"/>
      <c r="FM735" s="13"/>
      <c r="FN735" s="13"/>
      <c r="FO735" s="13"/>
      <c r="FP735" s="13"/>
      <c r="FQ735" s="13"/>
      <c r="FR735" s="13"/>
      <c r="FS735" s="13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O736" s="2"/>
      <c r="DP736" s="2"/>
      <c r="DQ736" s="2"/>
      <c r="DY736" s="2"/>
      <c r="DZ736" s="2"/>
      <c r="EA736" s="2"/>
      <c r="EI736" s="2"/>
      <c r="EJ736" s="2"/>
      <c r="EK736" s="2"/>
      <c r="ES736" s="2"/>
      <c r="ET736" s="2"/>
      <c r="EU736" s="2"/>
      <c r="FC736" s="2"/>
      <c r="FD736" s="2"/>
      <c r="FE736" s="2"/>
      <c r="FJ736" s="13"/>
      <c r="FK736" s="13"/>
      <c r="FL736" s="13"/>
      <c r="FM736" s="13"/>
      <c r="FN736" s="13"/>
      <c r="FO736" s="13"/>
      <c r="FP736" s="13"/>
      <c r="FQ736" s="13"/>
      <c r="FR736" s="13"/>
      <c r="FS736" s="13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O737" s="2"/>
      <c r="DP737" s="2"/>
      <c r="DQ737" s="2"/>
      <c r="DY737" s="2"/>
      <c r="DZ737" s="2"/>
      <c r="EA737" s="2"/>
      <c r="EI737" s="2"/>
      <c r="EJ737" s="2"/>
      <c r="EK737" s="2"/>
      <c r="ES737" s="2"/>
      <c r="ET737" s="2"/>
      <c r="EU737" s="2"/>
      <c r="FC737" s="2"/>
      <c r="FD737" s="2"/>
      <c r="FE737" s="2"/>
      <c r="FJ737" s="13"/>
      <c r="FK737" s="13"/>
      <c r="FL737" s="13"/>
      <c r="FM737" s="13"/>
      <c r="FN737" s="13"/>
      <c r="FO737" s="13"/>
      <c r="FP737" s="13"/>
      <c r="FQ737" s="13"/>
      <c r="FR737" s="13"/>
      <c r="FS737" s="13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O738" s="2"/>
      <c r="DP738" s="2"/>
      <c r="DQ738" s="2"/>
      <c r="DY738" s="2"/>
      <c r="DZ738" s="2"/>
      <c r="EA738" s="2"/>
      <c r="EI738" s="2"/>
      <c r="EJ738" s="2"/>
      <c r="EK738" s="2"/>
      <c r="ES738" s="2"/>
      <c r="ET738" s="2"/>
      <c r="EU738" s="2"/>
      <c r="FC738" s="2"/>
      <c r="FD738" s="2"/>
      <c r="FE738" s="2"/>
      <c r="FJ738" s="13"/>
      <c r="FK738" s="13"/>
      <c r="FL738" s="13"/>
      <c r="FM738" s="13"/>
      <c r="FN738" s="13"/>
      <c r="FO738" s="13"/>
      <c r="FP738" s="13"/>
      <c r="FQ738" s="13"/>
      <c r="FR738" s="13"/>
      <c r="FS738" s="13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O739" s="2"/>
      <c r="DP739" s="2"/>
      <c r="DQ739" s="2"/>
      <c r="DY739" s="2"/>
      <c r="DZ739" s="2"/>
      <c r="EA739" s="2"/>
      <c r="EI739" s="2"/>
      <c r="EJ739" s="2"/>
      <c r="EK739" s="2"/>
      <c r="ES739" s="2"/>
      <c r="ET739" s="2"/>
      <c r="EU739" s="2"/>
      <c r="FC739" s="2"/>
      <c r="FD739" s="2"/>
      <c r="FE739" s="2"/>
      <c r="FJ739" s="13"/>
      <c r="FK739" s="13"/>
      <c r="FL739" s="13"/>
      <c r="FM739" s="13"/>
      <c r="FN739" s="13"/>
      <c r="FO739" s="13"/>
      <c r="FP739" s="13"/>
      <c r="FQ739" s="13"/>
      <c r="FR739" s="13"/>
      <c r="FS739" s="13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O740" s="2"/>
      <c r="DP740" s="2"/>
      <c r="DQ740" s="2"/>
      <c r="DY740" s="2"/>
      <c r="DZ740" s="2"/>
      <c r="EA740" s="2"/>
      <c r="EI740" s="2"/>
      <c r="EJ740" s="2"/>
      <c r="EK740" s="2"/>
      <c r="ES740" s="2"/>
      <c r="ET740" s="2"/>
      <c r="EU740" s="2"/>
      <c r="FC740" s="2"/>
      <c r="FD740" s="2"/>
      <c r="FE740" s="2"/>
      <c r="FJ740" s="13"/>
      <c r="FK740" s="13"/>
      <c r="FL740" s="13"/>
      <c r="FM740" s="13"/>
      <c r="FN740" s="13"/>
      <c r="FO740" s="13"/>
      <c r="FP740" s="13"/>
      <c r="FQ740" s="13"/>
      <c r="FR740" s="13"/>
      <c r="FS740" s="13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O741" s="2"/>
      <c r="DP741" s="2"/>
      <c r="DQ741" s="2"/>
      <c r="DY741" s="2"/>
      <c r="DZ741" s="2"/>
      <c r="EA741" s="2"/>
      <c r="EI741" s="2"/>
      <c r="EJ741" s="2"/>
      <c r="EK741" s="2"/>
      <c r="ES741" s="2"/>
      <c r="ET741" s="2"/>
      <c r="EU741" s="2"/>
      <c r="FC741" s="2"/>
      <c r="FD741" s="2"/>
      <c r="FE741" s="2"/>
      <c r="FJ741" s="13"/>
      <c r="FK741" s="13"/>
      <c r="FL741" s="13"/>
      <c r="FM741" s="13"/>
      <c r="FN741" s="13"/>
      <c r="FO741" s="13"/>
      <c r="FP741" s="13"/>
      <c r="FQ741" s="13"/>
      <c r="FR741" s="13"/>
      <c r="FS741" s="13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O742" s="2"/>
      <c r="DP742" s="2"/>
      <c r="DQ742" s="2"/>
      <c r="DY742" s="2"/>
      <c r="DZ742" s="2"/>
      <c r="EA742" s="2"/>
      <c r="EI742" s="2"/>
      <c r="EJ742" s="2"/>
      <c r="EK742" s="2"/>
      <c r="ES742" s="2"/>
      <c r="ET742" s="2"/>
      <c r="EU742" s="2"/>
      <c r="FC742" s="2"/>
      <c r="FD742" s="2"/>
      <c r="FE742" s="2"/>
      <c r="FJ742" s="13"/>
      <c r="FK742" s="13"/>
      <c r="FL742" s="13"/>
      <c r="FM742" s="13"/>
      <c r="FN742" s="13"/>
      <c r="FO742" s="13"/>
      <c r="FP742" s="13"/>
      <c r="FQ742" s="13"/>
      <c r="FR742" s="13"/>
      <c r="FS742" s="13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O743" s="2"/>
      <c r="DP743" s="2"/>
      <c r="DQ743" s="2"/>
      <c r="DY743" s="2"/>
      <c r="DZ743" s="2"/>
      <c r="EA743" s="2"/>
      <c r="EI743" s="2"/>
      <c r="EJ743" s="2"/>
      <c r="EK743" s="2"/>
      <c r="ES743" s="2"/>
      <c r="ET743" s="2"/>
      <c r="EU743" s="2"/>
      <c r="FC743" s="2"/>
      <c r="FD743" s="2"/>
      <c r="FE743" s="2"/>
      <c r="FJ743" s="13"/>
      <c r="FK743" s="13"/>
      <c r="FL743" s="13"/>
      <c r="FM743" s="13"/>
      <c r="FN743" s="13"/>
      <c r="FO743" s="13"/>
      <c r="FP743" s="13"/>
      <c r="FQ743" s="13"/>
      <c r="FR743" s="13"/>
      <c r="FS743" s="13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O744" s="2"/>
      <c r="DP744" s="2"/>
      <c r="DQ744" s="2"/>
      <c r="DY744" s="2"/>
      <c r="DZ744" s="2"/>
      <c r="EA744" s="2"/>
      <c r="EI744" s="2"/>
      <c r="EJ744" s="2"/>
      <c r="EK744" s="2"/>
      <c r="ES744" s="2"/>
      <c r="ET744" s="2"/>
      <c r="EU744" s="2"/>
      <c r="FC744" s="2"/>
      <c r="FD744" s="2"/>
      <c r="FE744" s="2"/>
      <c r="FJ744" s="13"/>
      <c r="FK744" s="13"/>
      <c r="FL744" s="13"/>
      <c r="FM744" s="13"/>
      <c r="FN744" s="13"/>
      <c r="FO744" s="13"/>
      <c r="FP744" s="13"/>
      <c r="FQ744" s="13"/>
      <c r="FR744" s="13"/>
      <c r="FS744" s="13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O745" s="2"/>
      <c r="DP745" s="2"/>
      <c r="DQ745" s="2"/>
      <c r="DY745" s="2"/>
      <c r="DZ745" s="2"/>
      <c r="EA745" s="2"/>
      <c r="EI745" s="2"/>
      <c r="EJ745" s="2"/>
      <c r="EK745" s="2"/>
      <c r="ES745" s="2"/>
      <c r="ET745" s="2"/>
      <c r="EU745" s="2"/>
      <c r="FC745" s="2"/>
      <c r="FD745" s="2"/>
      <c r="FE745" s="2"/>
      <c r="FJ745" s="13"/>
      <c r="FK745" s="13"/>
      <c r="FL745" s="13"/>
      <c r="FM745" s="13"/>
      <c r="FN745" s="13"/>
      <c r="FO745" s="13"/>
      <c r="FP745" s="13"/>
      <c r="FQ745" s="13"/>
      <c r="FR745" s="13"/>
      <c r="FS745" s="13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O746" s="2"/>
      <c r="DP746" s="2"/>
      <c r="DQ746" s="2"/>
      <c r="DY746" s="2"/>
      <c r="DZ746" s="2"/>
      <c r="EA746" s="2"/>
      <c r="EI746" s="2"/>
      <c r="EJ746" s="2"/>
      <c r="EK746" s="2"/>
      <c r="ES746" s="2"/>
      <c r="ET746" s="2"/>
      <c r="EU746" s="2"/>
      <c r="FC746" s="2"/>
      <c r="FD746" s="2"/>
      <c r="FE746" s="2"/>
      <c r="FJ746" s="13"/>
      <c r="FK746" s="13"/>
      <c r="FL746" s="13"/>
      <c r="FM746" s="13"/>
      <c r="FN746" s="13"/>
      <c r="FO746" s="13"/>
      <c r="FP746" s="13"/>
      <c r="FQ746" s="13"/>
      <c r="FR746" s="13"/>
      <c r="FS746" s="13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O747" s="2"/>
      <c r="DP747" s="2"/>
      <c r="DQ747" s="2"/>
      <c r="DY747" s="2"/>
      <c r="DZ747" s="2"/>
      <c r="EA747" s="2"/>
      <c r="EI747" s="2"/>
      <c r="EJ747" s="2"/>
      <c r="EK747" s="2"/>
      <c r="ES747" s="2"/>
      <c r="ET747" s="2"/>
      <c r="EU747" s="2"/>
      <c r="FC747" s="2"/>
      <c r="FD747" s="2"/>
      <c r="FE747" s="2"/>
      <c r="FJ747" s="13"/>
      <c r="FK747" s="13"/>
      <c r="FL747" s="13"/>
      <c r="FM747" s="13"/>
      <c r="FN747" s="13"/>
      <c r="FO747" s="13"/>
      <c r="FP747" s="13"/>
      <c r="FQ747" s="13"/>
      <c r="FR747" s="13"/>
      <c r="FS747" s="13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O748" s="2"/>
      <c r="DP748" s="2"/>
      <c r="DQ748" s="2"/>
      <c r="DY748" s="2"/>
      <c r="DZ748" s="2"/>
      <c r="EA748" s="2"/>
      <c r="EI748" s="2"/>
      <c r="EJ748" s="2"/>
      <c r="EK748" s="2"/>
      <c r="ES748" s="2"/>
      <c r="ET748" s="2"/>
      <c r="EU748" s="2"/>
      <c r="FC748" s="2"/>
      <c r="FD748" s="2"/>
      <c r="FE748" s="2"/>
      <c r="FJ748" s="13"/>
      <c r="FK748" s="13"/>
      <c r="FL748" s="13"/>
      <c r="FM748" s="13"/>
      <c r="FN748" s="13"/>
      <c r="FO748" s="13"/>
      <c r="FP748" s="13"/>
      <c r="FQ748" s="13"/>
      <c r="FR748" s="13"/>
      <c r="FS748" s="13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O749" s="2"/>
      <c r="DP749" s="2"/>
      <c r="DQ749" s="2"/>
      <c r="DY749" s="2"/>
      <c r="DZ749" s="2"/>
      <c r="EA749" s="2"/>
      <c r="EI749" s="2"/>
      <c r="EJ749" s="2"/>
      <c r="EK749" s="2"/>
      <c r="ES749" s="2"/>
      <c r="ET749" s="2"/>
      <c r="EU749" s="2"/>
      <c r="FC749" s="2"/>
      <c r="FD749" s="2"/>
      <c r="FE749" s="2"/>
      <c r="FJ749" s="13"/>
      <c r="FK749" s="13"/>
      <c r="FL749" s="13"/>
      <c r="FM749" s="13"/>
      <c r="FN749" s="13"/>
      <c r="FO749" s="13"/>
      <c r="FP749" s="13"/>
      <c r="FQ749" s="13"/>
      <c r="FR749" s="13"/>
      <c r="FS749" s="13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O750" s="2"/>
      <c r="DP750" s="2"/>
      <c r="DQ750" s="2"/>
      <c r="DY750" s="2"/>
      <c r="DZ750" s="2"/>
      <c r="EA750" s="2"/>
      <c r="EI750" s="2"/>
      <c r="EJ750" s="2"/>
      <c r="EK750" s="2"/>
      <c r="ES750" s="2"/>
      <c r="ET750" s="2"/>
      <c r="EU750" s="2"/>
      <c r="FC750" s="2"/>
      <c r="FD750" s="2"/>
      <c r="FE750" s="2"/>
      <c r="FJ750" s="13"/>
      <c r="FK750" s="13"/>
      <c r="FL750" s="13"/>
      <c r="FM750" s="13"/>
      <c r="FN750" s="13"/>
      <c r="FO750" s="13"/>
      <c r="FP750" s="13"/>
      <c r="FQ750" s="13"/>
      <c r="FR750" s="13"/>
      <c r="FS750" s="13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O751" s="2"/>
      <c r="DP751" s="2"/>
      <c r="DQ751" s="2"/>
      <c r="DY751" s="2"/>
      <c r="DZ751" s="2"/>
      <c r="EA751" s="2"/>
      <c r="EI751" s="2"/>
      <c r="EJ751" s="2"/>
      <c r="EK751" s="2"/>
      <c r="ES751" s="2"/>
      <c r="ET751" s="2"/>
      <c r="EU751" s="2"/>
      <c r="FC751" s="2"/>
      <c r="FD751" s="2"/>
      <c r="FE751" s="2"/>
      <c r="FJ751" s="13"/>
      <c r="FK751" s="13"/>
      <c r="FL751" s="13"/>
      <c r="FM751" s="13"/>
      <c r="FN751" s="13"/>
      <c r="FO751" s="13"/>
      <c r="FP751" s="13"/>
      <c r="FQ751" s="13"/>
      <c r="FR751" s="13"/>
      <c r="FS751" s="13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O752" s="2"/>
      <c r="DP752" s="2"/>
      <c r="DQ752" s="2"/>
      <c r="DY752" s="2"/>
      <c r="DZ752" s="2"/>
      <c r="EA752" s="2"/>
      <c r="EI752" s="2"/>
      <c r="EJ752" s="2"/>
      <c r="EK752" s="2"/>
      <c r="ES752" s="2"/>
      <c r="ET752" s="2"/>
      <c r="EU752" s="2"/>
      <c r="FC752" s="2"/>
      <c r="FD752" s="2"/>
      <c r="FE752" s="2"/>
      <c r="FJ752" s="13"/>
      <c r="FK752" s="13"/>
      <c r="FL752" s="13"/>
      <c r="FM752" s="13"/>
      <c r="FN752" s="13"/>
      <c r="FO752" s="13"/>
      <c r="FP752" s="13"/>
      <c r="FQ752" s="13"/>
      <c r="FR752" s="13"/>
      <c r="FS752" s="13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O753" s="2"/>
      <c r="DP753" s="2"/>
      <c r="DQ753" s="2"/>
      <c r="DY753" s="2"/>
      <c r="DZ753" s="2"/>
      <c r="EA753" s="2"/>
      <c r="EI753" s="2"/>
      <c r="EJ753" s="2"/>
      <c r="EK753" s="2"/>
      <c r="ES753" s="2"/>
      <c r="ET753" s="2"/>
      <c r="EU753" s="2"/>
      <c r="FC753" s="2"/>
      <c r="FD753" s="2"/>
      <c r="FE753" s="2"/>
      <c r="FJ753" s="13"/>
      <c r="FK753" s="13"/>
      <c r="FL753" s="13"/>
      <c r="FM753" s="13"/>
      <c r="FN753" s="13"/>
      <c r="FO753" s="13"/>
      <c r="FP753" s="13"/>
      <c r="FQ753" s="13"/>
      <c r="FR753" s="13"/>
      <c r="FS753" s="13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O754" s="2"/>
      <c r="DP754" s="2"/>
      <c r="DQ754" s="2"/>
      <c r="DY754" s="2"/>
      <c r="DZ754" s="2"/>
      <c r="EA754" s="2"/>
      <c r="EI754" s="2"/>
      <c r="EJ754" s="2"/>
      <c r="EK754" s="2"/>
      <c r="ES754" s="2"/>
      <c r="ET754" s="2"/>
      <c r="EU754" s="2"/>
      <c r="FC754" s="2"/>
      <c r="FD754" s="2"/>
      <c r="FE754" s="2"/>
      <c r="FJ754" s="13"/>
      <c r="FK754" s="13"/>
      <c r="FL754" s="13"/>
      <c r="FM754" s="13"/>
      <c r="FN754" s="13"/>
      <c r="FO754" s="13"/>
      <c r="FP754" s="13"/>
      <c r="FQ754" s="13"/>
      <c r="FR754" s="13"/>
      <c r="FS754" s="13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O755" s="2"/>
      <c r="DP755" s="2"/>
      <c r="DQ755" s="2"/>
      <c r="DY755" s="2"/>
      <c r="DZ755" s="2"/>
      <c r="EA755" s="2"/>
      <c r="EI755" s="2"/>
      <c r="EJ755" s="2"/>
      <c r="EK755" s="2"/>
      <c r="ES755" s="2"/>
      <c r="ET755" s="2"/>
      <c r="EU755" s="2"/>
      <c r="FC755" s="2"/>
      <c r="FD755" s="2"/>
      <c r="FE755" s="2"/>
      <c r="FJ755" s="13"/>
      <c r="FK755" s="13"/>
      <c r="FL755" s="13"/>
      <c r="FM755" s="13"/>
      <c r="FN755" s="13"/>
      <c r="FO755" s="13"/>
      <c r="FP755" s="13"/>
      <c r="FQ755" s="13"/>
      <c r="FR755" s="13"/>
      <c r="FS755" s="13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O756" s="2"/>
      <c r="DP756" s="2"/>
      <c r="DQ756" s="2"/>
      <c r="DY756" s="2"/>
      <c r="DZ756" s="2"/>
      <c r="EA756" s="2"/>
      <c r="EI756" s="2"/>
      <c r="EJ756" s="2"/>
      <c r="EK756" s="2"/>
      <c r="ES756" s="2"/>
      <c r="ET756" s="2"/>
      <c r="EU756" s="2"/>
      <c r="FC756" s="2"/>
      <c r="FD756" s="2"/>
      <c r="FE756" s="2"/>
      <c r="FJ756" s="13"/>
      <c r="FK756" s="13"/>
      <c r="FL756" s="13"/>
      <c r="FM756" s="13"/>
      <c r="FN756" s="13"/>
      <c r="FO756" s="13"/>
      <c r="FP756" s="13"/>
      <c r="FQ756" s="13"/>
      <c r="FR756" s="13"/>
      <c r="FS756" s="13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O757" s="2"/>
      <c r="DP757" s="2"/>
      <c r="DQ757" s="2"/>
      <c r="DY757" s="2"/>
      <c r="DZ757" s="2"/>
      <c r="EA757" s="2"/>
      <c r="EI757" s="2"/>
      <c r="EJ757" s="2"/>
      <c r="EK757" s="2"/>
      <c r="ES757" s="2"/>
      <c r="ET757" s="2"/>
      <c r="EU757" s="2"/>
      <c r="FC757" s="2"/>
      <c r="FD757" s="2"/>
      <c r="FE757" s="2"/>
      <c r="FJ757" s="13"/>
      <c r="FK757" s="13"/>
      <c r="FL757" s="13"/>
      <c r="FM757" s="13"/>
      <c r="FN757" s="13"/>
      <c r="FO757" s="13"/>
      <c r="FP757" s="13"/>
      <c r="FQ757" s="13"/>
      <c r="FR757" s="13"/>
      <c r="FS757" s="13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O758" s="2"/>
      <c r="DP758" s="2"/>
      <c r="DQ758" s="2"/>
      <c r="DY758" s="2"/>
      <c r="DZ758" s="2"/>
      <c r="EA758" s="2"/>
      <c r="EI758" s="2"/>
      <c r="EJ758" s="2"/>
      <c r="EK758" s="2"/>
      <c r="ES758" s="2"/>
      <c r="ET758" s="2"/>
      <c r="EU758" s="2"/>
      <c r="FC758" s="2"/>
      <c r="FD758" s="2"/>
      <c r="FE758" s="2"/>
      <c r="FJ758" s="13"/>
      <c r="FK758" s="13"/>
      <c r="FL758" s="13"/>
      <c r="FM758" s="13"/>
      <c r="FN758" s="13"/>
      <c r="FO758" s="13"/>
      <c r="FP758" s="13"/>
      <c r="FQ758" s="13"/>
      <c r="FR758" s="13"/>
      <c r="FS758" s="13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O759" s="2"/>
      <c r="DP759" s="2"/>
      <c r="DQ759" s="2"/>
      <c r="DY759" s="2"/>
      <c r="DZ759" s="2"/>
      <c r="EA759" s="2"/>
      <c r="EI759" s="2"/>
      <c r="EJ759" s="2"/>
      <c r="EK759" s="2"/>
      <c r="ES759" s="2"/>
      <c r="ET759" s="2"/>
      <c r="EU759" s="2"/>
      <c r="FC759" s="2"/>
      <c r="FD759" s="2"/>
      <c r="FE759" s="2"/>
      <c r="FJ759" s="13"/>
      <c r="FK759" s="13"/>
      <c r="FL759" s="13"/>
      <c r="FM759" s="13"/>
      <c r="FN759" s="13"/>
      <c r="FO759" s="13"/>
      <c r="FP759" s="13"/>
      <c r="FQ759" s="13"/>
      <c r="FR759" s="13"/>
      <c r="FS759" s="13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O760" s="2"/>
      <c r="DP760" s="2"/>
      <c r="DQ760" s="2"/>
      <c r="DY760" s="2"/>
      <c r="DZ760" s="2"/>
      <c r="EA760" s="2"/>
      <c r="EI760" s="2"/>
      <c r="EJ760" s="2"/>
      <c r="EK760" s="2"/>
      <c r="ES760" s="2"/>
      <c r="ET760" s="2"/>
      <c r="EU760" s="2"/>
      <c r="FC760" s="2"/>
      <c r="FD760" s="2"/>
      <c r="FE760" s="2"/>
      <c r="FJ760" s="13"/>
      <c r="FK760" s="13"/>
      <c r="FL760" s="13"/>
      <c r="FM760" s="13"/>
      <c r="FN760" s="13"/>
      <c r="FO760" s="13"/>
      <c r="FP760" s="13"/>
      <c r="FQ760" s="13"/>
      <c r="FR760" s="13"/>
      <c r="FS760" s="13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O761" s="2"/>
      <c r="DP761" s="2"/>
      <c r="DQ761" s="2"/>
      <c r="DY761" s="2"/>
      <c r="DZ761" s="2"/>
      <c r="EA761" s="2"/>
      <c r="EI761" s="2"/>
      <c r="EJ761" s="2"/>
      <c r="EK761" s="2"/>
      <c r="ES761" s="2"/>
      <c r="ET761" s="2"/>
      <c r="EU761" s="2"/>
      <c r="FC761" s="2"/>
      <c r="FD761" s="2"/>
      <c r="FE761" s="2"/>
      <c r="FJ761" s="13"/>
      <c r="FK761" s="13"/>
      <c r="FL761" s="13"/>
      <c r="FM761" s="13"/>
      <c r="FN761" s="13"/>
      <c r="FO761" s="13"/>
      <c r="FP761" s="13"/>
      <c r="FQ761" s="13"/>
      <c r="FR761" s="13"/>
      <c r="FS761" s="13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O762" s="2"/>
      <c r="DP762" s="2"/>
      <c r="DQ762" s="2"/>
      <c r="DY762" s="2"/>
      <c r="DZ762" s="2"/>
      <c r="EA762" s="2"/>
      <c r="EI762" s="2"/>
      <c r="EJ762" s="2"/>
      <c r="EK762" s="2"/>
      <c r="ES762" s="2"/>
      <c r="ET762" s="2"/>
      <c r="EU762" s="2"/>
      <c r="FC762" s="2"/>
      <c r="FD762" s="2"/>
      <c r="FE762" s="2"/>
      <c r="FJ762" s="13"/>
      <c r="FK762" s="13"/>
      <c r="FL762" s="13"/>
      <c r="FM762" s="13"/>
      <c r="FN762" s="13"/>
      <c r="FO762" s="13"/>
      <c r="FP762" s="13"/>
      <c r="FQ762" s="13"/>
      <c r="FR762" s="13"/>
      <c r="FS762" s="13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O763" s="2"/>
      <c r="DP763" s="2"/>
      <c r="DQ763" s="2"/>
      <c r="DY763" s="2"/>
      <c r="DZ763" s="2"/>
      <c r="EA763" s="2"/>
      <c r="EI763" s="2"/>
      <c r="EJ763" s="2"/>
      <c r="EK763" s="2"/>
      <c r="ES763" s="2"/>
      <c r="ET763" s="2"/>
      <c r="EU763" s="2"/>
      <c r="FC763" s="2"/>
      <c r="FD763" s="2"/>
      <c r="FE763" s="2"/>
      <c r="FJ763" s="13"/>
      <c r="FK763" s="13"/>
      <c r="FL763" s="13"/>
      <c r="FM763" s="13"/>
      <c r="FN763" s="13"/>
      <c r="FO763" s="13"/>
      <c r="FP763" s="13"/>
      <c r="FQ763" s="13"/>
      <c r="FR763" s="13"/>
      <c r="FS763" s="13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O764" s="2"/>
      <c r="DP764" s="2"/>
      <c r="DQ764" s="2"/>
      <c r="DY764" s="2"/>
      <c r="DZ764" s="2"/>
      <c r="EA764" s="2"/>
      <c r="EI764" s="2"/>
      <c r="EJ764" s="2"/>
      <c r="EK764" s="2"/>
      <c r="ES764" s="2"/>
      <c r="ET764" s="2"/>
      <c r="EU764" s="2"/>
      <c r="FC764" s="2"/>
      <c r="FD764" s="2"/>
      <c r="FE764" s="2"/>
      <c r="FJ764" s="13"/>
      <c r="FK764" s="13"/>
      <c r="FL764" s="13"/>
      <c r="FM764" s="13"/>
      <c r="FN764" s="13"/>
      <c r="FO764" s="13"/>
      <c r="FP764" s="13"/>
      <c r="FQ764" s="13"/>
      <c r="FR764" s="13"/>
      <c r="FS764" s="13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O765" s="2"/>
      <c r="DP765" s="2"/>
      <c r="DQ765" s="2"/>
      <c r="DY765" s="2"/>
      <c r="DZ765" s="2"/>
      <c r="EA765" s="2"/>
      <c r="EI765" s="2"/>
      <c r="EJ765" s="2"/>
      <c r="EK765" s="2"/>
      <c r="ES765" s="2"/>
      <c r="ET765" s="2"/>
      <c r="EU765" s="2"/>
      <c r="FC765" s="2"/>
      <c r="FD765" s="2"/>
      <c r="FE765" s="2"/>
      <c r="FJ765" s="13"/>
      <c r="FK765" s="13"/>
      <c r="FL765" s="13"/>
      <c r="FM765" s="13"/>
      <c r="FN765" s="13"/>
      <c r="FO765" s="13"/>
      <c r="FP765" s="13"/>
      <c r="FQ765" s="13"/>
      <c r="FR765" s="13"/>
      <c r="FS765" s="13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O766" s="2"/>
      <c r="DP766" s="2"/>
      <c r="DQ766" s="2"/>
      <c r="DY766" s="2"/>
      <c r="DZ766" s="2"/>
      <c r="EA766" s="2"/>
      <c r="EI766" s="2"/>
      <c r="EJ766" s="2"/>
      <c r="EK766" s="2"/>
      <c r="ES766" s="2"/>
      <c r="ET766" s="2"/>
      <c r="EU766" s="2"/>
      <c r="FC766" s="2"/>
      <c r="FD766" s="2"/>
      <c r="FE766" s="2"/>
      <c r="FJ766" s="13"/>
      <c r="FK766" s="13"/>
      <c r="FL766" s="13"/>
      <c r="FM766" s="13"/>
      <c r="FN766" s="13"/>
      <c r="FO766" s="13"/>
      <c r="FP766" s="13"/>
      <c r="FQ766" s="13"/>
      <c r="FR766" s="13"/>
      <c r="FS766" s="13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O767" s="2"/>
      <c r="DP767" s="2"/>
      <c r="DQ767" s="2"/>
      <c r="DY767" s="2"/>
      <c r="DZ767" s="2"/>
      <c r="EA767" s="2"/>
      <c r="EI767" s="2"/>
      <c r="EJ767" s="2"/>
      <c r="EK767" s="2"/>
      <c r="ES767" s="2"/>
      <c r="ET767" s="2"/>
      <c r="EU767" s="2"/>
      <c r="FC767" s="2"/>
      <c r="FD767" s="2"/>
      <c r="FE767" s="2"/>
      <c r="FJ767" s="13"/>
      <c r="FK767" s="13"/>
      <c r="FL767" s="13"/>
      <c r="FM767" s="13"/>
      <c r="FN767" s="13"/>
      <c r="FO767" s="13"/>
      <c r="FP767" s="13"/>
      <c r="FQ767" s="13"/>
      <c r="FR767" s="13"/>
      <c r="FS767" s="13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O768" s="2"/>
      <c r="DP768" s="2"/>
      <c r="DQ768" s="2"/>
      <c r="DY768" s="2"/>
      <c r="DZ768" s="2"/>
      <c r="EA768" s="2"/>
      <c r="EI768" s="2"/>
      <c r="EJ768" s="2"/>
      <c r="EK768" s="2"/>
      <c r="ES768" s="2"/>
      <c r="ET768" s="2"/>
      <c r="EU768" s="2"/>
      <c r="FC768" s="2"/>
      <c r="FD768" s="2"/>
      <c r="FE768" s="2"/>
      <c r="FJ768" s="13"/>
      <c r="FK768" s="13"/>
      <c r="FL768" s="13"/>
      <c r="FM768" s="13"/>
      <c r="FN768" s="13"/>
      <c r="FO768" s="13"/>
      <c r="FP768" s="13"/>
      <c r="FQ768" s="13"/>
      <c r="FR768" s="13"/>
      <c r="FS768" s="13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O769" s="2"/>
      <c r="DP769" s="2"/>
      <c r="DQ769" s="2"/>
      <c r="DY769" s="2"/>
      <c r="DZ769" s="2"/>
      <c r="EA769" s="2"/>
      <c r="EI769" s="2"/>
      <c r="EJ769" s="2"/>
      <c r="EK769" s="2"/>
      <c r="ES769" s="2"/>
      <c r="ET769" s="2"/>
      <c r="EU769" s="2"/>
      <c r="FC769" s="2"/>
      <c r="FD769" s="2"/>
      <c r="FE769" s="2"/>
      <c r="FJ769" s="13"/>
      <c r="FK769" s="13"/>
      <c r="FL769" s="13"/>
      <c r="FM769" s="13"/>
      <c r="FN769" s="13"/>
      <c r="FO769" s="13"/>
      <c r="FP769" s="13"/>
      <c r="FQ769" s="13"/>
      <c r="FR769" s="13"/>
      <c r="FS769" s="13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O770" s="2"/>
      <c r="DP770" s="2"/>
      <c r="DQ770" s="2"/>
      <c r="DY770" s="2"/>
      <c r="DZ770" s="2"/>
      <c r="EA770" s="2"/>
      <c r="EI770" s="2"/>
      <c r="EJ770" s="2"/>
      <c r="EK770" s="2"/>
      <c r="ES770" s="2"/>
      <c r="ET770" s="2"/>
      <c r="EU770" s="2"/>
      <c r="FC770" s="2"/>
      <c r="FD770" s="2"/>
      <c r="FE770" s="2"/>
      <c r="FJ770" s="13"/>
      <c r="FK770" s="13"/>
      <c r="FL770" s="13"/>
      <c r="FM770" s="13"/>
      <c r="FN770" s="13"/>
      <c r="FO770" s="13"/>
      <c r="FP770" s="13"/>
      <c r="FQ770" s="13"/>
      <c r="FR770" s="13"/>
      <c r="FS770" s="13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O771" s="2"/>
      <c r="DP771" s="2"/>
      <c r="DQ771" s="2"/>
      <c r="DY771" s="2"/>
      <c r="DZ771" s="2"/>
      <c r="EA771" s="2"/>
      <c r="EI771" s="2"/>
      <c r="EJ771" s="2"/>
      <c r="EK771" s="2"/>
      <c r="ES771" s="2"/>
      <c r="ET771" s="2"/>
      <c r="EU771" s="2"/>
      <c r="FC771" s="2"/>
      <c r="FD771" s="2"/>
      <c r="FE771" s="2"/>
      <c r="FJ771" s="13"/>
      <c r="FK771" s="13"/>
      <c r="FL771" s="13"/>
      <c r="FM771" s="13"/>
      <c r="FN771" s="13"/>
      <c r="FO771" s="13"/>
      <c r="FP771" s="13"/>
      <c r="FQ771" s="13"/>
      <c r="FR771" s="13"/>
      <c r="FS771" s="13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O772" s="2"/>
      <c r="DP772" s="2"/>
      <c r="DQ772" s="2"/>
      <c r="DY772" s="2"/>
      <c r="DZ772" s="2"/>
      <c r="EA772" s="2"/>
      <c r="EI772" s="2"/>
      <c r="EJ772" s="2"/>
      <c r="EK772" s="2"/>
      <c r="ES772" s="2"/>
      <c r="ET772" s="2"/>
      <c r="EU772" s="2"/>
      <c r="FC772" s="2"/>
      <c r="FD772" s="2"/>
      <c r="FE772" s="2"/>
      <c r="FJ772" s="13"/>
      <c r="FK772" s="13"/>
      <c r="FL772" s="13"/>
      <c r="FM772" s="13"/>
      <c r="FN772" s="13"/>
      <c r="FO772" s="13"/>
      <c r="FP772" s="13"/>
      <c r="FQ772" s="13"/>
      <c r="FR772" s="13"/>
      <c r="FS772" s="13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O773" s="2"/>
      <c r="DP773" s="2"/>
      <c r="DQ773" s="2"/>
      <c r="DY773" s="2"/>
      <c r="DZ773" s="2"/>
      <c r="EA773" s="2"/>
      <c r="EI773" s="2"/>
      <c r="EJ773" s="2"/>
      <c r="EK773" s="2"/>
      <c r="ES773" s="2"/>
      <c r="ET773" s="2"/>
      <c r="EU773" s="2"/>
      <c r="FC773" s="2"/>
      <c r="FD773" s="2"/>
      <c r="FE773" s="2"/>
      <c r="FJ773" s="13"/>
      <c r="FK773" s="13"/>
      <c r="FL773" s="13"/>
      <c r="FM773" s="13"/>
      <c r="FN773" s="13"/>
      <c r="FO773" s="13"/>
      <c r="FP773" s="13"/>
      <c r="FQ773" s="13"/>
      <c r="FR773" s="13"/>
      <c r="FS773" s="13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O774" s="2"/>
      <c r="DP774" s="2"/>
      <c r="DQ774" s="2"/>
      <c r="DY774" s="2"/>
      <c r="DZ774" s="2"/>
      <c r="EA774" s="2"/>
      <c r="EI774" s="2"/>
      <c r="EJ774" s="2"/>
      <c r="EK774" s="2"/>
      <c r="ES774" s="2"/>
      <c r="ET774" s="2"/>
      <c r="EU774" s="2"/>
      <c r="FC774" s="2"/>
      <c r="FD774" s="2"/>
      <c r="FE774" s="2"/>
      <c r="FJ774" s="13"/>
      <c r="FK774" s="13"/>
      <c r="FL774" s="13"/>
      <c r="FM774" s="13"/>
      <c r="FN774" s="13"/>
      <c r="FO774" s="13"/>
      <c r="FP774" s="13"/>
      <c r="FQ774" s="13"/>
      <c r="FR774" s="13"/>
      <c r="FS774" s="13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O775" s="2"/>
      <c r="DP775" s="2"/>
      <c r="DQ775" s="2"/>
      <c r="DY775" s="2"/>
      <c r="DZ775" s="2"/>
      <c r="EA775" s="2"/>
      <c r="EI775" s="2"/>
      <c r="EJ775" s="2"/>
      <c r="EK775" s="2"/>
      <c r="ES775" s="2"/>
      <c r="ET775" s="2"/>
      <c r="EU775" s="2"/>
      <c r="FC775" s="2"/>
      <c r="FD775" s="2"/>
      <c r="FE775" s="2"/>
      <c r="FJ775" s="13"/>
      <c r="FK775" s="13"/>
      <c r="FL775" s="13"/>
      <c r="FM775" s="13"/>
      <c r="FN775" s="13"/>
      <c r="FO775" s="13"/>
      <c r="FP775" s="13"/>
      <c r="FQ775" s="13"/>
      <c r="FR775" s="13"/>
      <c r="FS775" s="13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O776" s="2"/>
      <c r="DP776" s="2"/>
      <c r="DQ776" s="2"/>
      <c r="DY776" s="2"/>
      <c r="DZ776" s="2"/>
      <c r="EA776" s="2"/>
      <c r="EI776" s="2"/>
      <c r="EJ776" s="2"/>
      <c r="EK776" s="2"/>
      <c r="ES776" s="2"/>
      <c r="ET776" s="2"/>
      <c r="EU776" s="2"/>
      <c r="FC776" s="2"/>
      <c r="FD776" s="2"/>
      <c r="FE776" s="2"/>
      <c r="FJ776" s="13"/>
      <c r="FK776" s="13"/>
      <c r="FL776" s="13"/>
      <c r="FM776" s="13"/>
      <c r="FN776" s="13"/>
      <c r="FO776" s="13"/>
      <c r="FP776" s="13"/>
      <c r="FQ776" s="13"/>
      <c r="FR776" s="13"/>
      <c r="FS776" s="13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O777" s="2"/>
      <c r="DP777" s="2"/>
      <c r="DQ777" s="2"/>
      <c r="DY777" s="2"/>
      <c r="DZ777" s="2"/>
      <c r="EA777" s="2"/>
      <c r="EI777" s="2"/>
      <c r="EJ777" s="2"/>
      <c r="EK777" s="2"/>
      <c r="ES777" s="2"/>
      <c r="ET777" s="2"/>
      <c r="EU777" s="2"/>
      <c r="FC777" s="2"/>
      <c r="FD777" s="2"/>
      <c r="FE777" s="2"/>
      <c r="FJ777" s="13"/>
      <c r="FK777" s="13"/>
      <c r="FL777" s="13"/>
      <c r="FM777" s="13"/>
      <c r="FN777" s="13"/>
      <c r="FO777" s="13"/>
      <c r="FP777" s="13"/>
      <c r="FQ777" s="13"/>
      <c r="FR777" s="13"/>
      <c r="FS777" s="13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O778" s="2"/>
      <c r="DP778" s="2"/>
      <c r="DQ778" s="2"/>
      <c r="DY778" s="2"/>
      <c r="DZ778" s="2"/>
      <c r="EA778" s="2"/>
      <c r="EI778" s="2"/>
      <c r="EJ778" s="2"/>
      <c r="EK778" s="2"/>
      <c r="ES778" s="2"/>
      <c r="ET778" s="2"/>
      <c r="EU778" s="2"/>
      <c r="FC778" s="2"/>
      <c r="FD778" s="2"/>
      <c r="FE778" s="2"/>
      <c r="FJ778" s="13"/>
      <c r="FK778" s="13"/>
      <c r="FL778" s="13"/>
      <c r="FM778" s="13"/>
      <c r="FN778" s="13"/>
      <c r="FO778" s="13"/>
      <c r="FP778" s="13"/>
      <c r="FQ778" s="13"/>
      <c r="FR778" s="13"/>
      <c r="FS778" s="13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O779" s="2"/>
      <c r="DP779" s="2"/>
      <c r="DQ779" s="2"/>
      <c r="DY779" s="2"/>
      <c r="DZ779" s="2"/>
      <c r="EA779" s="2"/>
      <c r="EI779" s="2"/>
      <c r="EJ779" s="2"/>
      <c r="EK779" s="2"/>
      <c r="ES779" s="2"/>
      <c r="ET779" s="2"/>
      <c r="EU779" s="2"/>
      <c r="FC779" s="2"/>
      <c r="FD779" s="2"/>
      <c r="FE779" s="2"/>
      <c r="FJ779" s="13"/>
      <c r="FK779" s="13"/>
      <c r="FL779" s="13"/>
      <c r="FM779" s="13"/>
      <c r="FN779" s="13"/>
      <c r="FO779" s="13"/>
      <c r="FP779" s="13"/>
      <c r="FQ779" s="13"/>
      <c r="FR779" s="13"/>
      <c r="FS779" s="13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O780" s="2"/>
      <c r="DP780" s="2"/>
      <c r="DQ780" s="2"/>
      <c r="DY780" s="2"/>
      <c r="DZ780" s="2"/>
      <c r="EA780" s="2"/>
      <c r="EI780" s="2"/>
      <c r="EJ780" s="2"/>
      <c r="EK780" s="2"/>
      <c r="ES780" s="2"/>
      <c r="ET780" s="2"/>
      <c r="EU780" s="2"/>
      <c r="FC780" s="2"/>
      <c r="FD780" s="2"/>
      <c r="FE780" s="2"/>
      <c r="FJ780" s="13"/>
      <c r="FK780" s="13"/>
      <c r="FL780" s="13"/>
      <c r="FM780" s="13"/>
      <c r="FN780" s="13"/>
      <c r="FO780" s="13"/>
      <c r="FP780" s="13"/>
      <c r="FQ780" s="13"/>
      <c r="FR780" s="13"/>
      <c r="FS780" s="13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O781" s="2"/>
      <c r="DP781" s="2"/>
      <c r="DQ781" s="2"/>
      <c r="DY781" s="2"/>
      <c r="DZ781" s="2"/>
      <c r="EA781" s="2"/>
      <c r="EI781" s="2"/>
      <c r="EJ781" s="2"/>
      <c r="EK781" s="2"/>
      <c r="ES781" s="2"/>
      <c r="ET781" s="2"/>
      <c r="EU781" s="2"/>
      <c r="FC781" s="2"/>
      <c r="FD781" s="2"/>
      <c r="FE781" s="2"/>
      <c r="FJ781" s="13"/>
      <c r="FK781" s="13"/>
      <c r="FL781" s="13"/>
      <c r="FM781" s="13"/>
      <c r="FN781" s="13"/>
      <c r="FO781" s="13"/>
      <c r="FP781" s="13"/>
      <c r="FQ781" s="13"/>
      <c r="FR781" s="13"/>
      <c r="FS781" s="13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O782" s="2"/>
      <c r="DP782" s="2"/>
      <c r="DQ782" s="2"/>
      <c r="DY782" s="2"/>
      <c r="DZ782" s="2"/>
      <c r="EA782" s="2"/>
      <c r="EI782" s="2"/>
      <c r="EJ782" s="2"/>
      <c r="EK782" s="2"/>
      <c r="ES782" s="2"/>
      <c r="ET782" s="2"/>
      <c r="EU782" s="2"/>
      <c r="FC782" s="2"/>
      <c r="FD782" s="2"/>
      <c r="FE782" s="2"/>
      <c r="FJ782" s="13"/>
      <c r="FK782" s="13"/>
      <c r="FL782" s="13"/>
      <c r="FM782" s="13"/>
      <c r="FN782" s="13"/>
      <c r="FO782" s="13"/>
      <c r="FP782" s="13"/>
      <c r="FQ782" s="13"/>
      <c r="FR782" s="13"/>
      <c r="FS782" s="13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O783" s="2"/>
      <c r="DP783" s="2"/>
      <c r="DQ783" s="2"/>
      <c r="DY783" s="2"/>
      <c r="DZ783" s="2"/>
      <c r="EA783" s="2"/>
      <c r="EI783" s="2"/>
      <c r="EJ783" s="2"/>
      <c r="EK783" s="2"/>
      <c r="ES783" s="2"/>
      <c r="ET783" s="2"/>
      <c r="EU783" s="2"/>
      <c r="FC783" s="2"/>
      <c r="FD783" s="2"/>
      <c r="FE783" s="2"/>
      <c r="FJ783" s="13"/>
      <c r="FK783" s="13"/>
      <c r="FL783" s="13"/>
      <c r="FM783" s="13"/>
      <c r="FN783" s="13"/>
      <c r="FO783" s="13"/>
      <c r="FP783" s="13"/>
      <c r="FQ783" s="13"/>
      <c r="FR783" s="13"/>
      <c r="FS783" s="13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O784" s="2"/>
      <c r="DP784" s="2"/>
      <c r="DQ784" s="2"/>
      <c r="DY784" s="2"/>
      <c r="DZ784" s="2"/>
      <c r="EA784" s="2"/>
      <c r="EI784" s="2"/>
      <c r="EJ784" s="2"/>
      <c r="EK784" s="2"/>
      <c r="ES784" s="2"/>
      <c r="ET784" s="2"/>
      <c r="EU784" s="2"/>
      <c r="FC784" s="2"/>
      <c r="FD784" s="2"/>
      <c r="FE784" s="2"/>
      <c r="FJ784" s="13"/>
      <c r="FK784" s="13"/>
      <c r="FL784" s="13"/>
      <c r="FM784" s="13"/>
      <c r="FN784" s="13"/>
      <c r="FO784" s="13"/>
      <c r="FP784" s="13"/>
      <c r="FQ784" s="13"/>
      <c r="FR784" s="13"/>
      <c r="FS784" s="13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O785" s="2"/>
      <c r="DP785" s="2"/>
      <c r="DQ785" s="2"/>
      <c r="DY785" s="2"/>
      <c r="DZ785" s="2"/>
      <c r="EA785" s="2"/>
      <c r="EI785" s="2"/>
      <c r="EJ785" s="2"/>
      <c r="EK785" s="2"/>
      <c r="ES785" s="2"/>
      <c r="ET785" s="2"/>
      <c r="EU785" s="2"/>
      <c r="FC785" s="2"/>
      <c r="FD785" s="2"/>
      <c r="FE785" s="2"/>
      <c r="FJ785" s="13"/>
      <c r="FK785" s="13"/>
      <c r="FL785" s="13"/>
      <c r="FM785" s="13"/>
      <c r="FN785" s="13"/>
      <c r="FO785" s="13"/>
      <c r="FP785" s="13"/>
      <c r="FQ785" s="13"/>
      <c r="FR785" s="13"/>
      <c r="FS785" s="13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O786" s="2"/>
      <c r="DP786" s="2"/>
      <c r="DQ786" s="2"/>
      <c r="DY786" s="2"/>
      <c r="DZ786" s="2"/>
      <c r="EA786" s="2"/>
      <c r="EI786" s="2"/>
      <c r="EJ786" s="2"/>
      <c r="EK786" s="2"/>
      <c r="ES786" s="2"/>
      <c r="ET786" s="2"/>
      <c r="EU786" s="2"/>
      <c r="FC786" s="2"/>
      <c r="FD786" s="2"/>
      <c r="FE786" s="2"/>
      <c r="FJ786" s="13"/>
      <c r="FK786" s="13"/>
      <c r="FL786" s="13"/>
      <c r="FM786" s="13"/>
      <c r="FN786" s="13"/>
      <c r="FO786" s="13"/>
      <c r="FP786" s="13"/>
      <c r="FQ786" s="13"/>
      <c r="FR786" s="13"/>
      <c r="FS786" s="13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O787" s="2"/>
      <c r="DP787" s="2"/>
      <c r="DQ787" s="2"/>
      <c r="DY787" s="2"/>
      <c r="DZ787" s="2"/>
      <c r="EA787" s="2"/>
      <c r="EI787" s="2"/>
      <c r="EJ787" s="2"/>
      <c r="EK787" s="2"/>
      <c r="ES787" s="2"/>
      <c r="ET787" s="2"/>
      <c r="EU787" s="2"/>
      <c r="FC787" s="2"/>
      <c r="FD787" s="2"/>
      <c r="FE787" s="2"/>
      <c r="FJ787" s="13"/>
      <c r="FK787" s="13"/>
      <c r="FL787" s="13"/>
      <c r="FM787" s="13"/>
      <c r="FN787" s="13"/>
      <c r="FO787" s="13"/>
      <c r="FP787" s="13"/>
      <c r="FQ787" s="13"/>
      <c r="FR787" s="13"/>
      <c r="FS787" s="13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O788" s="2"/>
      <c r="DP788" s="2"/>
      <c r="DQ788" s="2"/>
      <c r="DY788" s="2"/>
      <c r="DZ788" s="2"/>
      <c r="EA788" s="2"/>
      <c r="EI788" s="2"/>
      <c r="EJ788" s="2"/>
      <c r="EK788" s="2"/>
      <c r="ES788" s="2"/>
      <c r="ET788" s="2"/>
      <c r="EU788" s="2"/>
      <c r="FC788" s="2"/>
      <c r="FD788" s="2"/>
      <c r="FE788" s="2"/>
      <c r="FJ788" s="13"/>
      <c r="FK788" s="13"/>
      <c r="FL788" s="13"/>
      <c r="FM788" s="13"/>
      <c r="FN788" s="13"/>
      <c r="FO788" s="13"/>
      <c r="FP788" s="13"/>
      <c r="FQ788" s="13"/>
      <c r="FR788" s="13"/>
      <c r="FS788" s="13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O789" s="2"/>
      <c r="DP789" s="2"/>
      <c r="DQ789" s="2"/>
      <c r="DY789" s="2"/>
      <c r="DZ789" s="2"/>
      <c r="EA789" s="2"/>
      <c r="EI789" s="2"/>
      <c r="EJ789" s="2"/>
      <c r="EK789" s="2"/>
      <c r="ES789" s="2"/>
      <c r="ET789" s="2"/>
      <c r="EU789" s="2"/>
      <c r="FC789" s="2"/>
      <c r="FD789" s="2"/>
      <c r="FE789" s="2"/>
      <c r="FJ789" s="13"/>
      <c r="FK789" s="13"/>
      <c r="FL789" s="13"/>
      <c r="FM789" s="13"/>
      <c r="FN789" s="13"/>
      <c r="FO789" s="13"/>
      <c r="FP789" s="13"/>
      <c r="FQ789" s="13"/>
      <c r="FR789" s="13"/>
      <c r="FS789" s="13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O790" s="2"/>
      <c r="DP790" s="2"/>
      <c r="DQ790" s="2"/>
      <c r="DY790" s="2"/>
      <c r="DZ790" s="2"/>
      <c r="EA790" s="2"/>
      <c r="EI790" s="2"/>
      <c r="EJ790" s="2"/>
      <c r="EK790" s="2"/>
      <c r="ES790" s="2"/>
      <c r="ET790" s="2"/>
      <c r="EU790" s="2"/>
      <c r="FC790" s="2"/>
      <c r="FD790" s="2"/>
      <c r="FE790" s="2"/>
      <c r="FJ790" s="13"/>
      <c r="FK790" s="13"/>
      <c r="FL790" s="13"/>
      <c r="FM790" s="13"/>
      <c r="FN790" s="13"/>
      <c r="FO790" s="13"/>
      <c r="FP790" s="13"/>
      <c r="FQ790" s="13"/>
      <c r="FR790" s="13"/>
      <c r="FS790" s="13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O791" s="2"/>
      <c r="DP791" s="2"/>
      <c r="DQ791" s="2"/>
      <c r="DY791" s="2"/>
      <c r="DZ791" s="2"/>
      <c r="EA791" s="2"/>
      <c r="EI791" s="2"/>
      <c r="EJ791" s="2"/>
      <c r="EK791" s="2"/>
      <c r="ES791" s="2"/>
      <c r="ET791" s="2"/>
      <c r="EU791" s="2"/>
      <c r="FC791" s="2"/>
      <c r="FD791" s="2"/>
      <c r="FE791" s="2"/>
      <c r="FJ791" s="13"/>
      <c r="FK791" s="13"/>
      <c r="FL791" s="13"/>
      <c r="FM791" s="13"/>
      <c r="FN791" s="13"/>
      <c r="FO791" s="13"/>
      <c r="FP791" s="13"/>
      <c r="FQ791" s="13"/>
      <c r="FR791" s="13"/>
      <c r="FS791" s="13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O792" s="2"/>
      <c r="DP792" s="2"/>
      <c r="DQ792" s="2"/>
      <c r="DY792" s="2"/>
      <c r="DZ792" s="2"/>
      <c r="EA792" s="2"/>
      <c r="EI792" s="2"/>
      <c r="EJ792" s="2"/>
      <c r="EK792" s="2"/>
      <c r="ES792" s="2"/>
      <c r="ET792" s="2"/>
      <c r="EU792" s="2"/>
      <c r="FC792" s="2"/>
      <c r="FD792" s="2"/>
      <c r="FE792" s="2"/>
      <c r="FJ792" s="13"/>
      <c r="FK792" s="13"/>
      <c r="FL792" s="13"/>
      <c r="FM792" s="13"/>
      <c r="FN792" s="13"/>
      <c r="FO792" s="13"/>
      <c r="FP792" s="13"/>
      <c r="FQ792" s="13"/>
      <c r="FR792" s="13"/>
      <c r="FS792" s="13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O793" s="2"/>
      <c r="DP793" s="2"/>
      <c r="DQ793" s="2"/>
      <c r="DY793" s="2"/>
      <c r="DZ793" s="2"/>
      <c r="EA793" s="2"/>
      <c r="EI793" s="2"/>
      <c r="EJ793" s="2"/>
      <c r="EK793" s="2"/>
      <c r="ES793" s="2"/>
      <c r="ET793" s="2"/>
      <c r="EU793" s="2"/>
      <c r="FC793" s="2"/>
      <c r="FD793" s="2"/>
      <c r="FE793" s="2"/>
      <c r="FJ793" s="13"/>
      <c r="FK793" s="13"/>
      <c r="FL793" s="13"/>
      <c r="FM793" s="13"/>
      <c r="FN793" s="13"/>
      <c r="FO793" s="13"/>
      <c r="FP793" s="13"/>
      <c r="FQ793" s="13"/>
      <c r="FR793" s="13"/>
      <c r="FS793" s="13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O794" s="2"/>
      <c r="DP794" s="2"/>
      <c r="DQ794" s="2"/>
      <c r="DY794" s="2"/>
      <c r="DZ794" s="2"/>
      <c r="EA794" s="2"/>
      <c r="EI794" s="2"/>
      <c r="EJ794" s="2"/>
      <c r="EK794" s="2"/>
      <c r="ES794" s="2"/>
      <c r="ET794" s="2"/>
      <c r="EU794" s="2"/>
      <c r="FC794" s="2"/>
      <c r="FD794" s="2"/>
      <c r="FE794" s="2"/>
      <c r="FJ794" s="13"/>
      <c r="FK794" s="13"/>
      <c r="FL794" s="13"/>
      <c r="FM794" s="13"/>
      <c r="FN794" s="13"/>
      <c r="FO794" s="13"/>
      <c r="FP794" s="13"/>
      <c r="FQ794" s="13"/>
      <c r="FR794" s="13"/>
      <c r="FS794" s="13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O795" s="2"/>
      <c r="DP795" s="2"/>
      <c r="DQ795" s="2"/>
      <c r="DY795" s="2"/>
      <c r="DZ795" s="2"/>
      <c r="EA795" s="2"/>
      <c r="EI795" s="2"/>
      <c r="EJ795" s="2"/>
      <c r="EK795" s="2"/>
      <c r="ES795" s="2"/>
      <c r="ET795" s="2"/>
      <c r="EU795" s="2"/>
      <c r="FC795" s="2"/>
      <c r="FD795" s="2"/>
      <c r="FE795" s="2"/>
      <c r="FJ795" s="13"/>
      <c r="FK795" s="13"/>
      <c r="FL795" s="13"/>
      <c r="FM795" s="13"/>
      <c r="FN795" s="13"/>
      <c r="FO795" s="13"/>
      <c r="FP795" s="13"/>
      <c r="FQ795" s="13"/>
      <c r="FR795" s="13"/>
      <c r="FS795" s="13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O796" s="2"/>
      <c r="DP796" s="2"/>
      <c r="DQ796" s="2"/>
      <c r="DY796" s="2"/>
      <c r="DZ796" s="2"/>
      <c r="EA796" s="2"/>
      <c r="EI796" s="2"/>
      <c r="EJ796" s="2"/>
      <c r="EK796" s="2"/>
      <c r="ES796" s="2"/>
      <c r="ET796" s="2"/>
      <c r="EU796" s="2"/>
      <c r="FC796" s="2"/>
      <c r="FD796" s="2"/>
      <c r="FE796" s="2"/>
      <c r="FJ796" s="13"/>
      <c r="FK796" s="13"/>
      <c r="FL796" s="13"/>
      <c r="FM796" s="13"/>
      <c r="FN796" s="13"/>
      <c r="FO796" s="13"/>
      <c r="FP796" s="13"/>
      <c r="FQ796" s="13"/>
      <c r="FR796" s="13"/>
      <c r="FS796" s="13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O797" s="2"/>
      <c r="DP797" s="2"/>
      <c r="DQ797" s="2"/>
      <c r="DY797" s="2"/>
      <c r="DZ797" s="2"/>
      <c r="EA797" s="2"/>
      <c r="EI797" s="2"/>
      <c r="EJ797" s="2"/>
      <c r="EK797" s="2"/>
      <c r="ES797" s="2"/>
      <c r="ET797" s="2"/>
      <c r="EU797" s="2"/>
      <c r="FC797" s="2"/>
      <c r="FD797" s="2"/>
      <c r="FE797" s="2"/>
      <c r="FJ797" s="13"/>
      <c r="FK797" s="13"/>
      <c r="FL797" s="13"/>
      <c r="FM797" s="13"/>
      <c r="FN797" s="13"/>
      <c r="FO797" s="13"/>
      <c r="FP797" s="13"/>
      <c r="FQ797" s="13"/>
      <c r="FR797" s="13"/>
      <c r="FS797" s="13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O798" s="2"/>
      <c r="DP798" s="2"/>
      <c r="DQ798" s="2"/>
      <c r="DY798" s="2"/>
      <c r="DZ798" s="2"/>
      <c r="EA798" s="2"/>
      <c r="EI798" s="2"/>
      <c r="EJ798" s="2"/>
      <c r="EK798" s="2"/>
      <c r="ES798" s="2"/>
      <c r="ET798" s="2"/>
      <c r="EU798" s="2"/>
      <c r="FC798" s="2"/>
      <c r="FD798" s="2"/>
      <c r="FE798" s="2"/>
      <c r="FJ798" s="13"/>
      <c r="FK798" s="13"/>
      <c r="FL798" s="13"/>
      <c r="FM798" s="13"/>
      <c r="FN798" s="13"/>
      <c r="FO798" s="13"/>
      <c r="FP798" s="13"/>
      <c r="FQ798" s="13"/>
      <c r="FR798" s="13"/>
      <c r="FS798" s="13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O799" s="2"/>
      <c r="DP799" s="2"/>
      <c r="DQ799" s="2"/>
      <c r="DY799" s="2"/>
      <c r="DZ799" s="2"/>
      <c r="EA799" s="2"/>
      <c r="EI799" s="2"/>
      <c r="EJ799" s="2"/>
      <c r="EK799" s="2"/>
      <c r="ES799" s="2"/>
      <c r="ET799" s="2"/>
      <c r="EU799" s="2"/>
      <c r="FC799" s="2"/>
      <c r="FD799" s="2"/>
      <c r="FE799" s="2"/>
      <c r="FJ799" s="13"/>
      <c r="FK799" s="13"/>
      <c r="FL799" s="13"/>
      <c r="FM799" s="13"/>
      <c r="FN799" s="13"/>
      <c r="FO799" s="13"/>
      <c r="FP799" s="13"/>
      <c r="FQ799" s="13"/>
      <c r="FR799" s="13"/>
      <c r="FS799" s="13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O800" s="2"/>
      <c r="DP800" s="2"/>
      <c r="DQ800" s="2"/>
      <c r="DY800" s="2"/>
      <c r="DZ800" s="2"/>
      <c r="EA800" s="2"/>
      <c r="EI800" s="2"/>
      <c r="EJ800" s="2"/>
      <c r="EK800" s="2"/>
      <c r="ES800" s="2"/>
      <c r="ET800" s="2"/>
      <c r="EU800" s="2"/>
      <c r="FC800" s="2"/>
      <c r="FD800" s="2"/>
      <c r="FE800" s="2"/>
      <c r="FJ800" s="13"/>
      <c r="FK800" s="13"/>
      <c r="FL800" s="13"/>
      <c r="FM800" s="13"/>
      <c r="FN800" s="13"/>
      <c r="FO800" s="13"/>
      <c r="FP800" s="13"/>
      <c r="FQ800" s="13"/>
      <c r="FR800" s="13"/>
      <c r="FS800" s="13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O801" s="2"/>
      <c r="DP801" s="2"/>
      <c r="DQ801" s="2"/>
      <c r="DY801" s="2"/>
      <c r="DZ801" s="2"/>
      <c r="EA801" s="2"/>
      <c r="EI801" s="2"/>
      <c r="EJ801" s="2"/>
      <c r="EK801" s="2"/>
      <c r="ES801" s="2"/>
      <c r="ET801" s="2"/>
      <c r="EU801" s="2"/>
      <c r="FC801" s="2"/>
      <c r="FD801" s="2"/>
      <c r="FE801" s="2"/>
      <c r="FJ801" s="13"/>
      <c r="FK801" s="13"/>
      <c r="FL801" s="13"/>
      <c r="FM801" s="13"/>
      <c r="FN801" s="13"/>
      <c r="FO801" s="13"/>
      <c r="FP801" s="13"/>
      <c r="FQ801" s="13"/>
      <c r="FR801" s="13"/>
      <c r="FS801" s="13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O802" s="2"/>
      <c r="DP802" s="2"/>
      <c r="DQ802" s="2"/>
      <c r="DY802" s="2"/>
      <c r="DZ802" s="2"/>
      <c r="EA802" s="2"/>
      <c r="EI802" s="2"/>
      <c r="EJ802" s="2"/>
      <c r="EK802" s="2"/>
      <c r="ES802" s="2"/>
      <c r="ET802" s="2"/>
      <c r="EU802" s="2"/>
      <c r="FC802" s="2"/>
      <c r="FD802" s="2"/>
      <c r="FE802" s="2"/>
      <c r="FJ802" s="13"/>
      <c r="FK802" s="13"/>
      <c r="FL802" s="13"/>
      <c r="FM802" s="13"/>
      <c r="FN802" s="13"/>
      <c r="FO802" s="13"/>
      <c r="FP802" s="13"/>
      <c r="FQ802" s="13"/>
      <c r="FR802" s="13"/>
      <c r="FS802" s="13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O803" s="2"/>
      <c r="DP803" s="2"/>
      <c r="DQ803" s="2"/>
      <c r="DY803" s="2"/>
      <c r="DZ803" s="2"/>
      <c r="EA803" s="2"/>
      <c r="EI803" s="2"/>
      <c r="EJ803" s="2"/>
      <c r="EK803" s="2"/>
      <c r="ES803" s="2"/>
      <c r="ET803" s="2"/>
      <c r="EU803" s="2"/>
      <c r="FC803" s="2"/>
      <c r="FD803" s="2"/>
      <c r="FE803" s="2"/>
      <c r="FJ803" s="13"/>
      <c r="FK803" s="13"/>
      <c r="FL803" s="13"/>
      <c r="FM803" s="13"/>
      <c r="FN803" s="13"/>
      <c r="FO803" s="13"/>
      <c r="FP803" s="13"/>
      <c r="FQ803" s="13"/>
      <c r="FR803" s="13"/>
      <c r="FS803" s="13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O804" s="2"/>
      <c r="DP804" s="2"/>
      <c r="DQ804" s="2"/>
      <c r="DY804" s="2"/>
      <c r="DZ804" s="2"/>
      <c r="EA804" s="2"/>
      <c r="EI804" s="2"/>
      <c r="EJ804" s="2"/>
      <c r="EK804" s="2"/>
      <c r="ES804" s="2"/>
      <c r="ET804" s="2"/>
      <c r="EU804" s="2"/>
      <c r="FC804" s="2"/>
      <c r="FD804" s="2"/>
      <c r="FE804" s="2"/>
      <c r="FJ804" s="13"/>
      <c r="FK804" s="13"/>
      <c r="FL804" s="13"/>
      <c r="FM804" s="13"/>
      <c r="FN804" s="13"/>
      <c r="FO804" s="13"/>
      <c r="FP804" s="13"/>
      <c r="FQ804" s="13"/>
      <c r="FR804" s="13"/>
      <c r="FS804" s="13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O805" s="2"/>
      <c r="DP805" s="2"/>
      <c r="DQ805" s="2"/>
      <c r="DY805" s="2"/>
      <c r="DZ805" s="2"/>
      <c r="EA805" s="2"/>
      <c r="EI805" s="2"/>
      <c r="EJ805" s="2"/>
      <c r="EK805" s="2"/>
      <c r="ES805" s="2"/>
      <c r="ET805" s="2"/>
      <c r="EU805" s="2"/>
      <c r="FC805" s="2"/>
      <c r="FD805" s="2"/>
      <c r="FE805" s="2"/>
      <c r="FJ805" s="13"/>
      <c r="FK805" s="13"/>
      <c r="FL805" s="13"/>
      <c r="FM805" s="13"/>
      <c r="FN805" s="13"/>
      <c r="FO805" s="13"/>
      <c r="FP805" s="13"/>
      <c r="FQ805" s="13"/>
      <c r="FR805" s="13"/>
      <c r="FS805" s="13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O806" s="2"/>
      <c r="DP806" s="2"/>
      <c r="DQ806" s="2"/>
      <c r="DY806" s="2"/>
      <c r="DZ806" s="2"/>
      <c r="EA806" s="2"/>
      <c r="EI806" s="2"/>
      <c r="EJ806" s="2"/>
      <c r="EK806" s="2"/>
      <c r="ES806" s="2"/>
      <c r="ET806" s="2"/>
      <c r="EU806" s="2"/>
      <c r="FC806" s="2"/>
      <c r="FD806" s="2"/>
      <c r="FE806" s="2"/>
      <c r="FJ806" s="13"/>
      <c r="FK806" s="13"/>
      <c r="FL806" s="13"/>
      <c r="FM806" s="13"/>
      <c r="FN806" s="13"/>
      <c r="FO806" s="13"/>
      <c r="FP806" s="13"/>
      <c r="FQ806" s="13"/>
      <c r="FR806" s="13"/>
      <c r="FS806" s="13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O807" s="2"/>
      <c r="DP807" s="2"/>
      <c r="DQ807" s="2"/>
      <c r="DY807" s="2"/>
      <c r="DZ807" s="2"/>
      <c r="EA807" s="2"/>
      <c r="EI807" s="2"/>
      <c r="EJ807" s="2"/>
      <c r="EK807" s="2"/>
      <c r="ES807" s="2"/>
      <c r="ET807" s="2"/>
      <c r="EU807" s="2"/>
      <c r="FC807" s="2"/>
      <c r="FD807" s="2"/>
      <c r="FE807" s="2"/>
      <c r="FJ807" s="13"/>
      <c r="FK807" s="13"/>
      <c r="FL807" s="13"/>
      <c r="FM807" s="13"/>
      <c r="FN807" s="13"/>
      <c r="FO807" s="13"/>
      <c r="FP807" s="13"/>
      <c r="FQ807" s="13"/>
      <c r="FR807" s="13"/>
      <c r="FS807" s="13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O808" s="2"/>
      <c r="DP808" s="2"/>
      <c r="DQ808" s="2"/>
      <c r="DY808" s="2"/>
      <c r="DZ808" s="2"/>
      <c r="EA808" s="2"/>
      <c r="EI808" s="2"/>
      <c r="EJ808" s="2"/>
      <c r="EK808" s="2"/>
      <c r="ES808" s="2"/>
      <c r="ET808" s="2"/>
      <c r="EU808" s="2"/>
      <c r="FC808" s="2"/>
      <c r="FD808" s="2"/>
      <c r="FE808" s="2"/>
      <c r="FJ808" s="13"/>
      <c r="FK808" s="13"/>
      <c r="FL808" s="13"/>
      <c r="FM808" s="13"/>
      <c r="FN808" s="13"/>
      <c r="FO808" s="13"/>
      <c r="FP808" s="13"/>
      <c r="FQ808" s="13"/>
      <c r="FR808" s="13"/>
      <c r="FS808" s="13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O809" s="2"/>
      <c r="DP809" s="2"/>
      <c r="DQ809" s="2"/>
      <c r="DY809" s="2"/>
      <c r="DZ809" s="2"/>
      <c r="EA809" s="2"/>
      <c r="EI809" s="2"/>
      <c r="EJ809" s="2"/>
      <c r="EK809" s="2"/>
      <c r="ES809" s="2"/>
      <c r="ET809" s="2"/>
      <c r="EU809" s="2"/>
      <c r="FC809" s="2"/>
      <c r="FD809" s="2"/>
      <c r="FE809" s="2"/>
      <c r="FJ809" s="13"/>
      <c r="FK809" s="13"/>
      <c r="FL809" s="13"/>
      <c r="FM809" s="13"/>
      <c r="FN809" s="13"/>
      <c r="FO809" s="13"/>
      <c r="FP809" s="13"/>
      <c r="FQ809" s="13"/>
      <c r="FR809" s="13"/>
      <c r="FS809" s="13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O810" s="2"/>
      <c r="DP810" s="2"/>
      <c r="DQ810" s="2"/>
      <c r="DY810" s="2"/>
      <c r="DZ810" s="2"/>
      <c r="EA810" s="2"/>
      <c r="EI810" s="2"/>
      <c r="EJ810" s="2"/>
      <c r="EK810" s="2"/>
      <c r="ES810" s="2"/>
      <c r="ET810" s="2"/>
      <c r="EU810" s="2"/>
      <c r="FC810" s="2"/>
      <c r="FD810" s="2"/>
      <c r="FE810" s="2"/>
      <c r="FJ810" s="13"/>
      <c r="FK810" s="13"/>
      <c r="FL810" s="13"/>
      <c r="FM810" s="13"/>
      <c r="FN810" s="13"/>
      <c r="FO810" s="13"/>
      <c r="FP810" s="13"/>
      <c r="FQ810" s="13"/>
      <c r="FR810" s="13"/>
      <c r="FS810" s="13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O811" s="2"/>
      <c r="DP811" s="2"/>
      <c r="DQ811" s="2"/>
      <c r="DY811" s="2"/>
      <c r="DZ811" s="2"/>
      <c r="EA811" s="2"/>
      <c r="EI811" s="2"/>
      <c r="EJ811" s="2"/>
      <c r="EK811" s="2"/>
      <c r="ES811" s="2"/>
      <c r="ET811" s="2"/>
      <c r="EU811" s="2"/>
      <c r="FC811" s="2"/>
      <c r="FD811" s="2"/>
      <c r="FE811" s="2"/>
      <c r="FJ811" s="13"/>
      <c r="FK811" s="13"/>
      <c r="FL811" s="13"/>
      <c r="FM811" s="13"/>
      <c r="FN811" s="13"/>
      <c r="FO811" s="13"/>
      <c r="FP811" s="13"/>
      <c r="FQ811" s="13"/>
      <c r="FR811" s="13"/>
      <c r="FS811" s="13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O812" s="2"/>
      <c r="DP812" s="2"/>
      <c r="DQ812" s="2"/>
      <c r="DY812" s="2"/>
      <c r="DZ812" s="2"/>
      <c r="EA812" s="2"/>
      <c r="EI812" s="2"/>
      <c r="EJ812" s="2"/>
      <c r="EK812" s="2"/>
      <c r="ES812" s="2"/>
      <c r="ET812" s="2"/>
      <c r="EU812" s="2"/>
      <c r="FC812" s="2"/>
      <c r="FD812" s="2"/>
      <c r="FE812" s="2"/>
      <c r="FJ812" s="13"/>
      <c r="FK812" s="13"/>
      <c r="FL812" s="13"/>
      <c r="FM812" s="13"/>
      <c r="FN812" s="13"/>
      <c r="FO812" s="13"/>
      <c r="FP812" s="13"/>
      <c r="FQ812" s="13"/>
      <c r="FR812" s="13"/>
      <c r="FS812" s="13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O813" s="2"/>
      <c r="DP813" s="2"/>
      <c r="DQ813" s="2"/>
      <c r="DY813" s="2"/>
      <c r="DZ813" s="2"/>
      <c r="EA813" s="2"/>
      <c r="EI813" s="2"/>
      <c r="EJ813" s="2"/>
      <c r="EK813" s="2"/>
      <c r="ES813" s="2"/>
      <c r="ET813" s="2"/>
      <c r="EU813" s="2"/>
      <c r="FC813" s="2"/>
      <c r="FD813" s="2"/>
      <c r="FE813" s="2"/>
      <c r="FJ813" s="13"/>
      <c r="FK813" s="13"/>
      <c r="FL813" s="13"/>
      <c r="FM813" s="13"/>
      <c r="FN813" s="13"/>
      <c r="FO813" s="13"/>
      <c r="FP813" s="13"/>
      <c r="FQ813" s="13"/>
      <c r="FR813" s="13"/>
      <c r="FS813" s="13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O814" s="2"/>
      <c r="DP814" s="2"/>
      <c r="DQ814" s="2"/>
      <c r="DY814" s="2"/>
      <c r="DZ814" s="2"/>
      <c r="EA814" s="2"/>
      <c r="EI814" s="2"/>
      <c r="EJ814" s="2"/>
      <c r="EK814" s="2"/>
      <c r="ES814" s="2"/>
      <c r="ET814" s="2"/>
      <c r="EU814" s="2"/>
      <c r="FC814" s="2"/>
      <c r="FD814" s="2"/>
      <c r="FE814" s="2"/>
      <c r="FJ814" s="13"/>
      <c r="FK814" s="13"/>
      <c r="FL814" s="13"/>
      <c r="FM814" s="13"/>
      <c r="FN814" s="13"/>
      <c r="FO814" s="13"/>
      <c r="FP814" s="13"/>
      <c r="FQ814" s="13"/>
      <c r="FR814" s="13"/>
      <c r="FS814" s="13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O815" s="2"/>
      <c r="DP815" s="2"/>
      <c r="DQ815" s="2"/>
      <c r="DY815" s="2"/>
      <c r="DZ815" s="2"/>
      <c r="EA815" s="2"/>
      <c r="EI815" s="2"/>
      <c r="EJ815" s="2"/>
      <c r="EK815" s="2"/>
      <c r="ES815" s="2"/>
      <c r="ET815" s="2"/>
      <c r="EU815" s="2"/>
      <c r="FC815" s="2"/>
      <c r="FD815" s="2"/>
      <c r="FE815" s="2"/>
      <c r="FJ815" s="13"/>
      <c r="FK815" s="13"/>
      <c r="FL815" s="13"/>
      <c r="FM815" s="13"/>
      <c r="FN815" s="13"/>
      <c r="FO815" s="13"/>
      <c r="FP815" s="13"/>
      <c r="FQ815" s="13"/>
      <c r="FR815" s="13"/>
      <c r="FS815" s="13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O816" s="2"/>
      <c r="DP816" s="2"/>
      <c r="DQ816" s="2"/>
      <c r="DY816" s="2"/>
      <c r="DZ816" s="2"/>
      <c r="EA816" s="2"/>
      <c r="EI816" s="2"/>
      <c r="EJ816" s="2"/>
      <c r="EK816" s="2"/>
      <c r="ES816" s="2"/>
      <c r="ET816" s="2"/>
      <c r="EU816" s="2"/>
      <c r="FC816" s="2"/>
      <c r="FD816" s="2"/>
      <c r="FE816" s="2"/>
      <c r="FJ816" s="13"/>
      <c r="FK816" s="13"/>
      <c r="FL816" s="13"/>
      <c r="FM816" s="13"/>
      <c r="FN816" s="13"/>
      <c r="FO816" s="13"/>
      <c r="FP816" s="13"/>
      <c r="FQ816" s="13"/>
      <c r="FR816" s="13"/>
      <c r="FS816" s="13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O817" s="2"/>
      <c r="DP817" s="2"/>
      <c r="DQ817" s="2"/>
      <c r="DY817" s="2"/>
      <c r="DZ817" s="2"/>
      <c r="EA817" s="2"/>
      <c r="EI817" s="2"/>
      <c r="EJ817" s="2"/>
      <c r="EK817" s="2"/>
      <c r="ES817" s="2"/>
      <c r="ET817" s="2"/>
      <c r="EU817" s="2"/>
      <c r="FC817" s="2"/>
      <c r="FD817" s="2"/>
      <c r="FE817" s="2"/>
      <c r="FJ817" s="13"/>
      <c r="FK817" s="13"/>
      <c r="FL817" s="13"/>
      <c r="FM817" s="13"/>
      <c r="FN817" s="13"/>
      <c r="FO817" s="13"/>
      <c r="FP817" s="13"/>
      <c r="FQ817" s="13"/>
      <c r="FR817" s="13"/>
      <c r="FS817" s="13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O818" s="2"/>
      <c r="DP818" s="2"/>
      <c r="DQ818" s="2"/>
      <c r="DY818" s="2"/>
      <c r="DZ818" s="2"/>
      <c r="EA818" s="2"/>
      <c r="EI818" s="2"/>
      <c r="EJ818" s="2"/>
      <c r="EK818" s="2"/>
      <c r="ES818" s="2"/>
      <c r="ET818" s="2"/>
      <c r="EU818" s="2"/>
      <c r="FC818" s="2"/>
      <c r="FD818" s="2"/>
      <c r="FE818" s="2"/>
      <c r="FJ818" s="13"/>
      <c r="FK818" s="13"/>
      <c r="FL818" s="13"/>
      <c r="FM818" s="13"/>
      <c r="FN818" s="13"/>
      <c r="FO818" s="13"/>
      <c r="FP818" s="13"/>
      <c r="FQ818" s="13"/>
      <c r="FR818" s="13"/>
      <c r="FS818" s="13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O819" s="2"/>
      <c r="DP819" s="2"/>
      <c r="DQ819" s="2"/>
      <c r="DY819" s="2"/>
      <c r="DZ819" s="2"/>
      <c r="EA819" s="2"/>
      <c r="EI819" s="2"/>
      <c r="EJ819" s="2"/>
      <c r="EK819" s="2"/>
      <c r="ES819" s="2"/>
      <c r="ET819" s="2"/>
      <c r="EU819" s="2"/>
      <c r="FC819" s="2"/>
      <c r="FD819" s="2"/>
      <c r="FE819" s="2"/>
      <c r="FJ819" s="13"/>
      <c r="FK819" s="13"/>
      <c r="FL819" s="13"/>
      <c r="FM819" s="13"/>
      <c r="FN819" s="13"/>
      <c r="FO819" s="13"/>
      <c r="FP819" s="13"/>
      <c r="FQ819" s="13"/>
      <c r="FR819" s="13"/>
      <c r="FS819" s="13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O820" s="2"/>
      <c r="DP820" s="2"/>
      <c r="DQ820" s="2"/>
      <c r="DY820" s="2"/>
      <c r="DZ820" s="2"/>
      <c r="EA820" s="2"/>
      <c r="EI820" s="2"/>
      <c r="EJ820" s="2"/>
      <c r="EK820" s="2"/>
      <c r="ES820" s="2"/>
      <c r="ET820" s="2"/>
      <c r="EU820" s="2"/>
      <c r="FC820" s="2"/>
      <c r="FD820" s="2"/>
      <c r="FE820" s="2"/>
      <c r="FJ820" s="13"/>
      <c r="FK820" s="13"/>
      <c r="FL820" s="13"/>
      <c r="FM820" s="13"/>
      <c r="FN820" s="13"/>
      <c r="FO820" s="13"/>
      <c r="FP820" s="13"/>
      <c r="FQ820" s="13"/>
      <c r="FR820" s="13"/>
      <c r="FS820" s="13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O821" s="2"/>
      <c r="DP821" s="2"/>
      <c r="DQ821" s="2"/>
      <c r="DY821" s="2"/>
      <c r="DZ821" s="2"/>
      <c r="EA821" s="2"/>
      <c r="EI821" s="2"/>
      <c r="EJ821" s="2"/>
      <c r="EK821" s="2"/>
      <c r="ES821" s="2"/>
      <c r="ET821" s="2"/>
      <c r="EU821" s="2"/>
      <c r="FC821" s="2"/>
      <c r="FD821" s="2"/>
      <c r="FE821" s="2"/>
      <c r="FJ821" s="13"/>
      <c r="FK821" s="13"/>
      <c r="FL821" s="13"/>
      <c r="FM821" s="13"/>
      <c r="FN821" s="13"/>
      <c r="FO821" s="13"/>
      <c r="FP821" s="13"/>
      <c r="FQ821" s="13"/>
      <c r="FR821" s="13"/>
      <c r="FS821" s="13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O822" s="2"/>
      <c r="DP822" s="2"/>
      <c r="DQ822" s="2"/>
      <c r="DY822" s="2"/>
      <c r="DZ822" s="2"/>
      <c r="EA822" s="2"/>
      <c r="EI822" s="2"/>
      <c r="EJ822" s="2"/>
      <c r="EK822" s="2"/>
      <c r="ES822" s="2"/>
      <c r="ET822" s="2"/>
      <c r="EU822" s="2"/>
      <c r="FC822" s="2"/>
      <c r="FD822" s="2"/>
      <c r="FE822" s="2"/>
      <c r="FJ822" s="13"/>
      <c r="FK822" s="13"/>
      <c r="FL822" s="13"/>
      <c r="FM822" s="13"/>
      <c r="FN822" s="13"/>
      <c r="FO822" s="13"/>
      <c r="FP822" s="13"/>
      <c r="FQ822" s="13"/>
      <c r="FR822" s="13"/>
      <c r="FS822" s="13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O823" s="2"/>
      <c r="DP823" s="2"/>
      <c r="DQ823" s="2"/>
      <c r="DY823" s="2"/>
      <c r="DZ823" s="2"/>
      <c r="EA823" s="2"/>
      <c r="EI823" s="2"/>
      <c r="EJ823" s="2"/>
      <c r="EK823" s="2"/>
      <c r="ES823" s="2"/>
      <c r="ET823" s="2"/>
      <c r="EU823" s="2"/>
      <c r="FC823" s="2"/>
      <c r="FD823" s="2"/>
      <c r="FE823" s="2"/>
      <c r="FJ823" s="13"/>
      <c r="FK823" s="13"/>
      <c r="FL823" s="13"/>
      <c r="FM823" s="13"/>
      <c r="FN823" s="13"/>
      <c r="FO823" s="13"/>
      <c r="FP823" s="13"/>
      <c r="FQ823" s="13"/>
      <c r="FR823" s="13"/>
      <c r="FS823" s="13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O824" s="2"/>
      <c r="DP824" s="2"/>
      <c r="DQ824" s="2"/>
      <c r="DY824" s="2"/>
      <c r="DZ824" s="2"/>
      <c r="EA824" s="2"/>
      <c r="EI824" s="2"/>
      <c r="EJ824" s="2"/>
      <c r="EK824" s="2"/>
      <c r="ES824" s="2"/>
      <c r="ET824" s="2"/>
      <c r="EU824" s="2"/>
      <c r="FC824" s="2"/>
      <c r="FD824" s="2"/>
      <c r="FE824" s="2"/>
      <c r="FJ824" s="13"/>
      <c r="FK824" s="13"/>
      <c r="FL824" s="13"/>
      <c r="FM824" s="13"/>
      <c r="FN824" s="13"/>
      <c r="FO824" s="13"/>
      <c r="FP824" s="13"/>
      <c r="FQ824" s="13"/>
      <c r="FR824" s="13"/>
      <c r="FS824" s="13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O825" s="2"/>
      <c r="DP825" s="2"/>
      <c r="DQ825" s="2"/>
      <c r="DY825" s="2"/>
      <c r="DZ825" s="2"/>
      <c r="EA825" s="2"/>
      <c r="EI825" s="2"/>
      <c r="EJ825" s="2"/>
      <c r="EK825" s="2"/>
      <c r="ES825" s="2"/>
      <c r="ET825" s="2"/>
      <c r="EU825" s="2"/>
      <c r="FC825" s="2"/>
      <c r="FD825" s="2"/>
      <c r="FE825" s="2"/>
      <c r="FJ825" s="13"/>
      <c r="FK825" s="13"/>
      <c r="FL825" s="13"/>
      <c r="FM825" s="13"/>
      <c r="FN825" s="13"/>
      <c r="FO825" s="13"/>
      <c r="FP825" s="13"/>
      <c r="FQ825" s="13"/>
      <c r="FR825" s="13"/>
      <c r="FS825" s="13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O826" s="2"/>
      <c r="DP826" s="2"/>
      <c r="DQ826" s="2"/>
      <c r="DY826" s="2"/>
      <c r="DZ826" s="2"/>
      <c r="EA826" s="2"/>
      <c r="EI826" s="2"/>
      <c r="EJ826" s="2"/>
      <c r="EK826" s="2"/>
      <c r="ES826" s="2"/>
      <c r="ET826" s="2"/>
      <c r="EU826" s="2"/>
      <c r="FC826" s="2"/>
      <c r="FD826" s="2"/>
      <c r="FE826" s="2"/>
      <c r="FJ826" s="13"/>
      <c r="FK826" s="13"/>
      <c r="FL826" s="13"/>
      <c r="FM826" s="13"/>
      <c r="FN826" s="13"/>
      <c r="FO826" s="13"/>
      <c r="FP826" s="13"/>
      <c r="FQ826" s="13"/>
      <c r="FR826" s="13"/>
      <c r="FS826" s="13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O827" s="2"/>
      <c r="DP827" s="2"/>
      <c r="DQ827" s="2"/>
      <c r="DY827" s="2"/>
      <c r="DZ827" s="2"/>
      <c r="EA827" s="2"/>
      <c r="EI827" s="2"/>
      <c r="EJ827" s="2"/>
      <c r="EK827" s="2"/>
      <c r="ES827" s="2"/>
      <c r="ET827" s="2"/>
      <c r="EU827" s="2"/>
      <c r="FC827" s="2"/>
      <c r="FD827" s="2"/>
      <c r="FE827" s="2"/>
      <c r="FJ827" s="13"/>
      <c r="FK827" s="13"/>
      <c r="FL827" s="13"/>
      <c r="FM827" s="13"/>
      <c r="FN827" s="13"/>
      <c r="FO827" s="13"/>
      <c r="FP827" s="13"/>
      <c r="FQ827" s="13"/>
      <c r="FR827" s="13"/>
      <c r="FS827" s="13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O828" s="2"/>
      <c r="DP828" s="2"/>
      <c r="DQ828" s="2"/>
      <c r="DY828" s="2"/>
      <c r="DZ828" s="2"/>
      <c r="EA828" s="2"/>
      <c r="EI828" s="2"/>
      <c r="EJ828" s="2"/>
      <c r="EK828" s="2"/>
      <c r="ES828" s="2"/>
      <c r="ET828" s="2"/>
      <c r="EU828" s="2"/>
      <c r="FC828" s="2"/>
      <c r="FD828" s="2"/>
      <c r="FE828" s="2"/>
      <c r="FJ828" s="13"/>
      <c r="FK828" s="13"/>
      <c r="FL828" s="13"/>
      <c r="FM828" s="13"/>
      <c r="FN828" s="13"/>
      <c r="FO828" s="13"/>
      <c r="FP828" s="13"/>
      <c r="FQ828" s="13"/>
      <c r="FR828" s="13"/>
      <c r="FS828" s="13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O829" s="2"/>
      <c r="DP829" s="2"/>
      <c r="DQ829" s="2"/>
      <c r="DY829" s="2"/>
      <c r="DZ829" s="2"/>
      <c r="EA829" s="2"/>
      <c r="EI829" s="2"/>
      <c r="EJ829" s="2"/>
      <c r="EK829" s="2"/>
      <c r="ES829" s="2"/>
      <c r="ET829" s="2"/>
      <c r="EU829" s="2"/>
      <c r="FC829" s="2"/>
      <c r="FD829" s="2"/>
      <c r="FE829" s="2"/>
      <c r="FJ829" s="13"/>
      <c r="FK829" s="13"/>
      <c r="FL829" s="13"/>
      <c r="FM829" s="13"/>
      <c r="FN829" s="13"/>
      <c r="FO829" s="13"/>
      <c r="FP829" s="13"/>
      <c r="FQ829" s="13"/>
      <c r="FR829" s="13"/>
      <c r="FS829" s="13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O830" s="2"/>
      <c r="DP830" s="2"/>
      <c r="DQ830" s="2"/>
      <c r="DY830" s="2"/>
      <c r="DZ830" s="2"/>
      <c r="EA830" s="2"/>
      <c r="EI830" s="2"/>
      <c r="EJ830" s="2"/>
      <c r="EK830" s="2"/>
      <c r="ES830" s="2"/>
      <c r="ET830" s="2"/>
      <c r="EU830" s="2"/>
      <c r="FC830" s="2"/>
      <c r="FD830" s="2"/>
      <c r="FE830" s="2"/>
      <c r="FJ830" s="13"/>
      <c r="FK830" s="13"/>
      <c r="FL830" s="13"/>
      <c r="FM830" s="13"/>
      <c r="FN830" s="13"/>
      <c r="FO830" s="13"/>
      <c r="FP830" s="13"/>
      <c r="FQ830" s="13"/>
      <c r="FR830" s="13"/>
      <c r="FS830" s="13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O831" s="2"/>
      <c r="DP831" s="2"/>
      <c r="DQ831" s="2"/>
      <c r="DY831" s="2"/>
      <c r="DZ831" s="2"/>
      <c r="EA831" s="2"/>
      <c r="EI831" s="2"/>
      <c r="EJ831" s="2"/>
      <c r="EK831" s="2"/>
      <c r="ES831" s="2"/>
      <c r="ET831" s="2"/>
      <c r="EU831" s="2"/>
      <c r="FC831" s="2"/>
      <c r="FD831" s="2"/>
      <c r="FE831" s="2"/>
      <c r="FJ831" s="13"/>
      <c r="FK831" s="13"/>
      <c r="FL831" s="13"/>
      <c r="FM831" s="13"/>
      <c r="FN831" s="13"/>
      <c r="FO831" s="13"/>
      <c r="FP831" s="13"/>
      <c r="FQ831" s="13"/>
      <c r="FR831" s="13"/>
      <c r="FS831" s="13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O832" s="2"/>
      <c r="DP832" s="2"/>
      <c r="DQ832" s="2"/>
      <c r="DY832" s="2"/>
      <c r="DZ832" s="2"/>
      <c r="EA832" s="2"/>
      <c r="EI832" s="2"/>
      <c r="EJ832" s="2"/>
      <c r="EK832" s="2"/>
      <c r="ES832" s="2"/>
      <c r="ET832" s="2"/>
      <c r="EU832" s="2"/>
      <c r="FC832" s="2"/>
      <c r="FD832" s="2"/>
      <c r="FE832" s="2"/>
      <c r="FJ832" s="13"/>
      <c r="FK832" s="13"/>
      <c r="FL832" s="13"/>
      <c r="FM832" s="13"/>
      <c r="FN832" s="13"/>
      <c r="FO832" s="13"/>
      <c r="FP832" s="13"/>
      <c r="FQ832" s="13"/>
      <c r="FR832" s="13"/>
      <c r="FS832" s="13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O833" s="2"/>
      <c r="DP833" s="2"/>
      <c r="DQ833" s="2"/>
      <c r="DY833" s="2"/>
      <c r="DZ833" s="2"/>
      <c r="EA833" s="2"/>
      <c r="EI833" s="2"/>
      <c r="EJ833" s="2"/>
      <c r="EK833" s="2"/>
      <c r="ES833" s="2"/>
      <c r="ET833" s="2"/>
      <c r="EU833" s="2"/>
      <c r="FC833" s="2"/>
      <c r="FD833" s="2"/>
      <c r="FE833" s="2"/>
      <c r="FJ833" s="13"/>
      <c r="FK833" s="13"/>
      <c r="FL833" s="13"/>
      <c r="FM833" s="13"/>
      <c r="FN833" s="13"/>
      <c r="FO833" s="13"/>
      <c r="FP833" s="13"/>
      <c r="FQ833" s="13"/>
      <c r="FR833" s="13"/>
      <c r="FS833" s="13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O834" s="2"/>
      <c r="DP834" s="2"/>
      <c r="DQ834" s="2"/>
      <c r="DY834" s="2"/>
      <c r="DZ834" s="2"/>
      <c r="EA834" s="2"/>
      <c r="EI834" s="2"/>
      <c r="EJ834" s="2"/>
      <c r="EK834" s="2"/>
      <c r="ES834" s="2"/>
      <c r="ET834" s="2"/>
      <c r="EU834" s="2"/>
      <c r="FC834" s="2"/>
      <c r="FD834" s="2"/>
      <c r="FE834" s="2"/>
      <c r="FJ834" s="13"/>
      <c r="FK834" s="13"/>
      <c r="FL834" s="13"/>
      <c r="FM834" s="13"/>
      <c r="FN834" s="13"/>
      <c r="FO834" s="13"/>
      <c r="FP834" s="13"/>
      <c r="FQ834" s="13"/>
      <c r="FR834" s="13"/>
      <c r="FS834" s="13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O835" s="2"/>
      <c r="DP835" s="2"/>
      <c r="DQ835" s="2"/>
      <c r="DY835" s="2"/>
      <c r="DZ835" s="2"/>
      <c r="EA835" s="2"/>
      <c r="EI835" s="2"/>
      <c r="EJ835" s="2"/>
      <c r="EK835" s="2"/>
      <c r="ES835" s="2"/>
      <c r="ET835" s="2"/>
      <c r="EU835" s="2"/>
      <c r="FC835" s="2"/>
      <c r="FD835" s="2"/>
      <c r="FE835" s="2"/>
      <c r="FJ835" s="13"/>
      <c r="FK835" s="13"/>
      <c r="FL835" s="13"/>
      <c r="FM835" s="13"/>
      <c r="FN835" s="13"/>
      <c r="FO835" s="13"/>
      <c r="FP835" s="13"/>
      <c r="FQ835" s="13"/>
      <c r="FR835" s="13"/>
      <c r="FS835" s="13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O836" s="2"/>
      <c r="DP836" s="2"/>
      <c r="DQ836" s="2"/>
      <c r="DY836" s="2"/>
      <c r="DZ836" s="2"/>
      <c r="EA836" s="2"/>
      <c r="EI836" s="2"/>
      <c r="EJ836" s="2"/>
      <c r="EK836" s="2"/>
      <c r="ES836" s="2"/>
      <c r="ET836" s="2"/>
      <c r="EU836" s="2"/>
      <c r="FC836" s="2"/>
      <c r="FD836" s="2"/>
      <c r="FE836" s="2"/>
      <c r="FJ836" s="13"/>
      <c r="FK836" s="13"/>
      <c r="FL836" s="13"/>
      <c r="FM836" s="13"/>
      <c r="FN836" s="13"/>
      <c r="FO836" s="13"/>
      <c r="FP836" s="13"/>
      <c r="FQ836" s="13"/>
      <c r="FR836" s="13"/>
      <c r="FS836" s="13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O837" s="2"/>
      <c r="DP837" s="2"/>
      <c r="DQ837" s="2"/>
      <c r="DY837" s="2"/>
      <c r="DZ837" s="2"/>
      <c r="EA837" s="2"/>
      <c r="EI837" s="2"/>
      <c r="EJ837" s="2"/>
      <c r="EK837" s="2"/>
      <c r="ES837" s="2"/>
      <c r="ET837" s="2"/>
      <c r="EU837" s="2"/>
      <c r="FC837" s="2"/>
      <c r="FD837" s="2"/>
      <c r="FE837" s="2"/>
      <c r="FJ837" s="13"/>
      <c r="FK837" s="13"/>
      <c r="FL837" s="13"/>
      <c r="FM837" s="13"/>
      <c r="FN837" s="13"/>
      <c r="FO837" s="13"/>
      <c r="FP837" s="13"/>
      <c r="FQ837" s="13"/>
      <c r="FR837" s="13"/>
      <c r="FS837" s="13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O838" s="2"/>
      <c r="DP838" s="2"/>
      <c r="DQ838" s="2"/>
      <c r="DY838" s="2"/>
      <c r="DZ838" s="2"/>
      <c r="EA838" s="2"/>
      <c r="EI838" s="2"/>
      <c r="EJ838" s="2"/>
      <c r="EK838" s="2"/>
      <c r="ES838" s="2"/>
      <c r="ET838" s="2"/>
      <c r="EU838" s="2"/>
      <c r="FC838" s="2"/>
      <c r="FD838" s="2"/>
      <c r="FE838" s="2"/>
      <c r="FJ838" s="13"/>
      <c r="FK838" s="13"/>
      <c r="FL838" s="13"/>
      <c r="FM838" s="13"/>
      <c r="FN838" s="13"/>
      <c r="FO838" s="13"/>
      <c r="FP838" s="13"/>
      <c r="FQ838" s="13"/>
      <c r="FR838" s="13"/>
      <c r="FS838" s="13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O839" s="2"/>
      <c r="DP839" s="2"/>
      <c r="DQ839" s="2"/>
      <c r="DY839" s="2"/>
      <c r="DZ839" s="2"/>
      <c r="EA839" s="2"/>
      <c r="EI839" s="2"/>
      <c r="EJ839" s="2"/>
      <c r="EK839" s="2"/>
      <c r="ES839" s="2"/>
      <c r="ET839" s="2"/>
      <c r="EU839" s="2"/>
      <c r="FC839" s="2"/>
      <c r="FD839" s="2"/>
      <c r="FE839" s="2"/>
      <c r="FJ839" s="13"/>
      <c r="FK839" s="13"/>
      <c r="FL839" s="13"/>
      <c r="FM839" s="13"/>
      <c r="FN839" s="13"/>
      <c r="FO839" s="13"/>
      <c r="FP839" s="13"/>
      <c r="FQ839" s="13"/>
      <c r="FR839" s="13"/>
      <c r="FS839" s="13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O840" s="2"/>
      <c r="DP840" s="2"/>
      <c r="DQ840" s="2"/>
      <c r="DY840" s="2"/>
      <c r="DZ840" s="2"/>
      <c r="EA840" s="2"/>
      <c r="EI840" s="2"/>
      <c r="EJ840" s="2"/>
      <c r="EK840" s="2"/>
      <c r="ES840" s="2"/>
      <c r="ET840" s="2"/>
      <c r="EU840" s="2"/>
      <c r="FC840" s="2"/>
      <c r="FD840" s="2"/>
      <c r="FE840" s="2"/>
      <c r="FJ840" s="13"/>
      <c r="FK840" s="13"/>
      <c r="FL840" s="13"/>
      <c r="FM840" s="13"/>
      <c r="FN840" s="13"/>
      <c r="FO840" s="13"/>
      <c r="FP840" s="13"/>
      <c r="FQ840" s="13"/>
      <c r="FR840" s="13"/>
      <c r="FS840" s="13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O841" s="2"/>
      <c r="DP841" s="2"/>
      <c r="DQ841" s="2"/>
      <c r="DY841" s="2"/>
      <c r="DZ841" s="2"/>
      <c r="EA841" s="2"/>
      <c r="EI841" s="2"/>
      <c r="EJ841" s="2"/>
      <c r="EK841" s="2"/>
      <c r="ES841" s="2"/>
      <c r="ET841" s="2"/>
      <c r="EU841" s="2"/>
      <c r="FC841" s="2"/>
      <c r="FD841" s="2"/>
      <c r="FE841" s="2"/>
      <c r="FJ841" s="13"/>
      <c r="FK841" s="13"/>
      <c r="FL841" s="13"/>
      <c r="FM841" s="13"/>
      <c r="FN841" s="13"/>
      <c r="FO841" s="13"/>
      <c r="FP841" s="13"/>
      <c r="FQ841" s="13"/>
      <c r="FR841" s="13"/>
      <c r="FS841" s="13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O842" s="2"/>
      <c r="DP842" s="2"/>
      <c r="DQ842" s="2"/>
      <c r="DY842" s="2"/>
      <c r="DZ842" s="2"/>
      <c r="EA842" s="2"/>
      <c r="EI842" s="2"/>
      <c r="EJ842" s="2"/>
      <c r="EK842" s="2"/>
      <c r="ES842" s="2"/>
      <c r="ET842" s="2"/>
      <c r="EU842" s="2"/>
      <c r="FC842" s="2"/>
      <c r="FD842" s="2"/>
      <c r="FE842" s="2"/>
      <c r="FJ842" s="13"/>
      <c r="FK842" s="13"/>
      <c r="FL842" s="13"/>
      <c r="FM842" s="13"/>
      <c r="FN842" s="13"/>
      <c r="FO842" s="13"/>
      <c r="FP842" s="13"/>
      <c r="FQ842" s="13"/>
      <c r="FR842" s="13"/>
      <c r="FS842" s="13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O843" s="2"/>
      <c r="DP843" s="2"/>
      <c r="DQ843" s="2"/>
      <c r="DY843" s="2"/>
      <c r="DZ843" s="2"/>
      <c r="EA843" s="2"/>
      <c r="EI843" s="2"/>
      <c r="EJ843" s="2"/>
      <c r="EK843" s="2"/>
      <c r="ES843" s="2"/>
      <c r="ET843" s="2"/>
      <c r="EU843" s="2"/>
      <c r="FC843" s="2"/>
      <c r="FD843" s="2"/>
      <c r="FE843" s="2"/>
      <c r="FJ843" s="13"/>
      <c r="FK843" s="13"/>
      <c r="FL843" s="13"/>
      <c r="FM843" s="13"/>
      <c r="FN843" s="13"/>
      <c r="FO843" s="13"/>
      <c r="FP843" s="13"/>
      <c r="FQ843" s="13"/>
      <c r="FR843" s="13"/>
      <c r="FS843" s="13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O844" s="2"/>
      <c r="DP844" s="2"/>
      <c r="DQ844" s="2"/>
      <c r="DY844" s="2"/>
      <c r="DZ844" s="2"/>
      <c r="EA844" s="2"/>
      <c r="EI844" s="2"/>
      <c r="EJ844" s="2"/>
      <c r="EK844" s="2"/>
      <c r="ES844" s="2"/>
      <c r="ET844" s="2"/>
      <c r="EU844" s="2"/>
      <c r="FC844" s="2"/>
      <c r="FD844" s="2"/>
      <c r="FE844" s="2"/>
      <c r="FJ844" s="13"/>
      <c r="FK844" s="13"/>
      <c r="FL844" s="13"/>
      <c r="FM844" s="13"/>
      <c r="FN844" s="13"/>
      <c r="FO844" s="13"/>
      <c r="FP844" s="13"/>
      <c r="FQ844" s="13"/>
      <c r="FR844" s="13"/>
      <c r="FS844" s="13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O845" s="2"/>
      <c r="DP845" s="2"/>
      <c r="DQ845" s="2"/>
      <c r="DY845" s="2"/>
      <c r="DZ845" s="2"/>
      <c r="EA845" s="2"/>
      <c r="EI845" s="2"/>
      <c r="EJ845" s="2"/>
      <c r="EK845" s="2"/>
      <c r="ES845" s="2"/>
      <c r="ET845" s="2"/>
      <c r="EU845" s="2"/>
      <c r="FC845" s="2"/>
      <c r="FD845" s="2"/>
      <c r="FE845" s="2"/>
      <c r="FJ845" s="13"/>
      <c r="FK845" s="13"/>
      <c r="FL845" s="13"/>
      <c r="FM845" s="13"/>
      <c r="FN845" s="13"/>
      <c r="FO845" s="13"/>
      <c r="FP845" s="13"/>
      <c r="FQ845" s="13"/>
      <c r="FR845" s="13"/>
      <c r="FS845" s="13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O846" s="2"/>
      <c r="DP846" s="2"/>
      <c r="DQ846" s="2"/>
      <c r="DY846" s="2"/>
      <c r="DZ846" s="2"/>
      <c r="EA846" s="2"/>
      <c r="EI846" s="2"/>
      <c r="EJ846" s="2"/>
      <c r="EK846" s="2"/>
      <c r="ES846" s="2"/>
      <c r="ET846" s="2"/>
      <c r="EU846" s="2"/>
      <c r="FC846" s="2"/>
      <c r="FD846" s="2"/>
      <c r="FE846" s="2"/>
      <c r="FJ846" s="13"/>
      <c r="FK846" s="13"/>
      <c r="FL846" s="13"/>
      <c r="FM846" s="13"/>
      <c r="FN846" s="13"/>
      <c r="FO846" s="13"/>
      <c r="FP846" s="13"/>
      <c r="FQ846" s="13"/>
      <c r="FR846" s="13"/>
      <c r="FS846" s="13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O847" s="2"/>
      <c r="DP847" s="2"/>
      <c r="DQ847" s="2"/>
      <c r="DY847" s="2"/>
      <c r="DZ847" s="2"/>
      <c r="EA847" s="2"/>
      <c r="EI847" s="2"/>
      <c r="EJ847" s="2"/>
      <c r="EK847" s="2"/>
      <c r="ES847" s="2"/>
      <c r="ET847" s="2"/>
      <c r="EU847" s="2"/>
      <c r="FC847" s="2"/>
      <c r="FD847" s="2"/>
      <c r="FE847" s="2"/>
      <c r="FJ847" s="13"/>
      <c r="FK847" s="13"/>
      <c r="FL847" s="13"/>
      <c r="FM847" s="13"/>
      <c r="FN847" s="13"/>
      <c r="FO847" s="13"/>
      <c r="FP847" s="13"/>
      <c r="FQ847" s="13"/>
      <c r="FR847" s="13"/>
      <c r="FS847" s="13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O848" s="2"/>
      <c r="DP848" s="2"/>
      <c r="DQ848" s="2"/>
      <c r="DY848" s="2"/>
      <c r="DZ848" s="2"/>
      <c r="EA848" s="2"/>
      <c r="EI848" s="2"/>
      <c r="EJ848" s="2"/>
      <c r="EK848" s="2"/>
      <c r="ES848" s="2"/>
      <c r="ET848" s="2"/>
      <c r="EU848" s="2"/>
      <c r="FC848" s="2"/>
      <c r="FD848" s="2"/>
      <c r="FE848" s="2"/>
      <c r="FJ848" s="13"/>
      <c r="FK848" s="13"/>
      <c r="FL848" s="13"/>
      <c r="FM848" s="13"/>
      <c r="FN848" s="13"/>
      <c r="FO848" s="13"/>
      <c r="FP848" s="13"/>
      <c r="FQ848" s="13"/>
      <c r="FR848" s="13"/>
      <c r="FS848" s="13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O849" s="2"/>
      <c r="DP849" s="2"/>
      <c r="DQ849" s="2"/>
      <c r="DY849" s="2"/>
      <c r="DZ849" s="2"/>
      <c r="EA849" s="2"/>
      <c r="EI849" s="2"/>
      <c r="EJ849" s="2"/>
      <c r="EK849" s="2"/>
      <c r="ES849" s="2"/>
      <c r="ET849" s="2"/>
      <c r="EU849" s="2"/>
      <c r="FC849" s="2"/>
      <c r="FD849" s="2"/>
      <c r="FE849" s="2"/>
      <c r="FJ849" s="13"/>
      <c r="FK849" s="13"/>
      <c r="FL849" s="13"/>
      <c r="FM849" s="13"/>
      <c r="FN849" s="13"/>
      <c r="FO849" s="13"/>
      <c r="FP849" s="13"/>
      <c r="FQ849" s="13"/>
      <c r="FR849" s="13"/>
      <c r="FS849" s="13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O850" s="2"/>
      <c r="DP850" s="2"/>
      <c r="DQ850" s="2"/>
      <c r="DY850" s="2"/>
      <c r="DZ850" s="2"/>
      <c r="EA850" s="2"/>
      <c r="EI850" s="2"/>
      <c r="EJ850" s="2"/>
      <c r="EK850" s="2"/>
      <c r="ES850" s="2"/>
      <c r="ET850" s="2"/>
      <c r="EU850" s="2"/>
      <c r="FC850" s="2"/>
      <c r="FD850" s="2"/>
      <c r="FE850" s="2"/>
      <c r="FJ850" s="13"/>
      <c r="FK850" s="13"/>
      <c r="FL850" s="13"/>
      <c r="FM850" s="13"/>
      <c r="FN850" s="13"/>
      <c r="FO850" s="13"/>
      <c r="FP850" s="13"/>
      <c r="FQ850" s="13"/>
      <c r="FR850" s="13"/>
      <c r="FS850" s="13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O851" s="2"/>
      <c r="DP851" s="2"/>
      <c r="DQ851" s="2"/>
      <c r="DY851" s="2"/>
      <c r="DZ851" s="2"/>
      <c r="EA851" s="2"/>
      <c r="EI851" s="2"/>
      <c r="EJ851" s="2"/>
      <c r="EK851" s="2"/>
      <c r="ES851" s="2"/>
      <c r="ET851" s="2"/>
      <c r="EU851" s="2"/>
      <c r="FC851" s="2"/>
      <c r="FD851" s="2"/>
      <c r="FE851" s="2"/>
      <c r="FJ851" s="13"/>
      <c r="FK851" s="13"/>
      <c r="FL851" s="13"/>
      <c r="FM851" s="13"/>
      <c r="FN851" s="13"/>
      <c r="FO851" s="13"/>
      <c r="FP851" s="13"/>
      <c r="FQ851" s="13"/>
      <c r="FR851" s="13"/>
      <c r="FS851" s="13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O852" s="2"/>
      <c r="DP852" s="2"/>
      <c r="DQ852" s="2"/>
      <c r="DY852" s="2"/>
      <c r="DZ852" s="2"/>
      <c r="EA852" s="2"/>
      <c r="EI852" s="2"/>
      <c r="EJ852" s="2"/>
      <c r="EK852" s="2"/>
      <c r="ES852" s="2"/>
      <c r="ET852" s="2"/>
      <c r="EU852" s="2"/>
      <c r="FC852" s="2"/>
      <c r="FD852" s="2"/>
      <c r="FE852" s="2"/>
      <c r="FJ852" s="13"/>
      <c r="FK852" s="13"/>
      <c r="FL852" s="13"/>
      <c r="FM852" s="13"/>
      <c r="FN852" s="13"/>
      <c r="FO852" s="13"/>
      <c r="FP852" s="13"/>
      <c r="FQ852" s="13"/>
      <c r="FR852" s="13"/>
      <c r="FS852" s="13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O853" s="2"/>
      <c r="DP853" s="2"/>
      <c r="DQ853" s="2"/>
      <c r="DY853" s="2"/>
      <c r="DZ853" s="2"/>
      <c r="EA853" s="2"/>
      <c r="EI853" s="2"/>
      <c r="EJ853" s="2"/>
      <c r="EK853" s="2"/>
      <c r="ES853" s="2"/>
      <c r="ET853" s="2"/>
      <c r="EU853" s="2"/>
      <c r="FC853" s="2"/>
      <c r="FD853" s="2"/>
      <c r="FE853" s="2"/>
      <c r="FJ853" s="13"/>
      <c r="FK853" s="13"/>
      <c r="FL853" s="13"/>
      <c r="FM853" s="13"/>
      <c r="FN853" s="13"/>
      <c r="FO853" s="13"/>
      <c r="FP853" s="13"/>
      <c r="FQ853" s="13"/>
      <c r="FR853" s="13"/>
      <c r="FS853" s="13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O854" s="2"/>
      <c r="DP854" s="2"/>
      <c r="DQ854" s="2"/>
      <c r="DY854" s="2"/>
      <c r="DZ854" s="2"/>
      <c r="EA854" s="2"/>
      <c r="EI854" s="2"/>
      <c r="EJ854" s="2"/>
      <c r="EK854" s="2"/>
      <c r="ES854" s="2"/>
      <c r="ET854" s="2"/>
      <c r="EU854" s="2"/>
      <c r="FC854" s="2"/>
      <c r="FD854" s="2"/>
      <c r="FE854" s="2"/>
      <c r="FJ854" s="13"/>
      <c r="FK854" s="13"/>
      <c r="FL854" s="13"/>
      <c r="FM854" s="13"/>
      <c r="FN854" s="13"/>
      <c r="FO854" s="13"/>
      <c r="FP854" s="13"/>
      <c r="FQ854" s="13"/>
      <c r="FR854" s="13"/>
      <c r="FS854" s="13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O855" s="2"/>
      <c r="DP855" s="2"/>
      <c r="DQ855" s="2"/>
      <c r="DY855" s="2"/>
      <c r="DZ855" s="2"/>
      <c r="EA855" s="2"/>
      <c r="EI855" s="2"/>
      <c r="EJ855" s="2"/>
      <c r="EK855" s="2"/>
      <c r="ES855" s="2"/>
      <c r="ET855" s="2"/>
      <c r="EU855" s="2"/>
      <c r="FC855" s="2"/>
      <c r="FD855" s="2"/>
      <c r="FE855" s="2"/>
      <c r="FJ855" s="13"/>
      <c r="FK855" s="13"/>
      <c r="FL855" s="13"/>
      <c r="FM855" s="13"/>
      <c r="FN855" s="13"/>
      <c r="FO855" s="13"/>
      <c r="FP855" s="13"/>
      <c r="FQ855" s="13"/>
      <c r="FR855" s="13"/>
      <c r="FS855" s="13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O856" s="2"/>
      <c r="DP856" s="2"/>
      <c r="DQ856" s="2"/>
      <c r="DY856" s="2"/>
      <c r="DZ856" s="2"/>
      <c r="EA856" s="2"/>
      <c r="EI856" s="2"/>
      <c r="EJ856" s="2"/>
      <c r="EK856" s="2"/>
      <c r="ES856" s="2"/>
      <c r="ET856" s="2"/>
      <c r="EU856" s="2"/>
      <c r="FC856" s="2"/>
      <c r="FD856" s="2"/>
      <c r="FE856" s="2"/>
      <c r="FJ856" s="13"/>
      <c r="FK856" s="13"/>
      <c r="FL856" s="13"/>
      <c r="FM856" s="13"/>
      <c r="FN856" s="13"/>
      <c r="FO856" s="13"/>
      <c r="FP856" s="13"/>
      <c r="FQ856" s="13"/>
      <c r="FR856" s="13"/>
      <c r="FS856" s="13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O857" s="2"/>
      <c r="DP857" s="2"/>
      <c r="DQ857" s="2"/>
      <c r="DY857" s="2"/>
      <c r="DZ857" s="2"/>
      <c r="EA857" s="2"/>
      <c r="EI857" s="2"/>
      <c r="EJ857" s="2"/>
      <c r="EK857" s="2"/>
      <c r="ES857" s="2"/>
      <c r="ET857" s="2"/>
      <c r="EU857" s="2"/>
      <c r="FC857" s="2"/>
      <c r="FD857" s="2"/>
      <c r="FE857" s="2"/>
      <c r="FJ857" s="13"/>
      <c r="FK857" s="13"/>
      <c r="FL857" s="13"/>
      <c r="FM857" s="13"/>
      <c r="FN857" s="13"/>
      <c r="FO857" s="13"/>
      <c r="FP857" s="13"/>
      <c r="FQ857" s="13"/>
      <c r="FR857" s="13"/>
      <c r="FS857" s="13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O858" s="2"/>
      <c r="DP858" s="2"/>
      <c r="DQ858" s="2"/>
      <c r="DY858" s="2"/>
      <c r="DZ858" s="2"/>
      <c r="EA858" s="2"/>
      <c r="EI858" s="2"/>
      <c r="EJ858" s="2"/>
      <c r="EK858" s="2"/>
      <c r="ES858" s="2"/>
      <c r="ET858" s="2"/>
      <c r="EU858" s="2"/>
      <c r="FC858" s="2"/>
      <c r="FD858" s="2"/>
      <c r="FE858" s="2"/>
      <c r="FJ858" s="13"/>
      <c r="FK858" s="13"/>
      <c r="FL858" s="13"/>
      <c r="FM858" s="13"/>
      <c r="FN858" s="13"/>
      <c r="FO858" s="13"/>
      <c r="FP858" s="13"/>
      <c r="FQ858" s="13"/>
      <c r="FR858" s="13"/>
      <c r="FS858" s="13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O859" s="2"/>
      <c r="DP859" s="2"/>
      <c r="DQ859" s="2"/>
      <c r="DY859" s="2"/>
      <c r="DZ859" s="2"/>
      <c r="EA859" s="2"/>
      <c r="EI859" s="2"/>
      <c r="EJ859" s="2"/>
      <c r="EK859" s="2"/>
      <c r="ES859" s="2"/>
      <c r="ET859" s="2"/>
      <c r="EU859" s="2"/>
      <c r="FC859" s="2"/>
      <c r="FD859" s="2"/>
      <c r="FE859" s="2"/>
      <c r="FJ859" s="13"/>
      <c r="FK859" s="13"/>
      <c r="FL859" s="13"/>
      <c r="FM859" s="13"/>
      <c r="FN859" s="13"/>
      <c r="FO859" s="13"/>
      <c r="FP859" s="13"/>
      <c r="FQ859" s="13"/>
      <c r="FR859" s="13"/>
      <c r="FS859" s="13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O860" s="2"/>
      <c r="DP860" s="2"/>
      <c r="DQ860" s="2"/>
      <c r="DY860" s="2"/>
      <c r="DZ860" s="2"/>
      <c r="EA860" s="2"/>
      <c r="EI860" s="2"/>
      <c r="EJ860" s="2"/>
      <c r="EK860" s="2"/>
      <c r="ES860" s="2"/>
      <c r="ET860" s="2"/>
      <c r="EU860" s="2"/>
      <c r="FC860" s="2"/>
      <c r="FD860" s="2"/>
      <c r="FE860" s="2"/>
      <c r="FJ860" s="13"/>
      <c r="FK860" s="13"/>
      <c r="FL860" s="13"/>
      <c r="FM860" s="13"/>
      <c r="FN860" s="13"/>
      <c r="FO860" s="13"/>
      <c r="FP860" s="13"/>
      <c r="FQ860" s="13"/>
      <c r="FR860" s="13"/>
      <c r="FS860" s="13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O861" s="2"/>
      <c r="DP861" s="2"/>
      <c r="DQ861" s="2"/>
      <c r="DY861" s="2"/>
      <c r="DZ861" s="2"/>
      <c r="EA861" s="2"/>
      <c r="EI861" s="2"/>
      <c r="EJ861" s="2"/>
      <c r="EK861" s="2"/>
      <c r="ES861" s="2"/>
      <c r="ET861" s="2"/>
      <c r="EU861" s="2"/>
      <c r="FC861" s="2"/>
      <c r="FD861" s="2"/>
      <c r="FE861" s="2"/>
      <c r="FJ861" s="13"/>
      <c r="FK861" s="13"/>
      <c r="FL861" s="13"/>
      <c r="FM861" s="13"/>
      <c r="FN861" s="13"/>
      <c r="FO861" s="13"/>
      <c r="FP861" s="13"/>
      <c r="FQ861" s="13"/>
      <c r="FR861" s="13"/>
      <c r="FS861" s="13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O862" s="2"/>
      <c r="DP862" s="2"/>
      <c r="DQ862" s="2"/>
      <c r="DY862" s="2"/>
      <c r="DZ862" s="2"/>
      <c r="EA862" s="2"/>
      <c r="EI862" s="2"/>
      <c r="EJ862" s="2"/>
      <c r="EK862" s="2"/>
      <c r="ES862" s="2"/>
      <c r="ET862" s="2"/>
      <c r="EU862" s="2"/>
      <c r="FC862" s="2"/>
      <c r="FD862" s="2"/>
      <c r="FE862" s="2"/>
      <c r="FJ862" s="13"/>
      <c r="FK862" s="13"/>
      <c r="FL862" s="13"/>
      <c r="FM862" s="13"/>
      <c r="FN862" s="13"/>
      <c r="FO862" s="13"/>
      <c r="FP862" s="13"/>
      <c r="FQ862" s="13"/>
      <c r="FR862" s="13"/>
      <c r="FS862" s="13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O863" s="2"/>
      <c r="DP863" s="2"/>
      <c r="DQ863" s="2"/>
      <c r="DY863" s="2"/>
      <c r="DZ863" s="2"/>
      <c r="EA863" s="2"/>
      <c r="EI863" s="2"/>
      <c r="EJ863" s="2"/>
      <c r="EK863" s="2"/>
      <c r="ES863" s="2"/>
      <c r="ET863" s="2"/>
      <c r="EU863" s="2"/>
      <c r="FC863" s="2"/>
      <c r="FD863" s="2"/>
      <c r="FE863" s="2"/>
      <c r="FJ863" s="13"/>
      <c r="FK863" s="13"/>
      <c r="FL863" s="13"/>
      <c r="FM863" s="13"/>
      <c r="FN863" s="13"/>
      <c r="FO863" s="13"/>
      <c r="FP863" s="13"/>
      <c r="FQ863" s="13"/>
      <c r="FR863" s="13"/>
      <c r="FS863" s="13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O864" s="2"/>
      <c r="DP864" s="2"/>
      <c r="DQ864" s="2"/>
      <c r="DY864" s="2"/>
      <c r="DZ864" s="2"/>
      <c r="EA864" s="2"/>
      <c r="EI864" s="2"/>
      <c r="EJ864" s="2"/>
      <c r="EK864" s="2"/>
      <c r="ES864" s="2"/>
      <c r="ET864" s="2"/>
      <c r="EU864" s="2"/>
      <c r="FC864" s="2"/>
      <c r="FD864" s="2"/>
      <c r="FE864" s="2"/>
      <c r="FJ864" s="13"/>
      <c r="FK864" s="13"/>
      <c r="FL864" s="13"/>
      <c r="FM864" s="13"/>
      <c r="FN864" s="13"/>
      <c r="FO864" s="13"/>
      <c r="FP864" s="13"/>
      <c r="FQ864" s="13"/>
      <c r="FR864" s="13"/>
      <c r="FS864" s="13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O865" s="2"/>
      <c r="DP865" s="2"/>
      <c r="DQ865" s="2"/>
      <c r="DY865" s="2"/>
      <c r="DZ865" s="2"/>
      <c r="EA865" s="2"/>
      <c r="EI865" s="2"/>
      <c r="EJ865" s="2"/>
      <c r="EK865" s="2"/>
      <c r="ES865" s="2"/>
      <c r="ET865" s="2"/>
      <c r="EU865" s="2"/>
      <c r="FC865" s="2"/>
      <c r="FD865" s="2"/>
      <c r="FE865" s="2"/>
      <c r="FJ865" s="13"/>
      <c r="FK865" s="13"/>
      <c r="FL865" s="13"/>
      <c r="FM865" s="13"/>
      <c r="FN865" s="13"/>
      <c r="FO865" s="13"/>
      <c r="FP865" s="13"/>
      <c r="FQ865" s="13"/>
      <c r="FR865" s="13"/>
      <c r="FS865" s="13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O866" s="2"/>
      <c r="DP866" s="2"/>
      <c r="DQ866" s="2"/>
      <c r="DY866" s="2"/>
      <c r="DZ866" s="2"/>
      <c r="EA866" s="2"/>
      <c r="EI866" s="2"/>
      <c r="EJ866" s="2"/>
      <c r="EK866" s="2"/>
      <c r="ES866" s="2"/>
      <c r="ET866" s="2"/>
      <c r="EU866" s="2"/>
      <c r="FC866" s="2"/>
      <c r="FD866" s="2"/>
      <c r="FE866" s="2"/>
      <c r="FJ866" s="13"/>
      <c r="FK866" s="13"/>
      <c r="FL866" s="13"/>
      <c r="FM866" s="13"/>
      <c r="FN866" s="13"/>
      <c r="FO866" s="13"/>
      <c r="FP866" s="13"/>
      <c r="FQ866" s="13"/>
      <c r="FR866" s="13"/>
      <c r="FS866" s="13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O867" s="2"/>
      <c r="DP867" s="2"/>
      <c r="DQ867" s="2"/>
      <c r="DY867" s="2"/>
      <c r="DZ867" s="2"/>
      <c r="EA867" s="2"/>
      <c r="EI867" s="2"/>
      <c r="EJ867" s="2"/>
      <c r="EK867" s="2"/>
      <c r="ES867" s="2"/>
      <c r="ET867" s="2"/>
      <c r="EU867" s="2"/>
      <c r="FC867" s="2"/>
      <c r="FD867" s="2"/>
      <c r="FE867" s="2"/>
      <c r="FJ867" s="13"/>
      <c r="FK867" s="13"/>
      <c r="FL867" s="13"/>
      <c r="FM867" s="13"/>
      <c r="FN867" s="13"/>
      <c r="FO867" s="13"/>
      <c r="FP867" s="13"/>
      <c r="FQ867" s="13"/>
      <c r="FR867" s="13"/>
      <c r="FS867" s="13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O868" s="2"/>
      <c r="DP868" s="2"/>
      <c r="DQ868" s="2"/>
      <c r="DY868" s="2"/>
      <c r="DZ868" s="2"/>
      <c r="EA868" s="2"/>
      <c r="EI868" s="2"/>
      <c r="EJ868" s="2"/>
      <c r="EK868" s="2"/>
      <c r="ES868" s="2"/>
      <c r="ET868" s="2"/>
      <c r="EU868" s="2"/>
      <c r="FC868" s="2"/>
      <c r="FD868" s="2"/>
      <c r="FE868" s="2"/>
      <c r="FJ868" s="13"/>
      <c r="FK868" s="13"/>
      <c r="FL868" s="13"/>
      <c r="FM868" s="13"/>
      <c r="FN868" s="13"/>
      <c r="FO868" s="13"/>
      <c r="FP868" s="13"/>
      <c r="FQ868" s="13"/>
      <c r="FR868" s="13"/>
      <c r="FS868" s="13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O869" s="2"/>
      <c r="DP869" s="2"/>
      <c r="DQ869" s="2"/>
      <c r="DY869" s="2"/>
      <c r="DZ869" s="2"/>
      <c r="EA869" s="2"/>
      <c r="EI869" s="2"/>
      <c r="EJ869" s="2"/>
      <c r="EK869" s="2"/>
      <c r="ES869" s="2"/>
      <c r="ET869" s="2"/>
      <c r="EU869" s="2"/>
      <c r="FC869" s="2"/>
      <c r="FD869" s="2"/>
      <c r="FE869" s="2"/>
      <c r="FJ869" s="13"/>
      <c r="FK869" s="13"/>
      <c r="FL869" s="13"/>
      <c r="FM869" s="13"/>
      <c r="FN869" s="13"/>
      <c r="FO869" s="13"/>
      <c r="FP869" s="13"/>
      <c r="FQ869" s="13"/>
      <c r="FR869" s="13"/>
      <c r="FS869" s="13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O870" s="2"/>
      <c r="DP870" s="2"/>
      <c r="DQ870" s="2"/>
      <c r="DY870" s="2"/>
      <c r="DZ870" s="2"/>
      <c r="EA870" s="2"/>
      <c r="EI870" s="2"/>
      <c r="EJ870" s="2"/>
      <c r="EK870" s="2"/>
      <c r="ES870" s="2"/>
      <c r="ET870" s="2"/>
      <c r="EU870" s="2"/>
      <c r="FC870" s="2"/>
      <c r="FD870" s="2"/>
      <c r="FE870" s="2"/>
      <c r="FJ870" s="13"/>
      <c r="FK870" s="13"/>
      <c r="FL870" s="13"/>
      <c r="FM870" s="13"/>
      <c r="FN870" s="13"/>
      <c r="FO870" s="13"/>
      <c r="FP870" s="13"/>
      <c r="FQ870" s="13"/>
      <c r="FR870" s="13"/>
      <c r="FS870" s="13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O871" s="2"/>
      <c r="DP871" s="2"/>
      <c r="DQ871" s="2"/>
      <c r="DY871" s="2"/>
      <c r="DZ871" s="2"/>
      <c r="EA871" s="2"/>
      <c r="EI871" s="2"/>
      <c r="EJ871" s="2"/>
      <c r="EK871" s="2"/>
      <c r="ES871" s="2"/>
      <c r="ET871" s="2"/>
      <c r="EU871" s="2"/>
      <c r="FC871" s="2"/>
      <c r="FD871" s="2"/>
      <c r="FE871" s="2"/>
      <c r="FJ871" s="13"/>
      <c r="FK871" s="13"/>
      <c r="FL871" s="13"/>
      <c r="FM871" s="13"/>
      <c r="FN871" s="13"/>
      <c r="FO871" s="13"/>
      <c r="FP871" s="13"/>
      <c r="FQ871" s="13"/>
      <c r="FR871" s="13"/>
      <c r="FS871" s="13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O872" s="2"/>
      <c r="DP872" s="2"/>
      <c r="DQ872" s="2"/>
      <c r="DY872" s="2"/>
      <c r="DZ872" s="2"/>
      <c r="EA872" s="2"/>
      <c r="EI872" s="2"/>
      <c r="EJ872" s="2"/>
      <c r="EK872" s="2"/>
      <c r="ES872" s="2"/>
      <c r="ET872" s="2"/>
      <c r="EU872" s="2"/>
      <c r="FC872" s="2"/>
      <c r="FD872" s="2"/>
      <c r="FE872" s="2"/>
      <c r="FJ872" s="13"/>
      <c r="FK872" s="13"/>
      <c r="FL872" s="13"/>
      <c r="FM872" s="13"/>
      <c r="FN872" s="13"/>
      <c r="FO872" s="13"/>
      <c r="FP872" s="13"/>
      <c r="FQ872" s="13"/>
      <c r="FR872" s="13"/>
      <c r="FS872" s="13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O873" s="2"/>
      <c r="DP873" s="2"/>
      <c r="DQ873" s="2"/>
      <c r="DY873" s="2"/>
      <c r="DZ873" s="2"/>
      <c r="EA873" s="2"/>
      <c r="EI873" s="2"/>
      <c r="EJ873" s="2"/>
      <c r="EK873" s="2"/>
      <c r="ES873" s="2"/>
      <c r="ET873" s="2"/>
      <c r="EU873" s="2"/>
      <c r="FC873" s="2"/>
      <c r="FD873" s="2"/>
      <c r="FE873" s="2"/>
      <c r="FJ873" s="13"/>
      <c r="FK873" s="13"/>
      <c r="FL873" s="13"/>
      <c r="FM873" s="13"/>
      <c r="FN873" s="13"/>
      <c r="FO873" s="13"/>
      <c r="FP873" s="13"/>
      <c r="FQ873" s="13"/>
      <c r="FR873" s="13"/>
      <c r="FS873" s="13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O874" s="2"/>
      <c r="DP874" s="2"/>
      <c r="DQ874" s="2"/>
      <c r="DY874" s="2"/>
      <c r="DZ874" s="2"/>
      <c r="EA874" s="2"/>
      <c r="EI874" s="2"/>
      <c r="EJ874" s="2"/>
      <c r="EK874" s="2"/>
      <c r="ES874" s="2"/>
      <c r="ET874" s="2"/>
      <c r="EU874" s="2"/>
      <c r="FC874" s="2"/>
      <c r="FD874" s="2"/>
      <c r="FE874" s="2"/>
      <c r="FJ874" s="13"/>
      <c r="FK874" s="13"/>
      <c r="FL874" s="13"/>
      <c r="FM874" s="13"/>
      <c r="FN874" s="13"/>
      <c r="FO874" s="13"/>
      <c r="FP874" s="13"/>
      <c r="FQ874" s="13"/>
      <c r="FR874" s="13"/>
      <c r="FS874" s="13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O875" s="2"/>
      <c r="DP875" s="2"/>
      <c r="DQ875" s="2"/>
      <c r="DY875" s="2"/>
      <c r="DZ875" s="2"/>
      <c r="EA875" s="2"/>
      <c r="EI875" s="2"/>
      <c r="EJ875" s="2"/>
      <c r="EK875" s="2"/>
      <c r="ES875" s="2"/>
      <c r="ET875" s="2"/>
      <c r="EU875" s="2"/>
      <c r="FC875" s="2"/>
      <c r="FD875" s="2"/>
      <c r="FE875" s="2"/>
      <c r="FJ875" s="13"/>
      <c r="FK875" s="13"/>
      <c r="FL875" s="13"/>
      <c r="FM875" s="13"/>
      <c r="FN875" s="13"/>
      <c r="FO875" s="13"/>
      <c r="FP875" s="13"/>
      <c r="FQ875" s="13"/>
      <c r="FR875" s="13"/>
      <c r="FS875" s="13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O876" s="2"/>
      <c r="DP876" s="2"/>
      <c r="DQ876" s="2"/>
      <c r="DY876" s="2"/>
      <c r="DZ876" s="2"/>
      <c r="EA876" s="2"/>
      <c r="EI876" s="2"/>
      <c r="EJ876" s="2"/>
      <c r="EK876" s="2"/>
      <c r="ES876" s="2"/>
      <c r="ET876" s="2"/>
      <c r="EU876" s="2"/>
      <c r="FC876" s="2"/>
      <c r="FD876" s="2"/>
      <c r="FE876" s="2"/>
      <c r="FJ876" s="13"/>
      <c r="FK876" s="13"/>
      <c r="FL876" s="13"/>
      <c r="FM876" s="13"/>
      <c r="FN876" s="13"/>
      <c r="FO876" s="13"/>
      <c r="FP876" s="13"/>
      <c r="FQ876" s="13"/>
      <c r="FR876" s="13"/>
      <c r="FS876" s="13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O877" s="2"/>
      <c r="DP877" s="2"/>
      <c r="DQ877" s="2"/>
      <c r="DY877" s="2"/>
      <c r="DZ877" s="2"/>
      <c r="EA877" s="2"/>
      <c r="EI877" s="2"/>
      <c r="EJ877" s="2"/>
      <c r="EK877" s="2"/>
      <c r="ES877" s="2"/>
      <c r="ET877" s="2"/>
      <c r="EU877" s="2"/>
      <c r="FC877" s="2"/>
      <c r="FD877" s="2"/>
      <c r="FE877" s="2"/>
      <c r="FJ877" s="13"/>
      <c r="FK877" s="13"/>
      <c r="FL877" s="13"/>
      <c r="FM877" s="13"/>
      <c r="FN877" s="13"/>
      <c r="FO877" s="13"/>
      <c r="FP877" s="13"/>
      <c r="FQ877" s="13"/>
      <c r="FR877" s="13"/>
      <c r="FS877" s="13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O878" s="2"/>
      <c r="DP878" s="2"/>
      <c r="DQ878" s="2"/>
      <c r="DY878" s="2"/>
      <c r="DZ878" s="2"/>
      <c r="EA878" s="2"/>
      <c r="EI878" s="2"/>
      <c r="EJ878" s="2"/>
      <c r="EK878" s="2"/>
      <c r="ES878" s="2"/>
      <c r="ET878" s="2"/>
      <c r="EU878" s="2"/>
      <c r="FC878" s="2"/>
      <c r="FD878" s="2"/>
      <c r="FE878" s="2"/>
      <c r="FJ878" s="13"/>
      <c r="FK878" s="13"/>
      <c r="FL878" s="13"/>
      <c r="FM878" s="13"/>
      <c r="FN878" s="13"/>
      <c r="FO878" s="13"/>
      <c r="FP878" s="13"/>
      <c r="FQ878" s="13"/>
      <c r="FR878" s="13"/>
      <c r="FS878" s="13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O879" s="2"/>
      <c r="DP879" s="2"/>
      <c r="DQ879" s="2"/>
      <c r="DY879" s="2"/>
      <c r="DZ879" s="2"/>
      <c r="EA879" s="2"/>
      <c r="EI879" s="2"/>
      <c r="EJ879" s="2"/>
      <c r="EK879" s="2"/>
      <c r="ES879" s="2"/>
      <c r="ET879" s="2"/>
      <c r="EU879" s="2"/>
      <c r="FC879" s="2"/>
      <c r="FD879" s="2"/>
      <c r="FE879" s="2"/>
      <c r="FJ879" s="13"/>
      <c r="FK879" s="13"/>
      <c r="FL879" s="13"/>
      <c r="FM879" s="13"/>
      <c r="FN879" s="13"/>
      <c r="FO879" s="13"/>
      <c r="FP879" s="13"/>
      <c r="FQ879" s="13"/>
      <c r="FR879" s="13"/>
      <c r="FS879" s="13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O880" s="2"/>
      <c r="DP880" s="2"/>
      <c r="DQ880" s="2"/>
      <c r="DY880" s="2"/>
      <c r="DZ880" s="2"/>
      <c r="EA880" s="2"/>
      <c r="EI880" s="2"/>
      <c r="EJ880" s="2"/>
      <c r="EK880" s="2"/>
      <c r="ES880" s="2"/>
      <c r="ET880" s="2"/>
      <c r="EU880" s="2"/>
      <c r="FC880" s="2"/>
      <c r="FD880" s="2"/>
      <c r="FE880" s="2"/>
      <c r="FJ880" s="13"/>
      <c r="FK880" s="13"/>
      <c r="FL880" s="13"/>
      <c r="FM880" s="13"/>
      <c r="FN880" s="13"/>
      <c r="FO880" s="13"/>
      <c r="FP880" s="13"/>
      <c r="FQ880" s="13"/>
      <c r="FR880" s="13"/>
      <c r="FS880" s="13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O881" s="2"/>
      <c r="DP881" s="2"/>
      <c r="DQ881" s="2"/>
      <c r="DY881" s="2"/>
      <c r="DZ881" s="2"/>
      <c r="EA881" s="2"/>
      <c r="EI881" s="2"/>
      <c r="EJ881" s="2"/>
      <c r="EK881" s="2"/>
      <c r="ES881" s="2"/>
      <c r="ET881" s="2"/>
      <c r="EU881" s="2"/>
      <c r="FC881" s="2"/>
      <c r="FD881" s="2"/>
      <c r="FE881" s="2"/>
      <c r="FJ881" s="13"/>
      <c r="FK881" s="13"/>
      <c r="FL881" s="13"/>
      <c r="FM881" s="13"/>
      <c r="FN881" s="13"/>
      <c r="FO881" s="13"/>
      <c r="FP881" s="13"/>
      <c r="FQ881" s="13"/>
      <c r="FR881" s="13"/>
      <c r="FS881" s="13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O882" s="2"/>
      <c r="DP882" s="2"/>
      <c r="DQ882" s="2"/>
      <c r="DY882" s="2"/>
      <c r="DZ882" s="2"/>
      <c r="EA882" s="2"/>
      <c r="EI882" s="2"/>
      <c r="EJ882" s="2"/>
      <c r="EK882" s="2"/>
      <c r="ES882" s="2"/>
      <c r="ET882" s="2"/>
      <c r="EU882" s="2"/>
      <c r="FC882" s="2"/>
      <c r="FD882" s="2"/>
      <c r="FE882" s="2"/>
      <c r="FJ882" s="13"/>
      <c r="FK882" s="13"/>
      <c r="FL882" s="13"/>
      <c r="FM882" s="13"/>
      <c r="FN882" s="13"/>
      <c r="FO882" s="13"/>
      <c r="FP882" s="13"/>
      <c r="FQ882" s="13"/>
      <c r="FR882" s="13"/>
      <c r="FS882" s="13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O883" s="2"/>
      <c r="DP883" s="2"/>
      <c r="DQ883" s="2"/>
      <c r="DY883" s="2"/>
      <c r="DZ883" s="2"/>
      <c r="EA883" s="2"/>
      <c r="EI883" s="2"/>
      <c r="EJ883" s="2"/>
      <c r="EK883" s="2"/>
      <c r="ES883" s="2"/>
      <c r="ET883" s="2"/>
      <c r="EU883" s="2"/>
      <c r="FC883" s="2"/>
      <c r="FD883" s="2"/>
      <c r="FE883" s="2"/>
      <c r="FJ883" s="13"/>
      <c r="FK883" s="13"/>
      <c r="FL883" s="13"/>
      <c r="FM883" s="13"/>
      <c r="FN883" s="13"/>
      <c r="FO883" s="13"/>
      <c r="FP883" s="13"/>
      <c r="FQ883" s="13"/>
      <c r="FR883" s="13"/>
      <c r="FS883" s="13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O884" s="2"/>
      <c r="DP884" s="2"/>
      <c r="DQ884" s="2"/>
      <c r="DY884" s="2"/>
      <c r="DZ884" s="2"/>
      <c r="EA884" s="2"/>
      <c r="EI884" s="2"/>
      <c r="EJ884" s="2"/>
      <c r="EK884" s="2"/>
      <c r="ES884" s="2"/>
      <c r="ET884" s="2"/>
      <c r="EU884" s="2"/>
      <c r="FC884" s="2"/>
      <c r="FD884" s="2"/>
      <c r="FE884" s="2"/>
      <c r="FJ884" s="13"/>
      <c r="FK884" s="13"/>
      <c r="FL884" s="13"/>
      <c r="FM884" s="13"/>
      <c r="FN884" s="13"/>
      <c r="FO884" s="13"/>
      <c r="FP884" s="13"/>
      <c r="FQ884" s="13"/>
      <c r="FR884" s="13"/>
      <c r="FS884" s="13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O885" s="2"/>
      <c r="DP885" s="2"/>
      <c r="DQ885" s="2"/>
      <c r="DY885" s="2"/>
      <c r="DZ885" s="2"/>
      <c r="EA885" s="2"/>
      <c r="EI885" s="2"/>
      <c r="EJ885" s="2"/>
      <c r="EK885" s="2"/>
      <c r="ES885" s="2"/>
      <c r="ET885" s="2"/>
      <c r="EU885" s="2"/>
      <c r="FC885" s="2"/>
      <c r="FD885" s="2"/>
      <c r="FE885" s="2"/>
      <c r="FJ885" s="13"/>
      <c r="FK885" s="13"/>
      <c r="FL885" s="13"/>
      <c r="FM885" s="13"/>
      <c r="FN885" s="13"/>
      <c r="FO885" s="13"/>
      <c r="FP885" s="13"/>
      <c r="FQ885" s="13"/>
      <c r="FR885" s="13"/>
      <c r="FS885" s="13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O886" s="2"/>
      <c r="DP886" s="2"/>
      <c r="DQ886" s="2"/>
      <c r="DY886" s="2"/>
      <c r="DZ886" s="2"/>
      <c r="EA886" s="2"/>
      <c r="EI886" s="2"/>
      <c r="EJ886" s="2"/>
      <c r="EK886" s="2"/>
      <c r="ES886" s="2"/>
      <c r="ET886" s="2"/>
      <c r="EU886" s="2"/>
      <c r="FC886" s="2"/>
      <c r="FD886" s="2"/>
      <c r="FE886" s="2"/>
      <c r="FJ886" s="13"/>
      <c r="FK886" s="13"/>
      <c r="FL886" s="13"/>
      <c r="FM886" s="13"/>
      <c r="FN886" s="13"/>
      <c r="FO886" s="13"/>
      <c r="FP886" s="13"/>
      <c r="FQ886" s="13"/>
      <c r="FR886" s="13"/>
      <c r="FS886" s="13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O887" s="2"/>
      <c r="DP887" s="2"/>
      <c r="DQ887" s="2"/>
      <c r="DY887" s="2"/>
      <c r="DZ887" s="2"/>
      <c r="EA887" s="2"/>
      <c r="EI887" s="2"/>
      <c r="EJ887" s="2"/>
      <c r="EK887" s="2"/>
      <c r="ES887" s="2"/>
      <c r="ET887" s="2"/>
      <c r="EU887" s="2"/>
      <c r="FC887" s="2"/>
      <c r="FD887" s="2"/>
      <c r="FE887" s="2"/>
      <c r="FJ887" s="13"/>
      <c r="FK887" s="13"/>
      <c r="FL887" s="13"/>
      <c r="FM887" s="13"/>
      <c r="FN887" s="13"/>
      <c r="FO887" s="13"/>
      <c r="FP887" s="13"/>
      <c r="FQ887" s="13"/>
      <c r="FR887" s="13"/>
      <c r="FS887" s="13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O888" s="2"/>
      <c r="DP888" s="2"/>
      <c r="DQ888" s="2"/>
      <c r="DY888" s="2"/>
      <c r="DZ888" s="2"/>
      <c r="EA888" s="2"/>
      <c r="EI888" s="2"/>
      <c r="EJ888" s="2"/>
      <c r="EK888" s="2"/>
      <c r="ES888" s="2"/>
      <c r="ET888" s="2"/>
      <c r="EU888" s="2"/>
      <c r="FC888" s="2"/>
      <c r="FD888" s="2"/>
      <c r="FE888" s="2"/>
      <c r="FJ888" s="13"/>
      <c r="FK888" s="13"/>
      <c r="FL888" s="13"/>
      <c r="FM888" s="13"/>
      <c r="FN888" s="13"/>
      <c r="FO888" s="13"/>
      <c r="FP888" s="13"/>
      <c r="FQ888" s="13"/>
      <c r="FR888" s="13"/>
      <c r="FS888" s="13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O889" s="2"/>
      <c r="DP889" s="2"/>
      <c r="DQ889" s="2"/>
      <c r="DY889" s="2"/>
      <c r="DZ889" s="2"/>
      <c r="EA889" s="2"/>
      <c r="EI889" s="2"/>
      <c r="EJ889" s="2"/>
      <c r="EK889" s="2"/>
      <c r="ES889" s="2"/>
      <c r="ET889" s="2"/>
      <c r="EU889" s="2"/>
      <c r="FC889" s="2"/>
      <c r="FD889" s="2"/>
      <c r="FE889" s="2"/>
      <c r="FJ889" s="13"/>
      <c r="FK889" s="13"/>
      <c r="FL889" s="13"/>
      <c r="FM889" s="13"/>
      <c r="FN889" s="13"/>
      <c r="FO889" s="13"/>
      <c r="FP889" s="13"/>
      <c r="FQ889" s="13"/>
      <c r="FR889" s="13"/>
      <c r="FS889" s="13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O890" s="2"/>
      <c r="DP890" s="2"/>
      <c r="DQ890" s="2"/>
      <c r="DY890" s="2"/>
      <c r="DZ890" s="2"/>
      <c r="EA890" s="2"/>
      <c r="EI890" s="2"/>
      <c r="EJ890" s="2"/>
      <c r="EK890" s="2"/>
      <c r="ES890" s="2"/>
      <c r="ET890" s="2"/>
      <c r="EU890" s="2"/>
      <c r="FC890" s="2"/>
      <c r="FD890" s="2"/>
      <c r="FE890" s="2"/>
      <c r="FJ890" s="13"/>
      <c r="FK890" s="13"/>
      <c r="FL890" s="13"/>
      <c r="FM890" s="13"/>
      <c r="FN890" s="13"/>
      <c r="FO890" s="13"/>
      <c r="FP890" s="13"/>
      <c r="FQ890" s="13"/>
      <c r="FR890" s="13"/>
      <c r="FS890" s="13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O891" s="2"/>
      <c r="DP891" s="2"/>
      <c r="DQ891" s="2"/>
      <c r="DY891" s="2"/>
      <c r="DZ891" s="2"/>
      <c r="EA891" s="2"/>
      <c r="EI891" s="2"/>
      <c r="EJ891" s="2"/>
      <c r="EK891" s="2"/>
      <c r="ES891" s="2"/>
      <c r="ET891" s="2"/>
      <c r="EU891" s="2"/>
      <c r="FC891" s="2"/>
      <c r="FD891" s="2"/>
      <c r="FE891" s="2"/>
      <c r="FJ891" s="13"/>
      <c r="FK891" s="13"/>
      <c r="FL891" s="13"/>
      <c r="FM891" s="13"/>
      <c r="FN891" s="13"/>
      <c r="FO891" s="13"/>
      <c r="FP891" s="13"/>
      <c r="FQ891" s="13"/>
      <c r="FR891" s="13"/>
      <c r="FS891" s="13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O892" s="2"/>
      <c r="DP892" s="2"/>
      <c r="DQ892" s="2"/>
      <c r="DY892" s="2"/>
      <c r="DZ892" s="2"/>
      <c r="EA892" s="2"/>
      <c r="EI892" s="2"/>
      <c r="EJ892" s="2"/>
      <c r="EK892" s="2"/>
      <c r="ES892" s="2"/>
      <c r="ET892" s="2"/>
      <c r="EU892" s="2"/>
      <c r="FC892" s="2"/>
      <c r="FD892" s="2"/>
      <c r="FE892" s="2"/>
      <c r="FJ892" s="13"/>
      <c r="FK892" s="13"/>
      <c r="FL892" s="13"/>
      <c r="FM892" s="13"/>
      <c r="FN892" s="13"/>
      <c r="FO892" s="13"/>
      <c r="FP892" s="13"/>
      <c r="FQ892" s="13"/>
      <c r="FR892" s="13"/>
      <c r="FS892" s="13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O893" s="2"/>
      <c r="DP893" s="2"/>
      <c r="DQ893" s="2"/>
      <c r="DY893" s="2"/>
      <c r="DZ893" s="2"/>
      <c r="EA893" s="2"/>
      <c r="EI893" s="2"/>
      <c r="EJ893" s="2"/>
      <c r="EK893" s="2"/>
      <c r="ES893" s="2"/>
      <c r="ET893" s="2"/>
      <c r="EU893" s="2"/>
      <c r="FC893" s="2"/>
      <c r="FD893" s="2"/>
      <c r="FE893" s="2"/>
      <c r="FJ893" s="13"/>
      <c r="FK893" s="13"/>
      <c r="FL893" s="13"/>
      <c r="FM893" s="13"/>
      <c r="FN893" s="13"/>
      <c r="FO893" s="13"/>
      <c r="FP893" s="13"/>
      <c r="FQ893" s="13"/>
      <c r="FR893" s="13"/>
      <c r="FS893" s="13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O894" s="2"/>
      <c r="DP894" s="2"/>
      <c r="DQ894" s="2"/>
      <c r="DY894" s="2"/>
      <c r="DZ894" s="2"/>
      <c r="EA894" s="2"/>
      <c r="EI894" s="2"/>
      <c r="EJ894" s="2"/>
      <c r="EK894" s="2"/>
      <c r="ES894" s="2"/>
      <c r="ET894" s="2"/>
      <c r="EU894" s="2"/>
      <c r="FC894" s="2"/>
      <c r="FD894" s="2"/>
      <c r="FE894" s="2"/>
      <c r="FJ894" s="13"/>
      <c r="FK894" s="13"/>
      <c r="FL894" s="13"/>
      <c r="FM894" s="13"/>
      <c r="FN894" s="13"/>
      <c r="FO894" s="13"/>
      <c r="FP894" s="13"/>
      <c r="FQ894" s="13"/>
      <c r="FR894" s="13"/>
      <c r="FS894" s="13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O895" s="2"/>
      <c r="DP895" s="2"/>
      <c r="DQ895" s="2"/>
      <c r="DY895" s="2"/>
      <c r="DZ895" s="2"/>
      <c r="EA895" s="2"/>
      <c r="EI895" s="2"/>
      <c r="EJ895" s="2"/>
      <c r="EK895" s="2"/>
      <c r="ES895" s="2"/>
      <c r="ET895" s="2"/>
      <c r="EU895" s="2"/>
      <c r="FC895" s="2"/>
      <c r="FD895" s="2"/>
      <c r="FE895" s="2"/>
      <c r="FJ895" s="13"/>
      <c r="FK895" s="13"/>
      <c r="FL895" s="13"/>
      <c r="FM895" s="13"/>
      <c r="FN895" s="13"/>
      <c r="FO895" s="13"/>
      <c r="FP895" s="13"/>
      <c r="FQ895" s="13"/>
      <c r="FR895" s="13"/>
      <c r="FS895" s="13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O896" s="2"/>
      <c r="DP896" s="2"/>
      <c r="DQ896" s="2"/>
      <c r="DY896" s="2"/>
      <c r="DZ896" s="2"/>
      <c r="EA896" s="2"/>
      <c r="EI896" s="2"/>
      <c r="EJ896" s="2"/>
      <c r="EK896" s="2"/>
      <c r="ES896" s="2"/>
      <c r="ET896" s="2"/>
      <c r="EU896" s="2"/>
      <c r="FC896" s="2"/>
      <c r="FD896" s="2"/>
      <c r="FE896" s="2"/>
      <c r="FJ896" s="13"/>
      <c r="FK896" s="13"/>
      <c r="FL896" s="13"/>
      <c r="FM896" s="13"/>
      <c r="FN896" s="13"/>
      <c r="FO896" s="13"/>
      <c r="FP896" s="13"/>
      <c r="FQ896" s="13"/>
      <c r="FR896" s="13"/>
      <c r="FS896" s="13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O897" s="2"/>
      <c r="DP897" s="2"/>
      <c r="DQ897" s="2"/>
      <c r="DY897" s="2"/>
      <c r="DZ897" s="2"/>
      <c r="EA897" s="2"/>
      <c r="EI897" s="2"/>
      <c r="EJ897" s="2"/>
      <c r="EK897" s="2"/>
      <c r="ES897" s="2"/>
      <c r="ET897" s="2"/>
      <c r="EU897" s="2"/>
      <c r="FC897" s="2"/>
      <c r="FD897" s="2"/>
      <c r="FE897" s="2"/>
      <c r="FJ897" s="13"/>
      <c r="FK897" s="13"/>
      <c r="FL897" s="13"/>
      <c r="FM897" s="13"/>
      <c r="FN897" s="13"/>
      <c r="FO897" s="13"/>
      <c r="FP897" s="13"/>
      <c r="FQ897" s="13"/>
      <c r="FR897" s="13"/>
      <c r="FS897" s="13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O898" s="2"/>
      <c r="DP898" s="2"/>
      <c r="DQ898" s="2"/>
      <c r="DY898" s="2"/>
      <c r="DZ898" s="2"/>
      <c r="EA898" s="2"/>
      <c r="EI898" s="2"/>
      <c r="EJ898" s="2"/>
      <c r="EK898" s="2"/>
      <c r="ES898" s="2"/>
      <c r="ET898" s="2"/>
      <c r="EU898" s="2"/>
      <c r="FC898" s="2"/>
      <c r="FD898" s="2"/>
      <c r="FE898" s="2"/>
      <c r="FJ898" s="13"/>
      <c r="FK898" s="13"/>
      <c r="FL898" s="13"/>
      <c r="FM898" s="13"/>
      <c r="FN898" s="13"/>
      <c r="FO898" s="13"/>
      <c r="FP898" s="13"/>
      <c r="FQ898" s="13"/>
      <c r="FR898" s="13"/>
      <c r="FS898" s="13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O899" s="2"/>
      <c r="DP899" s="2"/>
      <c r="DQ899" s="2"/>
      <c r="DY899" s="2"/>
      <c r="DZ899" s="2"/>
      <c r="EA899" s="2"/>
      <c r="EI899" s="2"/>
      <c r="EJ899" s="2"/>
      <c r="EK899" s="2"/>
      <c r="ES899" s="2"/>
      <c r="ET899" s="2"/>
      <c r="EU899" s="2"/>
      <c r="FC899" s="2"/>
      <c r="FD899" s="2"/>
      <c r="FE899" s="2"/>
      <c r="FJ899" s="13"/>
      <c r="FK899" s="13"/>
      <c r="FL899" s="13"/>
      <c r="FM899" s="13"/>
      <c r="FN899" s="13"/>
      <c r="FO899" s="13"/>
      <c r="FP899" s="13"/>
      <c r="FQ899" s="13"/>
      <c r="FR899" s="13"/>
      <c r="FS899" s="13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O900" s="2"/>
      <c r="DP900" s="2"/>
      <c r="DQ900" s="2"/>
      <c r="DY900" s="2"/>
      <c r="DZ900" s="2"/>
      <c r="EA900" s="2"/>
      <c r="EI900" s="2"/>
      <c r="EJ900" s="2"/>
      <c r="EK900" s="2"/>
      <c r="ES900" s="2"/>
      <c r="ET900" s="2"/>
      <c r="EU900" s="2"/>
      <c r="FC900" s="2"/>
      <c r="FD900" s="2"/>
      <c r="FE900" s="2"/>
      <c r="FJ900" s="13"/>
      <c r="FK900" s="13"/>
      <c r="FL900" s="13"/>
      <c r="FM900" s="13"/>
      <c r="FN900" s="13"/>
      <c r="FO900" s="13"/>
      <c r="FP900" s="13"/>
      <c r="FQ900" s="13"/>
      <c r="FR900" s="13"/>
      <c r="FS900" s="13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O901" s="2"/>
      <c r="DP901" s="2"/>
      <c r="DQ901" s="2"/>
      <c r="DY901" s="2"/>
      <c r="DZ901" s="2"/>
      <c r="EA901" s="2"/>
      <c r="EI901" s="2"/>
      <c r="EJ901" s="2"/>
      <c r="EK901" s="2"/>
      <c r="ES901" s="2"/>
      <c r="ET901" s="2"/>
      <c r="EU901" s="2"/>
      <c r="FC901" s="2"/>
      <c r="FD901" s="2"/>
      <c r="FE901" s="2"/>
      <c r="FJ901" s="13"/>
      <c r="FK901" s="13"/>
      <c r="FL901" s="13"/>
      <c r="FM901" s="13"/>
      <c r="FN901" s="13"/>
      <c r="FO901" s="13"/>
      <c r="FP901" s="13"/>
      <c r="FQ901" s="13"/>
      <c r="FR901" s="13"/>
      <c r="FS901" s="13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O902" s="2"/>
      <c r="DP902" s="2"/>
      <c r="DQ902" s="2"/>
      <c r="DY902" s="2"/>
      <c r="DZ902" s="2"/>
      <c r="EA902" s="2"/>
      <c r="EI902" s="2"/>
      <c r="EJ902" s="2"/>
      <c r="EK902" s="2"/>
      <c r="ES902" s="2"/>
      <c r="ET902" s="2"/>
      <c r="EU902" s="2"/>
      <c r="FC902" s="2"/>
      <c r="FD902" s="2"/>
      <c r="FE902" s="2"/>
      <c r="FJ902" s="13"/>
      <c r="FK902" s="13"/>
      <c r="FL902" s="13"/>
      <c r="FM902" s="13"/>
      <c r="FN902" s="13"/>
      <c r="FO902" s="13"/>
      <c r="FP902" s="13"/>
      <c r="FQ902" s="13"/>
      <c r="FR902" s="13"/>
      <c r="FS902" s="13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O903" s="2"/>
      <c r="DP903" s="2"/>
      <c r="DQ903" s="2"/>
      <c r="DY903" s="2"/>
      <c r="DZ903" s="2"/>
      <c r="EA903" s="2"/>
      <c r="EI903" s="2"/>
      <c r="EJ903" s="2"/>
      <c r="EK903" s="2"/>
      <c r="ES903" s="2"/>
      <c r="ET903" s="2"/>
      <c r="EU903" s="2"/>
      <c r="FC903" s="2"/>
      <c r="FD903" s="2"/>
      <c r="FE903" s="2"/>
      <c r="FJ903" s="13"/>
      <c r="FK903" s="13"/>
      <c r="FL903" s="13"/>
      <c r="FM903" s="13"/>
      <c r="FN903" s="13"/>
      <c r="FO903" s="13"/>
      <c r="FP903" s="13"/>
      <c r="FQ903" s="13"/>
      <c r="FR903" s="13"/>
      <c r="FS903" s="13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O904" s="2"/>
      <c r="DP904" s="2"/>
      <c r="DQ904" s="2"/>
      <c r="DY904" s="2"/>
      <c r="DZ904" s="2"/>
      <c r="EA904" s="2"/>
      <c r="EI904" s="2"/>
      <c r="EJ904" s="2"/>
      <c r="EK904" s="2"/>
      <c r="ES904" s="2"/>
      <c r="ET904" s="2"/>
      <c r="EU904" s="2"/>
      <c r="FC904" s="2"/>
      <c r="FD904" s="2"/>
      <c r="FE904" s="2"/>
      <c r="FJ904" s="13"/>
      <c r="FK904" s="13"/>
      <c r="FL904" s="13"/>
      <c r="FM904" s="13"/>
      <c r="FN904" s="13"/>
      <c r="FO904" s="13"/>
      <c r="FP904" s="13"/>
      <c r="FQ904" s="13"/>
      <c r="FR904" s="13"/>
      <c r="FS904" s="13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O905" s="2"/>
      <c r="DP905" s="2"/>
      <c r="DQ905" s="2"/>
      <c r="DY905" s="2"/>
      <c r="DZ905" s="2"/>
      <c r="EA905" s="2"/>
      <c r="EI905" s="2"/>
      <c r="EJ905" s="2"/>
      <c r="EK905" s="2"/>
      <c r="ES905" s="2"/>
      <c r="ET905" s="2"/>
      <c r="EU905" s="2"/>
      <c r="FC905" s="2"/>
      <c r="FD905" s="2"/>
      <c r="FE905" s="2"/>
      <c r="FJ905" s="13"/>
      <c r="FK905" s="13"/>
      <c r="FL905" s="13"/>
      <c r="FM905" s="13"/>
      <c r="FN905" s="13"/>
      <c r="FO905" s="13"/>
      <c r="FP905" s="13"/>
      <c r="FQ905" s="13"/>
      <c r="FR905" s="13"/>
      <c r="FS905" s="13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O906" s="2"/>
      <c r="DP906" s="2"/>
      <c r="DQ906" s="2"/>
      <c r="DY906" s="2"/>
      <c r="DZ906" s="2"/>
      <c r="EA906" s="2"/>
      <c r="EI906" s="2"/>
      <c r="EJ906" s="2"/>
      <c r="EK906" s="2"/>
      <c r="ES906" s="2"/>
      <c r="ET906" s="2"/>
      <c r="EU906" s="2"/>
      <c r="FC906" s="2"/>
      <c r="FD906" s="2"/>
      <c r="FE906" s="2"/>
      <c r="FJ906" s="13"/>
      <c r="FK906" s="13"/>
      <c r="FL906" s="13"/>
      <c r="FM906" s="13"/>
      <c r="FN906" s="13"/>
      <c r="FO906" s="13"/>
      <c r="FP906" s="13"/>
      <c r="FQ906" s="13"/>
      <c r="FR906" s="13"/>
      <c r="FS906" s="13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O907" s="2"/>
      <c r="DP907" s="2"/>
      <c r="DQ907" s="2"/>
      <c r="DY907" s="2"/>
      <c r="DZ907" s="2"/>
      <c r="EA907" s="2"/>
      <c r="EI907" s="2"/>
      <c r="EJ907" s="2"/>
      <c r="EK907" s="2"/>
      <c r="ES907" s="2"/>
      <c r="ET907" s="2"/>
      <c r="EU907" s="2"/>
      <c r="FC907" s="2"/>
      <c r="FD907" s="2"/>
      <c r="FE907" s="2"/>
      <c r="FJ907" s="13"/>
      <c r="FK907" s="13"/>
      <c r="FL907" s="13"/>
      <c r="FM907" s="13"/>
      <c r="FN907" s="13"/>
      <c r="FO907" s="13"/>
      <c r="FP907" s="13"/>
      <c r="FQ907" s="13"/>
      <c r="FR907" s="13"/>
      <c r="FS907" s="13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O908" s="2"/>
      <c r="DP908" s="2"/>
      <c r="DQ908" s="2"/>
      <c r="DY908" s="2"/>
      <c r="DZ908" s="2"/>
      <c r="EA908" s="2"/>
      <c r="EI908" s="2"/>
      <c r="EJ908" s="2"/>
      <c r="EK908" s="2"/>
      <c r="ES908" s="2"/>
      <c r="ET908" s="2"/>
      <c r="EU908" s="2"/>
      <c r="FC908" s="2"/>
      <c r="FD908" s="2"/>
      <c r="FE908" s="2"/>
      <c r="FJ908" s="13"/>
      <c r="FK908" s="13"/>
      <c r="FL908" s="13"/>
      <c r="FM908" s="13"/>
      <c r="FN908" s="13"/>
      <c r="FO908" s="13"/>
      <c r="FP908" s="13"/>
      <c r="FQ908" s="13"/>
      <c r="FR908" s="13"/>
      <c r="FS908" s="13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O909" s="2"/>
      <c r="DP909" s="2"/>
      <c r="DQ909" s="2"/>
      <c r="DY909" s="2"/>
      <c r="DZ909" s="2"/>
      <c r="EA909" s="2"/>
      <c r="EI909" s="2"/>
      <c r="EJ909" s="2"/>
      <c r="EK909" s="2"/>
      <c r="ES909" s="2"/>
      <c r="ET909" s="2"/>
      <c r="EU909" s="2"/>
      <c r="FC909" s="2"/>
      <c r="FD909" s="2"/>
      <c r="FE909" s="2"/>
      <c r="FJ909" s="13"/>
      <c r="FK909" s="13"/>
      <c r="FL909" s="13"/>
      <c r="FM909" s="13"/>
      <c r="FN909" s="13"/>
      <c r="FO909" s="13"/>
      <c r="FP909" s="13"/>
      <c r="FQ909" s="13"/>
      <c r="FR909" s="13"/>
      <c r="FS909" s="13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O910" s="2"/>
      <c r="DP910" s="2"/>
      <c r="DQ910" s="2"/>
      <c r="DY910" s="2"/>
      <c r="DZ910" s="2"/>
      <c r="EA910" s="2"/>
      <c r="EI910" s="2"/>
      <c r="EJ910" s="2"/>
      <c r="EK910" s="2"/>
      <c r="ES910" s="2"/>
      <c r="ET910" s="2"/>
      <c r="EU910" s="2"/>
      <c r="FC910" s="2"/>
      <c r="FD910" s="2"/>
      <c r="FE910" s="2"/>
      <c r="FJ910" s="13"/>
      <c r="FK910" s="13"/>
      <c r="FL910" s="13"/>
      <c r="FM910" s="13"/>
      <c r="FN910" s="13"/>
      <c r="FO910" s="13"/>
      <c r="FP910" s="13"/>
      <c r="FQ910" s="13"/>
      <c r="FR910" s="13"/>
      <c r="FS910" s="13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O911" s="2"/>
      <c r="DP911" s="2"/>
      <c r="DQ911" s="2"/>
      <c r="DY911" s="2"/>
      <c r="DZ911" s="2"/>
      <c r="EA911" s="2"/>
      <c r="EI911" s="2"/>
      <c r="EJ911" s="2"/>
      <c r="EK911" s="2"/>
      <c r="ES911" s="2"/>
      <c r="ET911" s="2"/>
      <c r="EU911" s="2"/>
      <c r="FC911" s="2"/>
      <c r="FD911" s="2"/>
      <c r="FE911" s="2"/>
      <c r="FJ911" s="13"/>
      <c r="FK911" s="13"/>
      <c r="FL911" s="13"/>
      <c r="FM911" s="13"/>
      <c r="FN911" s="13"/>
      <c r="FO911" s="13"/>
      <c r="FP911" s="13"/>
      <c r="FQ911" s="13"/>
      <c r="FR911" s="13"/>
      <c r="FS911" s="13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O912" s="2"/>
      <c r="DP912" s="2"/>
      <c r="DQ912" s="2"/>
      <c r="DY912" s="2"/>
      <c r="DZ912" s="2"/>
      <c r="EA912" s="2"/>
      <c r="EI912" s="2"/>
      <c r="EJ912" s="2"/>
      <c r="EK912" s="2"/>
      <c r="ES912" s="2"/>
      <c r="ET912" s="2"/>
      <c r="EU912" s="2"/>
      <c r="FC912" s="2"/>
      <c r="FD912" s="2"/>
      <c r="FE912" s="2"/>
      <c r="FJ912" s="13"/>
      <c r="FK912" s="13"/>
      <c r="FL912" s="13"/>
      <c r="FM912" s="13"/>
      <c r="FN912" s="13"/>
      <c r="FO912" s="13"/>
      <c r="FP912" s="13"/>
      <c r="FQ912" s="13"/>
      <c r="FR912" s="13"/>
      <c r="FS912" s="13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O913" s="2"/>
      <c r="DP913" s="2"/>
      <c r="DQ913" s="2"/>
      <c r="DY913" s="2"/>
      <c r="DZ913" s="2"/>
      <c r="EA913" s="2"/>
      <c r="EI913" s="2"/>
      <c r="EJ913" s="2"/>
      <c r="EK913" s="2"/>
      <c r="ES913" s="2"/>
      <c r="ET913" s="2"/>
      <c r="EU913" s="2"/>
      <c r="FC913" s="2"/>
      <c r="FD913" s="2"/>
      <c r="FE913" s="2"/>
      <c r="FJ913" s="13"/>
      <c r="FK913" s="13"/>
      <c r="FL913" s="13"/>
      <c r="FM913" s="13"/>
      <c r="FN913" s="13"/>
      <c r="FO913" s="13"/>
      <c r="FP913" s="13"/>
      <c r="FQ913" s="13"/>
      <c r="FR913" s="13"/>
      <c r="FS913" s="13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O914" s="2"/>
      <c r="DP914" s="2"/>
      <c r="DQ914" s="2"/>
      <c r="DY914" s="2"/>
      <c r="DZ914" s="2"/>
      <c r="EA914" s="2"/>
      <c r="EI914" s="2"/>
      <c r="EJ914" s="2"/>
      <c r="EK914" s="2"/>
      <c r="ES914" s="2"/>
      <c r="ET914" s="2"/>
      <c r="EU914" s="2"/>
      <c r="FC914" s="2"/>
      <c r="FD914" s="2"/>
      <c r="FE914" s="2"/>
      <c r="FJ914" s="13"/>
      <c r="FK914" s="13"/>
      <c r="FL914" s="13"/>
      <c r="FM914" s="13"/>
      <c r="FN914" s="13"/>
      <c r="FO914" s="13"/>
      <c r="FP914" s="13"/>
      <c r="FQ914" s="13"/>
      <c r="FR914" s="13"/>
      <c r="FS914" s="13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O915" s="2"/>
      <c r="DP915" s="2"/>
      <c r="DQ915" s="2"/>
      <c r="DY915" s="2"/>
      <c r="DZ915" s="2"/>
      <c r="EA915" s="2"/>
      <c r="EI915" s="2"/>
      <c r="EJ915" s="2"/>
      <c r="EK915" s="2"/>
      <c r="ES915" s="2"/>
      <c r="ET915" s="2"/>
      <c r="EU915" s="2"/>
      <c r="FC915" s="2"/>
      <c r="FD915" s="2"/>
      <c r="FE915" s="2"/>
      <c r="FJ915" s="13"/>
      <c r="FK915" s="13"/>
      <c r="FL915" s="13"/>
      <c r="FM915" s="13"/>
      <c r="FN915" s="13"/>
      <c r="FO915" s="13"/>
      <c r="FP915" s="13"/>
      <c r="FQ915" s="13"/>
      <c r="FR915" s="13"/>
      <c r="FS915" s="13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O916" s="2"/>
      <c r="DP916" s="2"/>
      <c r="DQ916" s="2"/>
      <c r="DY916" s="2"/>
      <c r="DZ916" s="2"/>
      <c r="EA916" s="2"/>
      <c r="EI916" s="2"/>
      <c r="EJ916" s="2"/>
      <c r="EK916" s="2"/>
      <c r="ES916" s="2"/>
      <c r="ET916" s="2"/>
      <c r="EU916" s="2"/>
      <c r="FC916" s="2"/>
      <c r="FD916" s="2"/>
      <c r="FE916" s="2"/>
      <c r="FJ916" s="13"/>
      <c r="FK916" s="13"/>
      <c r="FL916" s="13"/>
      <c r="FM916" s="13"/>
      <c r="FN916" s="13"/>
      <c r="FO916" s="13"/>
      <c r="FP916" s="13"/>
      <c r="FQ916" s="13"/>
      <c r="FR916" s="13"/>
      <c r="FS916" s="13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O917" s="2"/>
      <c r="DP917" s="2"/>
      <c r="DQ917" s="2"/>
      <c r="DY917" s="2"/>
      <c r="DZ917" s="2"/>
      <c r="EA917" s="2"/>
      <c r="EI917" s="2"/>
      <c r="EJ917" s="2"/>
      <c r="EK917" s="2"/>
      <c r="ES917" s="2"/>
      <c r="ET917" s="2"/>
      <c r="EU917" s="2"/>
      <c r="FC917" s="2"/>
      <c r="FD917" s="2"/>
      <c r="FE917" s="2"/>
      <c r="FJ917" s="13"/>
      <c r="FK917" s="13"/>
      <c r="FL917" s="13"/>
      <c r="FM917" s="13"/>
      <c r="FN917" s="13"/>
      <c r="FO917" s="13"/>
      <c r="FP917" s="13"/>
      <c r="FQ917" s="13"/>
      <c r="FR917" s="13"/>
      <c r="FS917" s="13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O918" s="2"/>
      <c r="DP918" s="2"/>
      <c r="DQ918" s="2"/>
      <c r="DY918" s="2"/>
      <c r="DZ918" s="2"/>
      <c r="EA918" s="2"/>
      <c r="EI918" s="2"/>
      <c r="EJ918" s="2"/>
      <c r="EK918" s="2"/>
      <c r="ES918" s="2"/>
      <c r="ET918" s="2"/>
      <c r="EU918" s="2"/>
      <c r="FC918" s="2"/>
      <c r="FD918" s="2"/>
      <c r="FE918" s="2"/>
      <c r="FJ918" s="13"/>
      <c r="FK918" s="13"/>
      <c r="FL918" s="13"/>
      <c r="FM918" s="13"/>
      <c r="FN918" s="13"/>
      <c r="FO918" s="13"/>
      <c r="FP918" s="13"/>
      <c r="FQ918" s="13"/>
      <c r="FR918" s="13"/>
      <c r="FS918" s="13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O919" s="2"/>
      <c r="DP919" s="2"/>
      <c r="DQ919" s="2"/>
      <c r="DY919" s="2"/>
      <c r="DZ919" s="2"/>
      <c r="EA919" s="2"/>
      <c r="EI919" s="2"/>
      <c r="EJ919" s="2"/>
      <c r="EK919" s="2"/>
      <c r="ES919" s="2"/>
      <c r="ET919" s="2"/>
      <c r="EU919" s="2"/>
      <c r="FC919" s="2"/>
      <c r="FD919" s="2"/>
      <c r="FE919" s="2"/>
      <c r="FJ919" s="13"/>
      <c r="FK919" s="13"/>
      <c r="FL919" s="13"/>
      <c r="FM919" s="13"/>
      <c r="FN919" s="13"/>
      <c r="FO919" s="13"/>
      <c r="FP919" s="13"/>
      <c r="FQ919" s="13"/>
      <c r="FR919" s="13"/>
      <c r="FS919" s="13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O920" s="2"/>
      <c r="DP920" s="2"/>
      <c r="DQ920" s="2"/>
      <c r="DY920" s="2"/>
      <c r="DZ920" s="2"/>
      <c r="EA920" s="2"/>
      <c r="EI920" s="2"/>
      <c r="EJ920" s="2"/>
      <c r="EK920" s="2"/>
      <c r="ES920" s="2"/>
      <c r="ET920" s="2"/>
      <c r="EU920" s="2"/>
      <c r="FC920" s="2"/>
      <c r="FD920" s="2"/>
      <c r="FE920" s="2"/>
      <c r="FJ920" s="13"/>
      <c r="FK920" s="13"/>
      <c r="FL920" s="13"/>
      <c r="FM920" s="13"/>
      <c r="FN920" s="13"/>
      <c r="FO920" s="13"/>
      <c r="FP920" s="13"/>
      <c r="FQ920" s="13"/>
      <c r="FR920" s="13"/>
      <c r="FS920" s="13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O921" s="2"/>
      <c r="DP921" s="2"/>
      <c r="DQ921" s="2"/>
      <c r="DY921" s="2"/>
      <c r="DZ921" s="2"/>
      <c r="EA921" s="2"/>
      <c r="EI921" s="2"/>
      <c r="EJ921" s="2"/>
      <c r="EK921" s="2"/>
      <c r="ES921" s="2"/>
      <c r="ET921" s="2"/>
      <c r="EU921" s="2"/>
      <c r="FC921" s="2"/>
      <c r="FD921" s="2"/>
      <c r="FE921" s="2"/>
      <c r="FJ921" s="13"/>
      <c r="FK921" s="13"/>
      <c r="FL921" s="13"/>
      <c r="FM921" s="13"/>
      <c r="FN921" s="13"/>
      <c r="FO921" s="13"/>
      <c r="FP921" s="13"/>
      <c r="FQ921" s="13"/>
      <c r="FR921" s="13"/>
      <c r="FS921" s="13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O922" s="2"/>
      <c r="DP922" s="2"/>
      <c r="DQ922" s="2"/>
      <c r="DY922" s="2"/>
      <c r="DZ922" s="2"/>
      <c r="EA922" s="2"/>
      <c r="EI922" s="2"/>
      <c r="EJ922" s="2"/>
      <c r="EK922" s="2"/>
      <c r="ES922" s="2"/>
      <c r="ET922" s="2"/>
      <c r="EU922" s="2"/>
      <c r="FC922" s="2"/>
      <c r="FD922" s="2"/>
      <c r="FE922" s="2"/>
      <c r="FJ922" s="13"/>
      <c r="FK922" s="13"/>
      <c r="FL922" s="13"/>
      <c r="FM922" s="13"/>
      <c r="FN922" s="13"/>
      <c r="FO922" s="13"/>
      <c r="FP922" s="13"/>
      <c r="FQ922" s="13"/>
      <c r="FR922" s="13"/>
      <c r="FS922" s="13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O923" s="2"/>
      <c r="DP923" s="2"/>
      <c r="DQ923" s="2"/>
      <c r="DY923" s="2"/>
      <c r="DZ923" s="2"/>
      <c r="EA923" s="2"/>
      <c r="EI923" s="2"/>
      <c r="EJ923" s="2"/>
      <c r="EK923" s="2"/>
      <c r="ES923" s="2"/>
      <c r="ET923" s="2"/>
      <c r="EU923" s="2"/>
      <c r="FC923" s="2"/>
      <c r="FD923" s="2"/>
      <c r="FE923" s="2"/>
      <c r="FJ923" s="13"/>
      <c r="FK923" s="13"/>
      <c r="FL923" s="13"/>
      <c r="FM923" s="13"/>
      <c r="FN923" s="13"/>
      <c r="FO923" s="13"/>
      <c r="FP923" s="13"/>
      <c r="FQ923" s="13"/>
      <c r="FR923" s="13"/>
      <c r="FS923" s="13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O924" s="2"/>
      <c r="DP924" s="2"/>
      <c r="DQ924" s="2"/>
      <c r="DY924" s="2"/>
      <c r="DZ924" s="2"/>
      <c r="EA924" s="2"/>
      <c r="EI924" s="2"/>
      <c r="EJ924" s="2"/>
      <c r="EK924" s="2"/>
      <c r="ES924" s="2"/>
      <c r="ET924" s="2"/>
      <c r="EU924" s="2"/>
      <c r="FC924" s="2"/>
      <c r="FD924" s="2"/>
      <c r="FE924" s="2"/>
      <c r="FJ924" s="13"/>
      <c r="FK924" s="13"/>
      <c r="FL924" s="13"/>
      <c r="FM924" s="13"/>
      <c r="FN924" s="13"/>
      <c r="FO924" s="13"/>
      <c r="FP924" s="13"/>
      <c r="FQ924" s="13"/>
      <c r="FR924" s="13"/>
      <c r="FS924" s="13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O925" s="2"/>
      <c r="DP925" s="2"/>
      <c r="DQ925" s="2"/>
      <c r="DY925" s="2"/>
      <c r="DZ925" s="2"/>
      <c r="EA925" s="2"/>
      <c r="EI925" s="2"/>
      <c r="EJ925" s="2"/>
      <c r="EK925" s="2"/>
      <c r="ES925" s="2"/>
      <c r="ET925" s="2"/>
      <c r="EU925" s="2"/>
      <c r="FC925" s="2"/>
      <c r="FD925" s="2"/>
      <c r="FE925" s="2"/>
      <c r="FJ925" s="13"/>
      <c r="FK925" s="13"/>
      <c r="FL925" s="13"/>
      <c r="FM925" s="13"/>
      <c r="FN925" s="13"/>
      <c r="FO925" s="13"/>
      <c r="FP925" s="13"/>
      <c r="FQ925" s="13"/>
      <c r="FR925" s="13"/>
      <c r="FS925" s="13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O926" s="2"/>
      <c r="DP926" s="2"/>
      <c r="DQ926" s="2"/>
      <c r="DY926" s="2"/>
      <c r="DZ926" s="2"/>
      <c r="EA926" s="2"/>
      <c r="EI926" s="2"/>
      <c r="EJ926" s="2"/>
      <c r="EK926" s="2"/>
      <c r="ES926" s="2"/>
      <c r="ET926" s="2"/>
      <c r="EU926" s="2"/>
      <c r="FC926" s="2"/>
      <c r="FD926" s="2"/>
      <c r="FE926" s="2"/>
      <c r="FJ926" s="13"/>
      <c r="FK926" s="13"/>
      <c r="FL926" s="13"/>
      <c r="FM926" s="13"/>
      <c r="FN926" s="13"/>
      <c r="FO926" s="13"/>
      <c r="FP926" s="13"/>
      <c r="FQ926" s="13"/>
      <c r="FR926" s="13"/>
      <c r="FS926" s="13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O927" s="2"/>
      <c r="DP927" s="2"/>
      <c r="DQ927" s="2"/>
      <c r="DY927" s="2"/>
      <c r="DZ927" s="2"/>
      <c r="EA927" s="2"/>
      <c r="EI927" s="2"/>
      <c r="EJ927" s="2"/>
      <c r="EK927" s="2"/>
      <c r="ES927" s="2"/>
      <c r="ET927" s="2"/>
      <c r="EU927" s="2"/>
      <c r="FC927" s="2"/>
      <c r="FD927" s="2"/>
      <c r="FE927" s="2"/>
      <c r="FJ927" s="13"/>
      <c r="FK927" s="13"/>
      <c r="FL927" s="13"/>
      <c r="FM927" s="13"/>
      <c r="FN927" s="13"/>
      <c r="FO927" s="13"/>
      <c r="FP927" s="13"/>
      <c r="FQ927" s="13"/>
      <c r="FR927" s="13"/>
      <c r="FS927" s="13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O928" s="2"/>
      <c r="DP928" s="2"/>
      <c r="DQ928" s="2"/>
      <c r="DY928" s="2"/>
      <c r="DZ928" s="2"/>
      <c r="EA928" s="2"/>
      <c r="EI928" s="2"/>
      <c r="EJ928" s="2"/>
      <c r="EK928" s="2"/>
      <c r="ES928" s="2"/>
      <c r="ET928" s="2"/>
      <c r="EU928" s="2"/>
      <c r="FC928" s="2"/>
      <c r="FD928" s="2"/>
      <c r="FE928" s="2"/>
      <c r="FJ928" s="13"/>
      <c r="FK928" s="13"/>
      <c r="FL928" s="13"/>
      <c r="FM928" s="13"/>
      <c r="FN928" s="13"/>
      <c r="FO928" s="13"/>
      <c r="FP928" s="13"/>
      <c r="FQ928" s="13"/>
      <c r="FR928" s="13"/>
      <c r="FS928" s="13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O929" s="2"/>
      <c r="DP929" s="2"/>
      <c r="DQ929" s="2"/>
      <c r="DY929" s="2"/>
      <c r="DZ929" s="2"/>
      <c r="EA929" s="2"/>
      <c r="EI929" s="2"/>
      <c r="EJ929" s="2"/>
      <c r="EK929" s="2"/>
      <c r="ES929" s="2"/>
      <c r="ET929" s="2"/>
      <c r="EU929" s="2"/>
      <c r="FC929" s="2"/>
      <c r="FD929" s="2"/>
      <c r="FE929" s="2"/>
      <c r="FJ929" s="13"/>
      <c r="FK929" s="13"/>
      <c r="FL929" s="13"/>
      <c r="FM929" s="13"/>
      <c r="FN929" s="13"/>
      <c r="FO929" s="13"/>
      <c r="FP929" s="13"/>
      <c r="FQ929" s="13"/>
      <c r="FR929" s="13"/>
      <c r="FS929" s="13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O930" s="2"/>
      <c r="DP930" s="2"/>
      <c r="DQ930" s="2"/>
      <c r="DY930" s="2"/>
      <c r="DZ930" s="2"/>
      <c r="EA930" s="2"/>
      <c r="EI930" s="2"/>
      <c r="EJ930" s="2"/>
      <c r="EK930" s="2"/>
      <c r="ES930" s="2"/>
      <c r="ET930" s="2"/>
      <c r="EU930" s="2"/>
      <c r="FC930" s="2"/>
      <c r="FD930" s="2"/>
      <c r="FE930" s="2"/>
      <c r="FJ930" s="13"/>
      <c r="FK930" s="13"/>
      <c r="FL930" s="13"/>
      <c r="FM930" s="13"/>
      <c r="FN930" s="13"/>
      <c r="FO930" s="13"/>
      <c r="FP930" s="13"/>
      <c r="FQ930" s="13"/>
      <c r="FR930" s="13"/>
      <c r="FS930" s="13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O931" s="2"/>
      <c r="DP931" s="2"/>
      <c r="DQ931" s="2"/>
      <c r="DY931" s="2"/>
      <c r="DZ931" s="2"/>
      <c r="EA931" s="2"/>
      <c r="EI931" s="2"/>
      <c r="EJ931" s="2"/>
      <c r="EK931" s="2"/>
      <c r="ES931" s="2"/>
      <c r="ET931" s="2"/>
      <c r="EU931" s="2"/>
      <c r="FC931" s="2"/>
      <c r="FD931" s="2"/>
      <c r="FE931" s="2"/>
      <c r="FJ931" s="13"/>
      <c r="FK931" s="13"/>
      <c r="FL931" s="13"/>
      <c r="FM931" s="13"/>
      <c r="FN931" s="13"/>
      <c r="FO931" s="13"/>
      <c r="FP931" s="13"/>
      <c r="FQ931" s="13"/>
      <c r="FR931" s="13"/>
      <c r="FS931" s="13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O932" s="2"/>
      <c r="DP932" s="2"/>
      <c r="DQ932" s="2"/>
      <c r="DY932" s="2"/>
      <c r="DZ932" s="2"/>
      <c r="EA932" s="2"/>
      <c r="EI932" s="2"/>
      <c r="EJ932" s="2"/>
      <c r="EK932" s="2"/>
      <c r="ES932" s="2"/>
      <c r="ET932" s="2"/>
      <c r="EU932" s="2"/>
      <c r="FC932" s="2"/>
      <c r="FD932" s="2"/>
      <c r="FE932" s="2"/>
      <c r="FJ932" s="13"/>
      <c r="FK932" s="13"/>
      <c r="FL932" s="13"/>
      <c r="FM932" s="13"/>
      <c r="FN932" s="13"/>
      <c r="FO932" s="13"/>
      <c r="FP932" s="13"/>
      <c r="FQ932" s="13"/>
      <c r="FR932" s="13"/>
      <c r="FS932" s="13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O933" s="2"/>
      <c r="DP933" s="2"/>
      <c r="DQ933" s="2"/>
      <c r="DY933" s="2"/>
      <c r="DZ933" s="2"/>
      <c r="EA933" s="2"/>
      <c r="EI933" s="2"/>
      <c r="EJ933" s="2"/>
      <c r="EK933" s="2"/>
      <c r="ES933" s="2"/>
      <c r="ET933" s="2"/>
      <c r="EU933" s="2"/>
      <c r="FC933" s="2"/>
      <c r="FD933" s="2"/>
      <c r="FE933" s="2"/>
      <c r="FJ933" s="13"/>
      <c r="FK933" s="13"/>
      <c r="FL933" s="13"/>
      <c r="FM933" s="13"/>
      <c r="FN933" s="13"/>
      <c r="FO933" s="13"/>
      <c r="FP933" s="13"/>
      <c r="FQ933" s="13"/>
      <c r="FR933" s="13"/>
      <c r="FS933" s="13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O934" s="2"/>
      <c r="DP934" s="2"/>
      <c r="DQ934" s="2"/>
      <c r="DY934" s="2"/>
      <c r="DZ934" s="2"/>
      <c r="EA934" s="2"/>
      <c r="EI934" s="2"/>
      <c r="EJ934" s="2"/>
      <c r="EK934" s="2"/>
      <c r="ES934" s="2"/>
      <c r="ET934" s="2"/>
      <c r="EU934" s="2"/>
      <c r="FC934" s="2"/>
      <c r="FD934" s="2"/>
      <c r="FE934" s="2"/>
      <c r="FJ934" s="13"/>
      <c r="FK934" s="13"/>
      <c r="FL934" s="13"/>
      <c r="FM934" s="13"/>
      <c r="FN934" s="13"/>
      <c r="FO934" s="13"/>
      <c r="FP934" s="13"/>
      <c r="FQ934" s="13"/>
      <c r="FR934" s="13"/>
      <c r="FS934" s="13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O935" s="2"/>
      <c r="DP935" s="2"/>
      <c r="DQ935" s="2"/>
      <c r="DY935" s="2"/>
      <c r="DZ935" s="2"/>
      <c r="EA935" s="2"/>
      <c r="EI935" s="2"/>
      <c r="EJ935" s="2"/>
      <c r="EK935" s="2"/>
      <c r="ES935" s="2"/>
      <c r="ET935" s="2"/>
      <c r="EU935" s="2"/>
      <c r="FC935" s="2"/>
      <c r="FD935" s="2"/>
      <c r="FE935" s="2"/>
      <c r="FJ935" s="13"/>
      <c r="FK935" s="13"/>
      <c r="FL935" s="13"/>
      <c r="FM935" s="13"/>
      <c r="FN935" s="13"/>
      <c r="FO935" s="13"/>
      <c r="FP935" s="13"/>
      <c r="FQ935" s="13"/>
      <c r="FR935" s="13"/>
      <c r="FS935" s="13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O936" s="2"/>
      <c r="DP936" s="2"/>
      <c r="DQ936" s="2"/>
      <c r="DY936" s="2"/>
      <c r="DZ936" s="2"/>
      <c r="EA936" s="2"/>
      <c r="EI936" s="2"/>
      <c r="EJ936" s="2"/>
      <c r="EK936" s="2"/>
      <c r="ES936" s="2"/>
      <c r="ET936" s="2"/>
      <c r="EU936" s="2"/>
      <c r="FC936" s="2"/>
      <c r="FD936" s="2"/>
      <c r="FE936" s="2"/>
      <c r="FJ936" s="13"/>
      <c r="FK936" s="13"/>
      <c r="FL936" s="13"/>
      <c r="FM936" s="13"/>
      <c r="FN936" s="13"/>
      <c r="FO936" s="13"/>
      <c r="FP936" s="13"/>
      <c r="FQ936" s="13"/>
      <c r="FR936" s="13"/>
      <c r="FS936" s="13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O937" s="2"/>
      <c r="DP937" s="2"/>
      <c r="DQ937" s="2"/>
      <c r="DY937" s="2"/>
      <c r="DZ937" s="2"/>
      <c r="EA937" s="2"/>
      <c r="EI937" s="2"/>
      <c r="EJ937" s="2"/>
      <c r="EK937" s="2"/>
      <c r="ES937" s="2"/>
      <c r="ET937" s="2"/>
      <c r="EU937" s="2"/>
      <c r="FC937" s="2"/>
      <c r="FD937" s="2"/>
      <c r="FE937" s="2"/>
      <c r="FJ937" s="13"/>
      <c r="FK937" s="13"/>
      <c r="FL937" s="13"/>
      <c r="FM937" s="13"/>
      <c r="FN937" s="13"/>
      <c r="FO937" s="13"/>
      <c r="FP937" s="13"/>
      <c r="FQ937" s="13"/>
      <c r="FR937" s="13"/>
      <c r="FS937" s="13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O938" s="2"/>
      <c r="DP938" s="2"/>
      <c r="DQ938" s="2"/>
      <c r="DY938" s="2"/>
      <c r="DZ938" s="2"/>
      <c r="EA938" s="2"/>
      <c r="EI938" s="2"/>
      <c r="EJ938" s="2"/>
      <c r="EK938" s="2"/>
      <c r="ES938" s="2"/>
      <c r="ET938" s="2"/>
      <c r="EU938" s="2"/>
      <c r="FC938" s="2"/>
      <c r="FD938" s="2"/>
      <c r="FE938" s="2"/>
      <c r="FJ938" s="13"/>
      <c r="FK938" s="13"/>
      <c r="FL938" s="13"/>
      <c r="FM938" s="13"/>
      <c r="FN938" s="13"/>
      <c r="FO938" s="13"/>
      <c r="FP938" s="13"/>
      <c r="FQ938" s="13"/>
      <c r="FR938" s="13"/>
      <c r="FS938" s="13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O939" s="2"/>
      <c r="DP939" s="2"/>
      <c r="DQ939" s="2"/>
      <c r="DY939" s="2"/>
      <c r="DZ939" s="2"/>
      <c r="EA939" s="2"/>
      <c r="EI939" s="2"/>
      <c r="EJ939" s="2"/>
      <c r="EK939" s="2"/>
      <c r="ES939" s="2"/>
      <c r="ET939" s="2"/>
      <c r="EU939" s="2"/>
      <c r="FC939" s="2"/>
      <c r="FD939" s="2"/>
      <c r="FE939" s="2"/>
      <c r="FJ939" s="13"/>
      <c r="FK939" s="13"/>
      <c r="FL939" s="13"/>
      <c r="FM939" s="13"/>
      <c r="FN939" s="13"/>
      <c r="FO939" s="13"/>
      <c r="FP939" s="13"/>
      <c r="FQ939" s="13"/>
      <c r="FR939" s="13"/>
      <c r="FS939" s="13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O940" s="2"/>
      <c r="DP940" s="2"/>
      <c r="DQ940" s="2"/>
      <c r="DY940" s="2"/>
      <c r="DZ940" s="2"/>
      <c r="EA940" s="2"/>
      <c r="EI940" s="2"/>
      <c r="EJ940" s="2"/>
      <c r="EK940" s="2"/>
      <c r="ES940" s="2"/>
      <c r="ET940" s="2"/>
      <c r="EU940" s="2"/>
      <c r="FC940" s="2"/>
      <c r="FD940" s="2"/>
      <c r="FE940" s="2"/>
      <c r="FJ940" s="13"/>
      <c r="FK940" s="13"/>
      <c r="FL940" s="13"/>
      <c r="FM940" s="13"/>
      <c r="FN940" s="13"/>
      <c r="FO940" s="13"/>
      <c r="FP940" s="13"/>
      <c r="FQ940" s="13"/>
      <c r="FR940" s="13"/>
      <c r="FS940" s="13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O941" s="2"/>
      <c r="DP941" s="2"/>
      <c r="DQ941" s="2"/>
      <c r="DY941" s="2"/>
      <c r="DZ941" s="2"/>
      <c r="EA941" s="2"/>
      <c r="EI941" s="2"/>
      <c r="EJ941" s="2"/>
      <c r="EK941" s="2"/>
      <c r="ES941" s="2"/>
      <c r="ET941" s="2"/>
      <c r="EU941" s="2"/>
      <c r="FC941" s="2"/>
      <c r="FD941" s="2"/>
      <c r="FE941" s="2"/>
      <c r="FJ941" s="13"/>
      <c r="FK941" s="13"/>
      <c r="FL941" s="13"/>
      <c r="FM941" s="13"/>
      <c r="FN941" s="13"/>
      <c r="FO941" s="13"/>
      <c r="FP941" s="13"/>
      <c r="FQ941" s="13"/>
      <c r="FR941" s="13"/>
      <c r="FS941" s="13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O942" s="2"/>
      <c r="DP942" s="2"/>
      <c r="DQ942" s="2"/>
      <c r="DY942" s="2"/>
      <c r="DZ942" s="2"/>
      <c r="EA942" s="2"/>
      <c r="EI942" s="2"/>
      <c r="EJ942" s="2"/>
      <c r="EK942" s="2"/>
      <c r="ES942" s="2"/>
      <c r="ET942" s="2"/>
      <c r="EU942" s="2"/>
      <c r="FC942" s="2"/>
      <c r="FD942" s="2"/>
      <c r="FE942" s="2"/>
      <c r="FJ942" s="13"/>
      <c r="FK942" s="13"/>
      <c r="FL942" s="13"/>
      <c r="FM942" s="13"/>
      <c r="FN942" s="13"/>
      <c r="FO942" s="13"/>
      <c r="FP942" s="13"/>
      <c r="FQ942" s="13"/>
      <c r="FR942" s="13"/>
      <c r="FS942" s="13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O943" s="2"/>
      <c r="DP943" s="2"/>
      <c r="DQ943" s="2"/>
      <c r="DY943" s="2"/>
      <c r="DZ943" s="2"/>
      <c r="EA943" s="2"/>
      <c r="EI943" s="2"/>
      <c r="EJ943" s="2"/>
      <c r="EK943" s="2"/>
      <c r="ES943" s="2"/>
      <c r="ET943" s="2"/>
      <c r="EU943" s="2"/>
      <c r="FC943" s="2"/>
      <c r="FD943" s="2"/>
      <c r="FE943" s="2"/>
      <c r="FJ943" s="13"/>
      <c r="FK943" s="13"/>
      <c r="FL943" s="13"/>
      <c r="FM943" s="13"/>
      <c r="FN943" s="13"/>
      <c r="FO943" s="13"/>
      <c r="FP943" s="13"/>
      <c r="FQ943" s="13"/>
      <c r="FR943" s="13"/>
      <c r="FS943" s="13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O944" s="2"/>
      <c r="DP944" s="2"/>
      <c r="DQ944" s="2"/>
      <c r="DY944" s="2"/>
      <c r="DZ944" s="2"/>
      <c r="EA944" s="2"/>
      <c r="EI944" s="2"/>
      <c r="EJ944" s="2"/>
      <c r="EK944" s="2"/>
      <c r="ES944" s="2"/>
      <c r="ET944" s="2"/>
      <c r="EU944" s="2"/>
      <c r="FC944" s="2"/>
      <c r="FD944" s="2"/>
      <c r="FE944" s="2"/>
      <c r="FJ944" s="13"/>
      <c r="FK944" s="13"/>
      <c r="FL944" s="13"/>
      <c r="FM944" s="13"/>
      <c r="FN944" s="13"/>
      <c r="FO944" s="13"/>
      <c r="FP944" s="13"/>
      <c r="FQ944" s="13"/>
      <c r="FR944" s="13"/>
      <c r="FS944" s="13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O945" s="2"/>
      <c r="DP945" s="2"/>
      <c r="DQ945" s="2"/>
      <c r="DY945" s="2"/>
      <c r="DZ945" s="2"/>
      <c r="EA945" s="2"/>
      <c r="EI945" s="2"/>
      <c r="EJ945" s="2"/>
      <c r="EK945" s="2"/>
      <c r="ES945" s="2"/>
      <c r="ET945" s="2"/>
      <c r="EU945" s="2"/>
      <c r="FC945" s="2"/>
      <c r="FD945" s="2"/>
      <c r="FE945" s="2"/>
      <c r="FJ945" s="13"/>
      <c r="FK945" s="13"/>
      <c r="FL945" s="13"/>
      <c r="FM945" s="13"/>
      <c r="FN945" s="13"/>
      <c r="FO945" s="13"/>
      <c r="FP945" s="13"/>
      <c r="FQ945" s="13"/>
      <c r="FR945" s="13"/>
      <c r="FS945" s="13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O946" s="2"/>
      <c r="DP946" s="2"/>
      <c r="DQ946" s="2"/>
      <c r="DY946" s="2"/>
      <c r="DZ946" s="2"/>
      <c r="EA946" s="2"/>
      <c r="EI946" s="2"/>
      <c r="EJ946" s="2"/>
      <c r="EK946" s="2"/>
      <c r="ES946" s="2"/>
      <c r="ET946" s="2"/>
      <c r="EU946" s="2"/>
      <c r="FC946" s="2"/>
      <c r="FD946" s="2"/>
      <c r="FE946" s="2"/>
      <c r="FJ946" s="13"/>
      <c r="FK946" s="13"/>
      <c r="FL946" s="13"/>
      <c r="FM946" s="13"/>
      <c r="FN946" s="13"/>
      <c r="FO946" s="13"/>
      <c r="FP946" s="13"/>
      <c r="FQ946" s="13"/>
      <c r="FR946" s="13"/>
      <c r="FS946" s="13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O947" s="2"/>
      <c r="DP947" s="2"/>
      <c r="DQ947" s="2"/>
      <c r="DY947" s="2"/>
      <c r="DZ947" s="2"/>
      <c r="EA947" s="2"/>
      <c r="EI947" s="2"/>
      <c r="EJ947" s="2"/>
      <c r="EK947" s="2"/>
      <c r="ES947" s="2"/>
      <c r="ET947" s="2"/>
      <c r="EU947" s="2"/>
      <c r="FC947" s="2"/>
      <c r="FD947" s="2"/>
      <c r="FE947" s="2"/>
      <c r="FJ947" s="13"/>
      <c r="FK947" s="13"/>
      <c r="FL947" s="13"/>
      <c r="FM947" s="13"/>
      <c r="FN947" s="13"/>
      <c r="FO947" s="13"/>
      <c r="FP947" s="13"/>
      <c r="FQ947" s="13"/>
      <c r="FR947" s="13"/>
      <c r="FS947" s="13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O948" s="2"/>
      <c r="DP948" s="2"/>
      <c r="DQ948" s="2"/>
      <c r="DY948" s="2"/>
      <c r="DZ948" s="2"/>
      <c r="EA948" s="2"/>
      <c r="EI948" s="2"/>
      <c r="EJ948" s="2"/>
      <c r="EK948" s="2"/>
      <c r="ES948" s="2"/>
      <c r="ET948" s="2"/>
      <c r="EU948" s="2"/>
      <c r="FC948" s="2"/>
      <c r="FD948" s="2"/>
      <c r="FE948" s="2"/>
      <c r="FJ948" s="13"/>
      <c r="FK948" s="13"/>
      <c r="FL948" s="13"/>
      <c r="FM948" s="13"/>
      <c r="FN948" s="13"/>
      <c r="FO948" s="13"/>
      <c r="FP948" s="13"/>
      <c r="FQ948" s="13"/>
      <c r="FR948" s="13"/>
      <c r="FS948" s="13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O949" s="2"/>
      <c r="DP949" s="2"/>
      <c r="DQ949" s="2"/>
      <c r="DY949" s="2"/>
      <c r="DZ949" s="2"/>
      <c r="EA949" s="2"/>
      <c r="EI949" s="2"/>
      <c r="EJ949" s="2"/>
      <c r="EK949" s="2"/>
      <c r="ES949" s="2"/>
      <c r="ET949" s="2"/>
      <c r="EU949" s="2"/>
      <c r="FC949" s="2"/>
      <c r="FD949" s="2"/>
      <c r="FE949" s="2"/>
      <c r="FJ949" s="13"/>
      <c r="FK949" s="13"/>
      <c r="FL949" s="13"/>
      <c r="FM949" s="13"/>
      <c r="FN949" s="13"/>
      <c r="FO949" s="13"/>
      <c r="FP949" s="13"/>
      <c r="FQ949" s="13"/>
      <c r="FR949" s="13"/>
      <c r="FS949" s="13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O950" s="2"/>
      <c r="DP950" s="2"/>
      <c r="DQ950" s="2"/>
      <c r="DY950" s="2"/>
      <c r="DZ950" s="2"/>
      <c r="EA950" s="2"/>
      <c r="EI950" s="2"/>
      <c r="EJ950" s="2"/>
      <c r="EK950" s="2"/>
      <c r="ES950" s="2"/>
      <c r="ET950" s="2"/>
      <c r="EU950" s="2"/>
      <c r="FC950" s="2"/>
      <c r="FD950" s="2"/>
      <c r="FE950" s="2"/>
      <c r="FJ950" s="13"/>
      <c r="FK950" s="13"/>
      <c r="FL950" s="13"/>
      <c r="FM950" s="13"/>
      <c r="FN950" s="13"/>
      <c r="FO950" s="13"/>
      <c r="FP950" s="13"/>
      <c r="FQ950" s="13"/>
      <c r="FR950" s="13"/>
      <c r="FS950" s="13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O951" s="2"/>
      <c r="DP951" s="2"/>
      <c r="DQ951" s="2"/>
      <c r="DY951" s="2"/>
      <c r="DZ951" s="2"/>
      <c r="EA951" s="2"/>
      <c r="EI951" s="2"/>
      <c r="EJ951" s="2"/>
      <c r="EK951" s="2"/>
      <c r="ES951" s="2"/>
      <c r="ET951" s="2"/>
      <c r="EU951" s="2"/>
      <c r="FC951" s="2"/>
      <c r="FD951" s="2"/>
      <c r="FE951" s="2"/>
      <c r="FJ951" s="13"/>
      <c r="FK951" s="13"/>
      <c r="FL951" s="13"/>
      <c r="FM951" s="13"/>
      <c r="FN951" s="13"/>
      <c r="FO951" s="13"/>
      <c r="FP951" s="13"/>
      <c r="FQ951" s="13"/>
      <c r="FR951" s="13"/>
      <c r="FS951" s="13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O952" s="2"/>
      <c r="DP952" s="2"/>
      <c r="DQ952" s="2"/>
      <c r="DY952" s="2"/>
      <c r="DZ952" s="2"/>
      <c r="EA952" s="2"/>
      <c r="EI952" s="2"/>
      <c r="EJ952" s="2"/>
      <c r="EK952" s="2"/>
      <c r="ES952" s="2"/>
      <c r="ET952" s="2"/>
      <c r="EU952" s="2"/>
      <c r="FC952" s="2"/>
      <c r="FD952" s="2"/>
      <c r="FE952" s="2"/>
      <c r="FJ952" s="13"/>
      <c r="FK952" s="13"/>
      <c r="FL952" s="13"/>
      <c r="FM952" s="13"/>
      <c r="FN952" s="13"/>
      <c r="FO952" s="13"/>
      <c r="FP952" s="13"/>
      <c r="FQ952" s="13"/>
      <c r="FR952" s="13"/>
      <c r="FS952" s="13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O953" s="2"/>
      <c r="DP953" s="2"/>
      <c r="DQ953" s="2"/>
      <c r="DY953" s="2"/>
      <c r="DZ953" s="2"/>
      <c r="EA953" s="2"/>
      <c r="EI953" s="2"/>
      <c r="EJ953" s="2"/>
      <c r="EK953" s="2"/>
      <c r="ES953" s="2"/>
      <c r="ET953" s="2"/>
      <c r="EU953" s="2"/>
      <c r="FC953" s="2"/>
      <c r="FD953" s="2"/>
      <c r="FE953" s="2"/>
      <c r="FJ953" s="13"/>
      <c r="FK953" s="13"/>
      <c r="FL953" s="13"/>
      <c r="FM953" s="13"/>
      <c r="FN953" s="13"/>
      <c r="FO953" s="13"/>
      <c r="FP953" s="13"/>
      <c r="FQ953" s="13"/>
      <c r="FR953" s="13"/>
      <c r="FS953" s="13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O954" s="2"/>
      <c r="DP954" s="2"/>
      <c r="DQ954" s="2"/>
      <c r="DY954" s="2"/>
      <c r="DZ954" s="2"/>
      <c r="EA954" s="2"/>
      <c r="EI954" s="2"/>
      <c r="EJ954" s="2"/>
      <c r="EK954" s="2"/>
      <c r="ES954" s="2"/>
      <c r="ET954" s="2"/>
      <c r="EU954" s="2"/>
      <c r="FC954" s="2"/>
      <c r="FD954" s="2"/>
      <c r="FE954" s="2"/>
      <c r="FJ954" s="13"/>
      <c r="FK954" s="13"/>
      <c r="FL954" s="13"/>
      <c r="FM954" s="13"/>
      <c r="FN954" s="13"/>
      <c r="FO954" s="13"/>
      <c r="FP954" s="13"/>
      <c r="FQ954" s="13"/>
      <c r="FR954" s="13"/>
      <c r="FS954" s="13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O955" s="2"/>
      <c r="DP955" s="2"/>
      <c r="DQ955" s="2"/>
      <c r="DY955" s="2"/>
      <c r="DZ955" s="2"/>
      <c r="EA955" s="2"/>
      <c r="EI955" s="2"/>
      <c r="EJ955" s="2"/>
      <c r="EK955" s="2"/>
      <c r="ES955" s="2"/>
      <c r="ET955" s="2"/>
      <c r="EU955" s="2"/>
      <c r="FC955" s="2"/>
      <c r="FD955" s="2"/>
      <c r="FE955" s="2"/>
      <c r="FJ955" s="13"/>
      <c r="FK955" s="13"/>
      <c r="FL955" s="13"/>
      <c r="FM955" s="13"/>
      <c r="FN955" s="13"/>
      <c r="FO955" s="13"/>
      <c r="FP955" s="13"/>
      <c r="FQ955" s="13"/>
      <c r="FR955" s="13"/>
      <c r="FS955" s="13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O956" s="2"/>
      <c r="DP956" s="2"/>
      <c r="DQ956" s="2"/>
      <c r="DY956" s="2"/>
      <c r="DZ956" s="2"/>
      <c r="EA956" s="2"/>
      <c r="EI956" s="2"/>
      <c r="EJ956" s="2"/>
      <c r="EK956" s="2"/>
      <c r="ES956" s="2"/>
      <c r="ET956" s="2"/>
      <c r="EU956" s="2"/>
      <c r="FC956" s="2"/>
      <c r="FD956" s="2"/>
      <c r="FE956" s="2"/>
      <c r="FJ956" s="13"/>
      <c r="FK956" s="13"/>
      <c r="FL956" s="13"/>
      <c r="FM956" s="13"/>
      <c r="FN956" s="13"/>
      <c r="FO956" s="13"/>
      <c r="FP956" s="13"/>
      <c r="FQ956" s="13"/>
      <c r="FR956" s="13"/>
      <c r="FS956" s="13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O957" s="2"/>
      <c r="DP957" s="2"/>
      <c r="DQ957" s="2"/>
      <c r="DY957" s="2"/>
      <c r="DZ957" s="2"/>
      <c r="EA957" s="2"/>
      <c r="EI957" s="2"/>
      <c r="EJ957" s="2"/>
      <c r="EK957" s="2"/>
      <c r="ES957" s="2"/>
      <c r="ET957" s="2"/>
      <c r="EU957" s="2"/>
      <c r="FC957" s="2"/>
      <c r="FD957" s="2"/>
      <c r="FE957" s="2"/>
      <c r="FJ957" s="13"/>
      <c r="FK957" s="13"/>
      <c r="FL957" s="13"/>
      <c r="FM957" s="13"/>
      <c r="FN957" s="13"/>
      <c r="FO957" s="13"/>
      <c r="FP957" s="13"/>
      <c r="FQ957" s="13"/>
      <c r="FR957" s="13"/>
      <c r="FS957" s="13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O958" s="2"/>
      <c r="DP958" s="2"/>
      <c r="DQ958" s="2"/>
      <c r="DY958" s="2"/>
      <c r="DZ958" s="2"/>
      <c r="EA958" s="2"/>
      <c r="EI958" s="2"/>
      <c r="EJ958" s="2"/>
      <c r="EK958" s="2"/>
      <c r="ES958" s="2"/>
      <c r="ET958" s="2"/>
      <c r="EU958" s="2"/>
      <c r="FC958" s="2"/>
      <c r="FD958" s="2"/>
      <c r="FE958" s="2"/>
      <c r="FJ958" s="13"/>
      <c r="FK958" s="13"/>
      <c r="FL958" s="13"/>
      <c r="FM958" s="13"/>
      <c r="FN958" s="13"/>
      <c r="FO958" s="13"/>
      <c r="FP958" s="13"/>
      <c r="FQ958" s="13"/>
      <c r="FR958" s="13"/>
      <c r="FS958" s="13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O959" s="2"/>
      <c r="DP959" s="2"/>
      <c r="DQ959" s="2"/>
      <c r="DY959" s="2"/>
      <c r="DZ959" s="2"/>
      <c r="EA959" s="2"/>
      <c r="EI959" s="2"/>
      <c r="EJ959" s="2"/>
      <c r="EK959" s="2"/>
      <c r="ES959" s="2"/>
      <c r="ET959" s="2"/>
      <c r="EU959" s="2"/>
      <c r="FC959" s="2"/>
      <c r="FD959" s="2"/>
      <c r="FE959" s="2"/>
      <c r="FJ959" s="13"/>
      <c r="FK959" s="13"/>
      <c r="FL959" s="13"/>
      <c r="FM959" s="13"/>
      <c r="FN959" s="13"/>
      <c r="FO959" s="13"/>
      <c r="FP959" s="13"/>
      <c r="FQ959" s="13"/>
      <c r="FR959" s="13"/>
      <c r="FS959" s="13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O960" s="2"/>
      <c r="DP960" s="2"/>
      <c r="DQ960" s="2"/>
      <c r="DY960" s="2"/>
      <c r="DZ960" s="2"/>
      <c r="EA960" s="2"/>
      <c r="EI960" s="2"/>
      <c r="EJ960" s="2"/>
      <c r="EK960" s="2"/>
      <c r="ES960" s="2"/>
      <c r="ET960" s="2"/>
      <c r="EU960" s="2"/>
      <c r="FC960" s="2"/>
      <c r="FD960" s="2"/>
      <c r="FE960" s="2"/>
      <c r="FJ960" s="13"/>
      <c r="FK960" s="13"/>
      <c r="FL960" s="13"/>
      <c r="FM960" s="13"/>
      <c r="FN960" s="13"/>
      <c r="FO960" s="13"/>
      <c r="FP960" s="13"/>
      <c r="FQ960" s="13"/>
      <c r="FR960" s="13"/>
      <c r="FS960" s="13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O961" s="2"/>
      <c r="DP961" s="2"/>
      <c r="DQ961" s="2"/>
      <c r="DY961" s="2"/>
      <c r="DZ961" s="2"/>
      <c r="EA961" s="2"/>
      <c r="EI961" s="2"/>
      <c r="EJ961" s="2"/>
      <c r="EK961" s="2"/>
      <c r="ES961" s="2"/>
      <c r="ET961" s="2"/>
      <c r="EU961" s="2"/>
      <c r="FC961" s="2"/>
      <c r="FD961" s="2"/>
      <c r="FE961" s="2"/>
      <c r="FJ961" s="13"/>
      <c r="FK961" s="13"/>
      <c r="FL961" s="13"/>
      <c r="FM961" s="13"/>
      <c r="FN961" s="13"/>
      <c r="FO961" s="13"/>
      <c r="FP961" s="13"/>
      <c r="FQ961" s="13"/>
      <c r="FR961" s="13"/>
      <c r="FS961" s="13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O962" s="2"/>
      <c r="DP962" s="2"/>
      <c r="DQ962" s="2"/>
      <c r="DY962" s="2"/>
      <c r="DZ962" s="2"/>
      <c r="EA962" s="2"/>
      <c r="EI962" s="2"/>
      <c r="EJ962" s="2"/>
      <c r="EK962" s="2"/>
      <c r="ES962" s="2"/>
      <c r="ET962" s="2"/>
      <c r="EU962" s="2"/>
      <c r="FC962" s="2"/>
      <c r="FD962" s="2"/>
      <c r="FE962" s="2"/>
      <c r="FJ962" s="13"/>
      <c r="FK962" s="13"/>
      <c r="FL962" s="13"/>
      <c r="FM962" s="13"/>
      <c r="FN962" s="13"/>
      <c r="FO962" s="13"/>
      <c r="FP962" s="13"/>
      <c r="FQ962" s="13"/>
      <c r="FR962" s="13"/>
      <c r="FS962" s="13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O963" s="2"/>
      <c r="DP963" s="2"/>
      <c r="DQ963" s="2"/>
      <c r="DY963" s="2"/>
      <c r="DZ963" s="2"/>
      <c r="EA963" s="2"/>
      <c r="EI963" s="2"/>
      <c r="EJ963" s="2"/>
      <c r="EK963" s="2"/>
      <c r="ES963" s="2"/>
      <c r="ET963" s="2"/>
      <c r="EU963" s="2"/>
      <c r="FC963" s="2"/>
      <c r="FD963" s="2"/>
      <c r="FE963" s="2"/>
      <c r="FJ963" s="13"/>
      <c r="FK963" s="13"/>
      <c r="FL963" s="13"/>
      <c r="FM963" s="13"/>
      <c r="FN963" s="13"/>
      <c r="FO963" s="13"/>
      <c r="FP963" s="13"/>
      <c r="FQ963" s="13"/>
      <c r="FR963" s="13"/>
      <c r="FS963" s="13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O964" s="2"/>
      <c r="DP964" s="2"/>
      <c r="DQ964" s="2"/>
      <c r="DY964" s="2"/>
      <c r="DZ964" s="2"/>
      <c r="EA964" s="2"/>
      <c r="EI964" s="2"/>
      <c r="EJ964" s="2"/>
      <c r="EK964" s="2"/>
      <c r="ES964" s="2"/>
      <c r="ET964" s="2"/>
      <c r="EU964" s="2"/>
      <c r="FC964" s="2"/>
      <c r="FD964" s="2"/>
      <c r="FE964" s="2"/>
      <c r="FJ964" s="13"/>
      <c r="FK964" s="13"/>
      <c r="FL964" s="13"/>
      <c r="FM964" s="13"/>
      <c r="FN964" s="13"/>
      <c r="FO964" s="13"/>
      <c r="FP964" s="13"/>
      <c r="FQ964" s="13"/>
      <c r="FR964" s="13"/>
      <c r="FS964" s="13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O965" s="2"/>
      <c r="DP965" s="2"/>
      <c r="DQ965" s="2"/>
      <c r="DY965" s="2"/>
      <c r="DZ965" s="2"/>
      <c r="EA965" s="2"/>
      <c r="EI965" s="2"/>
      <c r="EJ965" s="2"/>
      <c r="EK965" s="2"/>
      <c r="ES965" s="2"/>
      <c r="ET965" s="2"/>
      <c r="EU965" s="2"/>
      <c r="FC965" s="2"/>
      <c r="FD965" s="2"/>
      <c r="FE965" s="2"/>
      <c r="FJ965" s="13"/>
      <c r="FK965" s="13"/>
      <c r="FL965" s="13"/>
      <c r="FM965" s="13"/>
      <c r="FN965" s="13"/>
      <c r="FO965" s="13"/>
      <c r="FP965" s="13"/>
      <c r="FQ965" s="13"/>
      <c r="FR965" s="13"/>
      <c r="FS965" s="13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O966" s="2"/>
      <c r="DP966" s="2"/>
      <c r="DQ966" s="2"/>
      <c r="DY966" s="2"/>
      <c r="DZ966" s="2"/>
      <c r="EA966" s="2"/>
      <c r="EI966" s="2"/>
      <c r="EJ966" s="2"/>
      <c r="EK966" s="2"/>
      <c r="ES966" s="2"/>
      <c r="ET966" s="2"/>
      <c r="EU966" s="2"/>
      <c r="FC966" s="2"/>
      <c r="FD966" s="2"/>
      <c r="FE966" s="2"/>
      <c r="FJ966" s="13"/>
      <c r="FK966" s="13"/>
      <c r="FL966" s="13"/>
      <c r="FM966" s="13"/>
      <c r="FN966" s="13"/>
      <c r="FO966" s="13"/>
      <c r="FP966" s="13"/>
      <c r="FQ966" s="13"/>
      <c r="FR966" s="13"/>
      <c r="FS966" s="13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O967" s="2"/>
      <c r="DP967" s="2"/>
      <c r="DQ967" s="2"/>
      <c r="DY967" s="2"/>
      <c r="DZ967" s="2"/>
      <c r="EA967" s="2"/>
      <c r="EI967" s="2"/>
      <c r="EJ967" s="2"/>
      <c r="EK967" s="2"/>
      <c r="ES967" s="2"/>
      <c r="ET967" s="2"/>
      <c r="EU967" s="2"/>
      <c r="FC967" s="2"/>
      <c r="FD967" s="2"/>
      <c r="FE967" s="2"/>
      <c r="FJ967" s="13"/>
      <c r="FK967" s="13"/>
      <c r="FL967" s="13"/>
      <c r="FM967" s="13"/>
      <c r="FN967" s="13"/>
      <c r="FO967" s="13"/>
      <c r="FP967" s="13"/>
      <c r="FQ967" s="13"/>
      <c r="FR967" s="13"/>
      <c r="FS967" s="13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O968" s="2"/>
      <c r="DP968" s="2"/>
      <c r="DQ968" s="2"/>
      <c r="DY968" s="2"/>
      <c r="DZ968" s="2"/>
      <c r="EA968" s="2"/>
      <c r="EI968" s="2"/>
      <c r="EJ968" s="2"/>
      <c r="EK968" s="2"/>
      <c r="ES968" s="2"/>
      <c r="ET968" s="2"/>
      <c r="EU968" s="2"/>
      <c r="FC968" s="2"/>
      <c r="FD968" s="2"/>
      <c r="FE968" s="2"/>
      <c r="FJ968" s="13"/>
      <c r="FK968" s="13"/>
      <c r="FL968" s="13"/>
      <c r="FM968" s="13"/>
      <c r="FN968" s="13"/>
      <c r="FO968" s="13"/>
      <c r="FP968" s="13"/>
      <c r="FQ968" s="13"/>
      <c r="FR968" s="13"/>
      <c r="FS968" s="13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O969" s="2"/>
      <c r="DP969" s="2"/>
      <c r="DQ969" s="2"/>
      <c r="DY969" s="2"/>
      <c r="DZ969" s="2"/>
      <c r="EA969" s="2"/>
      <c r="EI969" s="2"/>
      <c r="EJ969" s="2"/>
      <c r="EK969" s="2"/>
      <c r="ES969" s="2"/>
      <c r="ET969" s="2"/>
      <c r="EU969" s="2"/>
      <c r="FC969" s="2"/>
      <c r="FD969" s="2"/>
      <c r="FE969" s="2"/>
      <c r="FJ969" s="13"/>
      <c r="FK969" s="13"/>
      <c r="FL969" s="13"/>
      <c r="FM969" s="13"/>
      <c r="FN969" s="13"/>
      <c r="FO969" s="13"/>
      <c r="FP969" s="13"/>
      <c r="FQ969" s="13"/>
      <c r="FR969" s="13"/>
      <c r="FS969" s="13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O970" s="2"/>
      <c r="DP970" s="2"/>
      <c r="DQ970" s="2"/>
      <c r="DY970" s="2"/>
      <c r="DZ970" s="2"/>
      <c r="EA970" s="2"/>
      <c r="EI970" s="2"/>
      <c r="EJ970" s="2"/>
      <c r="EK970" s="2"/>
      <c r="ES970" s="2"/>
      <c r="ET970" s="2"/>
      <c r="EU970" s="2"/>
      <c r="FC970" s="2"/>
      <c r="FD970" s="2"/>
      <c r="FE970" s="2"/>
      <c r="FJ970" s="13"/>
      <c r="FK970" s="13"/>
      <c r="FL970" s="13"/>
      <c r="FM970" s="13"/>
      <c r="FN970" s="13"/>
      <c r="FO970" s="13"/>
      <c r="FP970" s="13"/>
      <c r="FQ970" s="13"/>
      <c r="FR970" s="13"/>
      <c r="FS970" s="13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O971" s="2"/>
      <c r="DP971" s="2"/>
      <c r="DQ971" s="2"/>
      <c r="DY971" s="2"/>
      <c r="DZ971" s="2"/>
      <c r="EA971" s="2"/>
      <c r="EI971" s="2"/>
      <c r="EJ971" s="2"/>
      <c r="EK971" s="2"/>
      <c r="ES971" s="2"/>
      <c r="ET971" s="2"/>
      <c r="EU971" s="2"/>
      <c r="FC971" s="2"/>
      <c r="FD971" s="2"/>
      <c r="FE971" s="2"/>
      <c r="FJ971" s="13"/>
      <c r="FK971" s="13"/>
      <c r="FL971" s="13"/>
      <c r="FM971" s="13"/>
      <c r="FN971" s="13"/>
      <c r="FO971" s="13"/>
      <c r="FP971" s="13"/>
      <c r="FQ971" s="13"/>
      <c r="FR971" s="13"/>
      <c r="FS971" s="13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O972" s="2"/>
      <c r="DP972" s="2"/>
      <c r="DQ972" s="2"/>
      <c r="DY972" s="2"/>
      <c r="DZ972" s="2"/>
      <c r="EA972" s="2"/>
      <c r="EI972" s="2"/>
      <c r="EJ972" s="2"/>
      <c r="EK972" s="2"/>
      <c r="ES972" s="2"/>
      <c r="ET972" s="2"/>
      <c r="EU972" s="2"/>
      <c r="FC972" s="2"/>
      <c r="FD972" s="2"/>
      <c r="FE972" s="2"/>
      <c r="FJ972" s="13"/>
      <c r="FK972" s="13"/>
      <c r="FL972" s="13"/>
      <c r="FM972" s="13"/>
      <c r="FN972" s="13"/>
      <c r="FO972" s="13"/>
      <c r="FP972" s="13"/>
      <c r="FQ972" s="13"/>
      <c r="FR972" s="13"/>
      <c r="FS972" s="13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O973" s="2"/>
      <c r="DP973" s="2"/>
      <c r="DQ973" s="2"/>
      <c r="DY973" s="2"/>
      <c r="DZ973" s="2"/>
      <c r="EA973" s="2"/>
      <c r="EI973" s="2"/>
      <c r="EJ973" s="2"/>
      <c r="EK973" s="2"/>
      <c r="ES973" s="2"/>
      <c r="ET973" s="2"/>
      <c r="EU973" s="2"/>
      <c r="FC973" s="2"/>
      <c r="FD973" s="2"/>
      <c r="FE973" s="2"/>
      <c r="FJ973" s="13"/>
      <c r="FK973" s="13"/>
      <c r="FL973" s="13"/>
      <c r="FM973" s="13"/>
      <c r="FN973" s="13"/>
      <c r="FO973" s="13"/>
      <c r="FP973" s="13"/>
      <c r="FQ973" s="13"/>
      <c r="FR973" s="13"/>
      <c r="FS973" s="13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O974" s="2"/>
      <c r="DP974" s="2"/>
      <c r="DQ974" s="2"/>
      <c r="DY974" s="2"/>
      <c r="DZ974" s="2"/>
      <c r="EA974" s="2"/>
      <c r="EI974" s="2"/>
      <c r="EJ974" s="2"/>
      <c r="EK974" s="2"/>
      <c r="ES974" s="2"/>
      <c r="ET974" s="2"/>
      <c r="EU974" s="2"/>
      <c r="FC974" s="2"/>
      <c r="FD974" s="2"/>
      <c r="FE974" s="2"/>
      <c r="FJ974" s="13"/>
      <c r="FK974" s="13"/>
      <c r="FL974" s="13"/>
      <c r="FM974" s="13"/>
      <c r="FN974" s="13"/>
      <c r="FO974" s="13"/>
      <c r="FP974" s="13"/>
      <c r="FQ974" s="13"/>
      <c r="FR974" s="13"/>
      <c r="FS974" s="13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O975" s="2"/>
      <c r="DP975" s="2"/>
      <c r="DQ975" s="2"/>
      <c r="DY975" s="2"/>
      <c r="DZ975" s="2"/>
      <c r="EA975" s="2"/>
      <c r="EI975" s="2"/>
      <c r="EJ975" s="2"/>
      <c r="EK975" s="2"/>
      <c r="ES975" s="2"/>
      <c r="ET975" s="2"/>
      <c r="EU975" s="2"/>
      <c r="FC975" s="2"/>
      <c r="FD975" s="2"/>
      <c r="FE975" s="2"/>
      <c r="FJ975" s="13"/>
      <c r="FK975" s="13"/>
      <c r="FL975" s="13"/>
      <c r="FM975" s="13"/>
      <c r="FN975" s="13"/>
      <c r="FO975" s="13"/>
      <c r="FP975" s="13"/>
      <c r="FQ975" s="13"/>
      <c r="FR975" s="13"/>
      <c r="FS975" s="13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O976" s="2"/>
      <c r="DP976" s="2"/>
      <c r="DQ976" s="2"/>
      <c r="DY976" s="2"/>
      <c r="DZ976" s="2"/>
      <c r="EA976" s="2"/>
      <c r="EI976" s="2"/>
      <c r="EJ976" s="2"/>
      <c r="EK976" s="2"/>
      <c r="ES976" s="2"/>
      <c r="ET976" s="2"/>
      <c r="EU976" s="2"/>
      <c r="FC976" s="2"/>
      <c r="FD976" s="2"/>
      <c r="FE976" s="2"/>
      <c r="FJ976" s="13"/>
      <c r="FK976" s="13"/>
      <c r="FL976" s="13"/>
      <c r="FM976" s="13"/>
      <c r="FN976" s="13"/>
      <c r="FO976" s="13"/>
      <c r="FP976" s="13"/>
      <c r="FQ976" s="13"/>
      <c r="FR976" s="13"/>
      <c r="FS976" s="13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O977" s="2"/>
      <c r="DP977" s="2"/>
      <c r="DQ977" s="2"/>
      <c r="DY977" s="2"/>
      <c r="DZ977" s="2"/>
      <c r="EA977" s="2"/>
      <c r="EI977" s="2"/>
      <c r="EJ977" s="2"/>
      <c r="EK977" s="2"/>
      <c r="ES977" s="2"/>
      <c r="ET977" s="2"/>
      <c r="EU977" s="2"/>
      <c r="FC977" s="2"/>
      <c r="FD977" s="2"/>
      <c r="FE977" s="2"/>
      <c r="FJ977" s="13"/>
      <c r="FK977" s="13"/>
      <c r="FL977" s="13"/>
      <c r="FM977" s="13"/>
      <c r="FN977" s="13"/>
      <c r="FO977" s="13"/>
      <c r="FP977" s="13"/>
      <c r="FQ977" s="13"/>
      <c r="FR977" s="13"/>
      <c r="FS977" s="13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O978" s="2"/>
      <c r="DP978" s="2"/>
      <c r="DQ978" s="2"/>
      <c r="DY978" s="2"/>
      <c r="DZ978" s="2"/>
      <c r="EA978" s="2"/>
      <c r="EI978" s="2"/>
      <c r="EJ978" s="2"/>
      <c r="EK978" s="2"/>
      <c r="ES978" s="2"/>
      <c r="ET978" s="2"/>
      <c r="EU978" s="2"/>
      <c r="FC978" s="2"/>
      <c r="FD978" s="2"/>
      <c r="FE978" s="2"/>
      <c r="FJ978" s="13"/>
      <c r="FK978" s="13"/>
      <c r="FL978" s="13"/>
      <c r="FM978" s="13"/>
      <c r="FN978" s="13"/>
      <c r="FO978" s="13"/>
      <c r="FP978" s="13"/>
      <c r="FQ978" s="13"/>
      <c r="FR978" s="13"/>
      <c r="FS978" s="13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O979" s="2"/>
      <c r="DP979" s="2"/>
      <c r="DQ979" s="2"/>
      <c r="DY979" s="2"/>
      <c r="DZ979" s="2"/>
      <c r="EA979" s="2"/>
      <c r="EI979" s="2"/>
      <c r="EJ979" s="2"/>
      <c r="EK979" s="2"/>
      <c r="ES979" s="2"/>
      <c r="ET979" s="2"/>
      <c r="EU979" s="2"/>
      <c r="FC979" s="2"/>
      <c r="FD979" s="2"/>
      <c r="FE979" s="2"/>
      <c r="FJ979" s="13"/>
      <c r="FK979" s="13"/>
      <c r="FL979" s="13"/>
      <c r="FM979" s="13"/>
      <c r="FN979" s="13"/>
      <c r="FO979" s="13"/>
      <c r="FP979" s="13"/>
      <c r="FQ979" s="13"/>
      <c r="FR979" s="13"/>
      <c r="FS979" s="13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O980" s="2"/>
      <c r="DP980" s="2"/>
      <c r="DQ980" s="2"/>
      <c r="DY980" s="2"/>
      <c r="DZ980" s="2"/>
      <c r="EA980" s="2"/>
      <c r="EI980" s="2"/>
      <c r="EJ980" s="2"/>
      <c r="EK980" s="2"/>
      <c r="ES980" s="2"/>
      <c r="ET980" s="2"/>
      <c r="EU980" s="2"/>
      <c r="FC980" s="2"/>
      <c r="FD980" s="2"/>
      <c r="FE980" s="2"/>
      <c r="FJ980" s="13"/>
      <c r="FK980" s="13"/>
      <c r="FL980" s="13"/>
      <c r="FM980" s="13"/>
      <c r="FN980" s="13"/>
      <c r="FO980" s="13"/>
      <c r="FP980" s="13"/>
      <c r="FQ980" s="13"/>
      <c r="FR980" s="13"/>
      <c r="FS980" s="13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O981" s="2"/>
      <c r="DP981" s="2"/>
      <c r="DQ981" s="2"/>
      <c r="DY981" s="2"/>
      <c r="DZ981" s="2"/>
      <c r="EA981" s="2"/>
      <c r="EI981" s="2"/>
      <c r="EJ981" s="2"/>
      <c r="EK981" s="2"/>
      <c r="ES981" s="2"/>
      <c r="ET981" s="2"/>
      <c r="EU981" s="2"/>
      <c r="FC981" s="2"/>
      <c r="FD981" s="2"/>
      <c r="FE981" s="2"/>
      <c r="FJ981" s="13"/>
      <c r="FK981" s="13"/>
      <c r="FL981" s="13"/>
      <c r="FM981" s="13"/>
      <c r="FN981" s="13"/>
      <c r="FO981" s="13"/>
      <c r="FP981" s="13"/>
      <c r="FQ981" s="13"/>
      <c r="FR981" s="13"/>
      <c r="FS981" s="13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O982" s="2"/>
      <c r="DP982" s="2"/>
      <c r="DQ982" s="2"/>
      <c r="DY982" s="2"/>
      <c r="DZ982" s="2"/>
      <c r="EA982" s="2"/>
      <c r="EI982" s="2"/>
      <c r="EJ982" s="2"/>
      <c r="EK982" s="2"/>
      <c r="ES982" s="2"/>
      <c r="ET982" s="2"/>
      <c r="EU982" s="2"/>
      <c r="FC982" s="2"/>
      <c r="FD982" s="2"/>
      <c r="FE982" s="2"/>
      <c r="FJ982" s="13"/>
      <c r="FK982" s="13"/>
      <c r="FL982" s="13"/>
      <c r="FM982" s="13"/>
      <c r="FN982" s="13"/>
      <c r="FO982" s="13"/>
      <c r="FP982" s="13"/>
      <c r="FQ982" s="13"/>
      <c r="FR982" s="13"/>
      <c r="FS982" s="13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O983" s="2"/>
      <c r="DP983" s="2"/>
      <c r="DQ983" s="2"/>
      <c r="DY983" s="2"/>
      <c r="DZ983" s="2"/>
      <c r="EA983" s="2"/>
      <c r="EI983" s="2"/>
      <c r="EJ983" s="2"/>
      <c r="EK983" s="2"/>
      <c r="ES983" s="2"/>
      <c r="ET983" s="2"/>
      <c r="EU983" s="2"/>
      <c r="FC983" s="2"/>
      <c r="FD983" s="2"/>
      <c r="FE983" s="2"/>
      <c r="FJ983" s="13"/>
      <c r="FK983" s="13"/>
      <c r="FL983" s="13"/>
      <c r="FM983" s="13"/>
      <c r="FN983" s="13"/>
      <c r="FO983" s="13"/>
      <c r="FP983" s="13"/>
      <c r="FQ983" s="13"/>
      <c r="FR983" s="13"/>
      <c r="FS983" s="13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O984" s="2"/>
      <c r="DP984" s="2"/>
      <c r="DQ984" s="2"/>
      <c r="DY984" s="2"/>
      <c r="DZ984" s="2"/>
      <c r="EA984" s="2"/>
      <c r="EI984" s="2"/>
      <c r="EJ984" s="2"/>
      <c r="EK984" s="2"/>
      <c r="ES984" s="2"/>
      <c r="ET984" s="2"/>
      <c r="EU984" s="2"/>
      <c r="FC984" s="2"/>
      <c r="FD984" s="2"/>
      <c r="FE984" s="2"/>
      <c r="FJ984" s="13"/>
      <c r="FK984" s="13"/>
      <c r="FL984" s="13"/>
      <c r="FM984" s="13"/>
      <c r="FN984" s="13"/>
      <c r="FO984" s="13"/>
      <c r="FP984" s="13"/>
      <c r="FQ984" s="13"/>
      <c r="FR984" s="13"/>
      <c r="FS984" s="13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O985" s="2"/>
      <c r="DP985" s="2"/>
      <c r="DQ985" s="2"/>
      <c r="DY985" s="2"/>
      <c r="DZ985" s="2"/>
      <c r="EA985" s="2"/>
      <c r="EI985" s="2"/>
      <c r="EJ985" s="2"/>
      <c r="EK985" s="2"/>
      <c r="ES985" s="2"/>
      <c r="ET985" s="2"/>
      <c r="EU985" s="2"/>
      <c r="FC985" s="2"/>
      <c r="FD985" s="2"/>
      <c r="FE985" s="2"/>
      <c r="FJ985" s="13"/>
      <c r="FK985" s="13"/>
      <c r="FL985" s="13"/>
      <c r="FM985" s="13"/>
      <c r="FN985" s="13"/>
      <c r="FO985" s="13"/>
      <c r="FP985" s="13"/>
      <c r="FQ985" s="13"/>
      <c r="FR985" s="13"/>
      <c r="FS985" s="13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O986" s="2"/>
      <c r="DP986" s="2"/>
      <c r="DQ986" s="2"/>
      <c r="DY986" s="2"/>
      <c r="DZ986" s="2"/>
      <c r="EA986" s="2"/>
      <c r="EI986" s="2"/>
      <c r="EJ986" s="2"/>
      <c r="EK986" s="2"/>
      <c r="ES986" s="2"/>
      <c r="ET986" s="2"/>
      <c r="EU986" s="2"/>
      <c r="FC986" s="2"/>
      <c r="FD986" s="2"/>
      <c r="FE986" s="2"/>
      <c r="FJ986" s="13"/>
      <c r="FK986" s="13"/>
      <c r="FL986" s="13"/>
      <c r="FM986" s="13"/>
      <c r="FN986" s="13"/>
      <c r="FO986" s="13"/>
      <c r="FP986" s="13"/>
      <c r="FQ986" s="13"/>
      <c r="FR986" s="13"/>
      <c r="FS986" s="13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O987" s="2"/>
      <c r="DP987" s="2"/>
      <c r="DQ987" s="2"/>
      <c r="DY987" s="2"/>
      <c r="DZ987" s="2"/>
      <c r="EA987" s="2"/>
      <c r="EI987" s="2"/>
      <c r="EJ987" s="2"/>
      <c r="EK987" s="2"/>
      <c r="ES987" s="2"/>
      <c r="ET987" s="2"/>
      <c r="EU987" s="2"/>
      <c r="FC987" s="2"/>
      <c r="FD987" s="2"/>
      <c r="FE987" s="2"/>
      <c r="FJ987" s="13"/>
      <c r="FK987" s="13"/>
      <c r="FL987" s="13"/>
      <c r="FM987" s="13"/>
      <c r="FN987" s="13"/>
      <c r="FO987" s="13"/>
      <c r="FP987" s="13"/>
      <c r="FQ987" s="13"/>
      <c r="FR987" s="13"/>
      <c r="FS987" s="13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O988" s="2"/>
      <c r="DP988" s="2"/>
      <c r="DQ988" s="2"/>
      <c r="DY988" s="2"/>
      <c r="DZ988" s="2"/>
      <c r="EA988" s="2"/>
      <c r="EI988" s="2"/>
      <c r="EJ988" s="2"/>
      <c r="EK988" s="2"/>
      <c r="ES988" s="2"/>
      <c r="ET988" s="2"/>
      <c r="EU988" s="2"/>
      <c r="FC988" s="2"/>
      <c r="FD988" s="2"/>
      <c r="FE988" s="2"/>
      <c r="FJ988" s="13"/>
      <c r="FK988" s="13"/>
      <c r="FL988" s="13"/>
      <c r="FM988" s="13"/>
      <c r="FN988" s="13"/>
      <c r="FO988" s="13"/>
      <c r="FP988" s="13"/>
      <c r="FQ988" s="13"/>
      <c r="FR988" s="13"/>
      <c r="FS988" s="13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O989" s="2"/>
      <c r="DP989" s="2"/>
      <c r="DQ989" s="2"/>
      <c r="DY989" s="2"/>
      <c r="DZ989" s="2"/>
      <c r="EA989" s="2"/>
      <c r="EI989" s="2"/>
      <c r="EJ989" s="2"/>
      <c r="EK989" s="2"/>
      <c r="ES989" s="2"/>
      <c r="ET989" s="2"/>
      <c r="EU989" s="2"/>
      <c r="FC989" s="2"/>
      <c r="FD989" s="2"/>
      <c r="FE989" s="2"/>
      <c r="FJ989" s="13"/>
      <c r="FK989" s="13"/>
      <c r="FL989" s="13"/>
      <c r="FM989" s="13"/>
      <c r="FN989" s="13"/>
      <c r="FO989" s="13"/>
      <c r="FP989" s="13"/>
      <c r="FQ989" s="13"/>
      <c r="FR989" s="13"/>
      <c r="FS989" s="13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O990" s="2"/>
      <c r="DP990" s="2"/>
      <c r="DQ990" s="2"/>
      <c r="DY990" s="2"/>
      <c r="DZ990" s="2"/>
      <c r="EA990" s="2"/>
      <c r="EI990" s="2"/>
      <c r="EJ990" s="2"/>
      <c r="EK990" s="2"/>
      <c r="ES990" s="2"/>
      <c r="ET990" s="2"/>
      <c r="EU990" s="2"/>
      <c r="FC990" s="2"/>
      <c r="FD990" s="2"/>
      <c r="FE990" s="2"/>
      <c r="FJ990" s="13"/>
      <c r="FK990" s="13"/>
      <c r="FL990" s="13"/>
      <c r="FM990" s="13"/>
      <c r="FN990" s="13"/>
      <c r="FO990" s="13"/>
      <c r="FP990" s="13"/>
      <c r="FQ990" s="13"/>
      <c r="FR990" s="13"/>
      <c r="FS990" s="13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O991" s="2"/>
      <c r="DP991" s="2"/>
      <c r="DQ991" s="2"/>
      <c r="DY991" s="2"/>
      <c r="DZ991" s="2"/>
      <c r="EA991" s="2"/>
      <c r="EI991" s="2"/>
      <c r="EJ991" s="2"/>
      <c r="EK991" s="2"/>
      <c r="ES991" s="2"/>
      <c r="ET991" s="2"/>
      <c r="EU991" s="2"/>
      <c r="FC991" s="2"/>
      <c r="FD991" s="2"/>
      <c r="FE991" s="2"/>
      <c r="FJ991" s="13"/>
      <c r="FK991" s="13"/>
      <c r="FL991" s="13"/>
      <c r="FM991" s="13"/>
      <c r="FN991" s="13"/>
      <c r="FO991" s="13"/>
      <c r="FP991" s="13"/>
      <c r="FQ991" s="13"/>
      <c r="FR991" s="13"/>
      <c r="FS991" s="13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O992" s="2"/>
      <c r="DP992" s="2"/>
      <c r="DQ992" s="2"/>
      <c r="DY992" s="2"/>
      <c r="DZ992" s="2"/>
      <c r="EA992" s="2"/>
      <c r="EI992" s="2"/>
      <c r="EJ992" s="2"/>
      <c r="EK992" s="2"/>
      <c r="ES992" s="2"/>
      <c r="ET992" s="2"/>
      <c r="EU992" s="2"/>
      <c r="FC992" s="2"/>
      <c r="FD992" s="2"/>
      <c r="FE992" s="2"/>
      <c r="FJ992" s="13"/>
      <c r="FK992" s="13"/>
      <c r="FL992" s="13"/>
      <c r="FM992" s="13"/>
      <c r="FN992" s="13"/>
      <c r="FO992" s="13"/>
      <c r="FP992" s="13"/>
      <c r="FQ992" s="13"/>
      <c r="FR992" s="13"/>
      <c r="FS992" s="13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O993" s="2"/>
      <c r="DP993" s="2"/>
      <c r="DQ993" s="2"/>
      <c r="DY993" s="2"/>
      <c r="DZ993" s="2"/>
      <c r="EA993" s="2"/>
      <c r="EI993" s="2"/>
      <c r="EJ993" s="2"/>
      <c r="EK993" s="2"/>
      <c r="ES993" s="2"/>
      <c r="ET993" s="2"/>
      <c r="EU993" s="2"/>
      <c r="FC993" s="2"/>
      <c r="FD993" s="2"/>
      <c r="FE993" s="2"/>
      <c r="FJ993" s="13"/>
      <c r="FK993" s="13"/>
      <c r="FL993" s="13"/>
      <c r="FM993" s="13"/>
      <c r="FN993" s="13"/>
      <c r="FO993" s="13"/>
      <c r="FP993" s="13"/>
      <c r="FQ993" s="13"/>
      <c r="FR993" s="13"/>
      <c r="FS993" s="13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O994" s="2"/>
      <c r="DP994" s="2"/>
      <c r="DQ994" s="2"/>
      <c r="DY994" s="2"/>
      <c r="DZ994" s="2"/>
      <c r="EA994" s="2"/>
      <c r="EI994" s="2"/>
      <c r="EJ994" s="2"/>
      <c r="EK994" s="2"/>
      <c r="ES994" s="2"/>
      <c r="ET994" s="2"/>
      <c r="EU994" s="2"/>
      <c r="FC994" s="2"/>
      <c r="FD994" s="2"/>
      <c r="FE994" s="2"/>
      <c r="FJ994" s="13"/>
      <c r="FK994" s="13"/>
      <c r="FL994" s="13"/>
      <c r="FM994" s="13"/>
      <c r="FN994" s="13"/>
      <c r="FO994" s="13"/>
      <c r="FP994" s="13"/>
      <c r="FQ994" s="13"/>
      <c r="FR994" s="13"/>
      <c r="FS994" s="13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O995" s="2"/>
      <c r="DP995" s="2"/>
      <c r="DQ995" s="2"/>
      <c r="DY995" s="2"/>
      <c r="DZ995" s="2"/>
      <c r="EA995" s="2"/>
      <c r="EI995" s="2"/>
      <c r="EJ995" s="2"/>
      <c r="EK995" s="2"/>
      <c r="ES995" s="2"/>
      <c r="ET995" s="2"/>
      <c r="EU995" s="2"/>
      <c r="FC995" s="2"/>
      <c r="FD995" s="2"/>
      <c r="FE995" s="2"/>
      <c r="FJ995" s="13"/>
      <c r="FK995" s="13"/>
      <c r="FL995" s="13"/>
      <c r="FM995" s="13"/>
      <c r="FN995" s="13"/>
      <c r="FO995" s="13"/>
      <c r="FP995" s="13"/>
      <c r="FQ995" s="13"/>
      <c r="FR995" s="13"/>
      <c r="FS995" s="13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O996" s="2"/>
      <c r="DP996" s="2"/>
      <c r="DQ996" s="2"/>
      <c r="DY996" s="2"/>
      <c r="DZ996" s="2"/>
      <c r="EA996" s="2"/>
      <c r="EI996" s="2"/>
      <c r="EJ996" s="2"/>
      <c r="EK996" s="2"/>
      <c r="ES996" s="2"/>
      <c r="ET996" s="2"/>
      <c r="EU996" s="2"/>
      <c r="FC996" s="2"/>
      <c r="FD996" s="2"/>
      <c r="FE996" s="2"/>
      <c r="FJ996" s="13"/>
      <c r="FK996" s="13"/>
      <c r="FL996" s="13"/>
      <c r="FM996" s="13"/>
      <c r="FN996" s="13"/>
      <c r="FO996" s="13"/>
      <c r="FP996" s="13"/>
      <c r="FQ996" s="13"/>
      <c r="FR996" s="13"/>
      <c r="FS996" s="13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O997" s="2"/>
      <c r="DP997" s="2"/>
      <c r="DQ997" s="2"/>
      <c r="DY997" s="2"/>
      <c r="DZ997" s="2"/>
      <c r="EA997" s="2"/>
      <c r="EI997" s="2"/>
      <c r="EJ997" s="2"/>
      <c r="EK997" s="2"/>
      <c r="ES997" s="2"/>
      <c r="ET997" s="2"/>
      <c r="EU997" s="2"/>
      <c r="FC997" s="2"/>
      <c r="FD997" s="2"/>
      <c r="FE997" s="2"/>
      <c r="FJ997" s="13"/>
      <c r="FK997" s="13"/>
      <c r="FL997" s="13"/>
      <c r="FM997" s="13"/>
      <c r="FN997" s="13"/>
      <c r="FO997" s="13"/>
      <c r="FP997" s="13"/>
      <c r="FQ997" s="13"/>
      <c r="FR997" s="13"/>
      <c r="FS997" s="13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O998" s="2"/>
      <c r="DP998" s="2"/>
      <c r="DQ998" s="2"/>
      <c r="DY998" s="2"/>
      <c r="DZ998" s="2"/>
      <c r="EA998" s="2"/>
      <c r="EI998" s="2"/>
      <c r="EJ998" s="2"/>
      <c r="EK998" s="2"/>
      <c r="ES998" s="2"/>
      <c r="ET998" s="2"/>
      <c r="EU998" s="2"/>
      <c r="FC998" s="2"/>
      <c r="FD998" s="2"/>
      <c r="FE998" s="2"/>
      <c r="FJ998" s="13"/>
      <c r="FK998" s="13"/>
      <c r="FL998" s="13"/>
      <c r="FM998" s="13"/>
      <c r="FN998" s="13"/>
      <c r="FO998" s="13"/>
      <c r="FP998" s="13"/>
      <c r="FQ998" s="13"/>
      <c r="FR998" s="13"/>
      <c r="FS998" s="13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O999" s="2"/>
      <c r="DP999" s="2"/>
      <c r="DQ999" s="2"/>
      <c r="DY999" s="2"/>
      <c r="DZ999" s="2"/>
      <c r="EA999" s="2"/>
      <c r="EI999" s="2"/>
      <c r="EJ999" s="2"/>
      <c r="EK999" s="2"/>
      <c r="ES999" s="2"/>
      <c r="ET999" s="2"/>
      <c r="EU999" s="2"/>
      <c r="FC999" s="2"/>
      <c r="FD999" s="2"/>
      <c r="FE999" s="2"/>
      <c r="FJ999" s="13"/>
      <c r="FK999" s="13"/>
      <c r="FL999" s="13"/>
      <c r="FM999" s="13"/>
      <c r="FN999" s="13"/>
      <c r="FO999" s="13"/>
      <c r="FP999" s="13"/>
      <c r="FQ999" s="13"/>
      <c r="FR999" s="13"/>
      <c r="FS999" s="13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O1000" s="2"/>
      <c r="DP1000" s="2"/>
      <c r="DQ1000" s="2"/>
      <c r="DY1000" s="2"/>
      <c r="DZ1000" s="2"/>
      <c r="EA1000" s="2"/>
      <c r="EI1000" s="2"/>
      <c r="EJ1000" s="2"/>
      <c r="EK1000" s="2"/>
      <c r="ES1000" s="2"/>
      <c r="ET1000" s="2"/>
      <c r="EU1000" s="2"/>
      <c r="FC1000" s="2"/>
      <c r="FD1000" s="2"/>
      <c r="FE1000" s="2"/>
      <c r="FJ1000" s="13"/>
      <c r="FK1000" s="13"/>
      <c r="FL1000" s="13"/>
      <c r="FM1000" s="13"/>
      <c r="FN1000" s="13"/>
      <c r="FO1000" s="13"/>
      <c r="FP1000" s="13"/>
      <c r="FQ1000" s="13"/>
      <c r="FR1000" s="13"/>
      <c r="FS1000" s="13"/>
    </row>
  </sheetData>
  <mergeCells count="23">
    <mergeCell ref="A4:A5"/>
    <mergeCell ref="B4:B5"/>
    <mergeCell ref="C4:C5"/>
    <mergeCell ref="E4:E5"/>
    <mergeCell ref="F4:O4"/>
    <mergeCell ref="A1:AO1"/>
    <mergeCell ref="A2:AO2"/>
    <mergeCell ref="P4:Y4"/>
    <mergeCell ref="Z4:AI4"/>
    <mergeCell ref="AJ4:AS4"/>
    <mergeCell ref="AT4:BC4"/>
    <mergeCell ref="BD4:BM4"/>
    <mergeCell ref="BN4:BW4"/>
    <mergeCell ref="BX4:CG4"/>
    <mergeCell ref="EZ4:FI4"/>
    <mergeCell ref="FJ4:FS4"/>
    <mergeCell ref="CH4:CQ4"/>
    <mergeCell ref="CR4:DA4"/>
    <mergeCell ref="DB4:DK4"/>
    <mergeCell ref="DL4:DU4"/>
    <mergeCell ref="DV4:EE4"/>
    <mergeCell ref="EF4:EO4"/>
    <mergeCell ref="EP4:EY4"/>
  </mergeCells>
  <dataValidations>
    <dataValidation type="list" allowBlank="1" sqref="E6:F21 F22:F150 M6:M150 T6:T150 AA6:AA150 AH6:AH150 AO6:AO150 AV6:AV150 BC6:BC150 BJ6:BJ150 BQ6:BQ150 BX6:BX150 CE6:CE150 CL6:CL150 CS6:CS150 CZ6:CZ150 DG6:DG150">
      <formula1>"Chemo Infusion,Nursing 24hrs,Chemo Infusion + Nursing 24hrs,One-time Infusion,Other (specify)"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8.0"/>
    <col customWidth="1" min="4" max="4" width="20.0"/>
    <col customWidth="1" min="5" max="5" width="16.0"/>
    <col customWidth="1" min="6" max="7" width="12.0"/>
    <col customWidth="1" min="8" max="9" width="14.0"/>
    <col customWidth="1" min="10" max="10" width="16.0"/>
    <col customWidth="1" min="11" max="26" width="8.71"/>
  </cols>
  <sheetData>
    <row r="1" ht="21.75" customHeight="1">
      <c r="A1" s="1" t="s">
        <v>2</v>
      </c>
    </row>
    <row r="2" ht="15.0" customHeight="1">
      <c r="A2" s="3" t="s">
        <v>5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</row>
    <row r="4" ht="23.25" customHeight="1">
      <c r="A4" s="7" t="s">
        <v>22</v>
      </c>
      <c r="B4" s="7" t="s">
        <v>27</v>
      </c>
      <c r="C4" s="7" t="s">
        <v>28</v>
      </c>
      <c r="D4" s="7" t="s">
        <v>32</v>
      </c>
      <c r="E4" s="7" t="s">
        <v>36</v>
      </c>
      <c r="F4" s="7" t="s">
        <v>40</v>
      </c>
      <c r="G4" s="7" t="s">
        <v>44</v>
      </c>
      <c r="H4" s="7" t="s">
        <v>49</v>
      </c>
      <c r="I4" s="7" t="s">
        <v>53</v>
      </c>
      <c r="J4" s="7" t="s">
        <v>56</v>
      </c>
      <c r="K4" s="7" t="s">
        <v>57</v>
      </c>
    </row>
    <row r="5" ht="15.0" customHeight="1">
      <c r="A5" s="8" t="s">
        <v>59</v>
      </c>
      <c r="B5" s="11" t="str">
        <f t="array" ref="B5">IFERROR(INDEX('Patient Bills'!$B:$B,MATCH(A5,'Patient Bills'!$A:$A,0)),"")</f>
        <v>Pappu</v>
      </c>
      <c r="C5" s="8">
        <v>1.0</v>
      </c>
      <c r="D5" s="8" t="s">
        <v>60</v>
      </c>
      <c r="E5" s="8" t="s">
        <v>61</v>
      </c>
      <c r="F5" s="8">
        <v>3.0</v>
      </c>
      <c r="G5" s="9">
        <v>1800.0</v>
      </c>
      <c r="H5" s="9">
        <v>0.0</v>
      </c>
      <c r="I5" s="12">
        <f t="shared" ref="I5:I8" si="1">IF(E5="Fixed Package",H5,F5*G5)</f>
        <v>5400</v>
      </c>
      <c r="J5" s="9"/>
      <c r="K5" s="8" t="s">
        <v>62</v>
      </c>
    </row>
    <row r="6" ht="15.0" customHeight="1">
      <c r="A6" s="8" t="s">
        <v>63</v>
      </c>
      <c r="B6" s="11" t="str">
        <f t="array" ref="B6">IFERROR(INDEX('Patient Bills'!$B:$B,MATCH(A6,'Patient Bills'!$A:$A,0)),"")</f>
        <v>Zara Morani</v>
      </c>
      <c r="C6" s="8">
        <v>1.0</v>
      </c>
      <c r="D6" s="8" t="s">
        <v>65</v>
      </c>
      <c r="E6" s="8" t="s">
        <v>66</v>
      </c>
      <c r="F6" s="8">
        <v>0.0</v>
      </c>
      <c r="G6" s="9">
        <v>0.0</v>
      </c>
      <c r="H6" s="9">
        <v>3500.0</v>
      </c>
      <c r="I6" s="12">
        <f t="shared" si="1"/>
        <v>3500</v>
      </c>
      <c r="J6" s="9"/>
      <c r="K6" s="8" t="s">
        <v>67</v>
      </c>
    </row>
    <row r="7" ht="15.0" customHeight="1">
      <c r="A7" s="8" t="s">
        <v>63</v>
      </c>
      <c r="B7" s="11" t="str">
        <f t="array" ref="B7">IFERROR(INDEX('Patient Bills'!$B:$B,MATCH(A7,'Patient Bills'!$A:$A,0)),"")</f>
        <v>Zara Morani</v>
      </c>
      <c r="C7" s="8">
        <v>2.0</v>
      </c>
      <c r="D7" s="8" t="s">
        <v>65</v>
      </c>
      <c r="E7" s="8" t="s">
        <v>66</v>
      </c>
      <c r="F7" s="8">
        <v>0.0</v>
      </c>
      <c r="G7" s="9">
        <v>0.0</v>
      </c>
      <c r="H7" s="9">
        <v>3500.0</v>
      </c>
      <c r="I7" s="12">
        <f t="shared" si="1"/>
        <v>3500</v>
      </c>
      <c r="J7" s="9"/>
      <c r="K7" s="8" t="s">
        <v>62</v>
      </c>
    </row>
    <row r="8" ht="15.0" customHeight="1">
      <c r="A8" s="8" t="s">
        <v>68</v>
      </c>
      <c r="B8" s="11" t="str">
        <f t="array" ref="B8">IFERROR(INDEX('Patient Bills'!$B:$B,MATCH(A8,'Patient Bills'!$A:$A,0)),"")</f>
        <v>Kamaladevi Jain</v>
      </c>
      <c r="C8" s="8">
        <v>1.0</v>
      </c>
      <c r="D8" s="8" t="s">
        <v>60</v>
      </c>
      <c r="E8" s="8" t="s">
        <v>66</v>
      </c>
      <c r="F8" s="8">
        <v>0.0</v>
      </c>
      <c r="G8" s="9">
        <v>0.0</v>
      </c>
      <c r="H8" s="9">
        <v>3500.0</v>
      </c>
      <c r="I8" s="12">
        <f t="shared" si="1"/>
        <v>3500</v>
      </c>
      <c r="J8" s="2"/>
      <c r="K8" s="8" t="s">
        <v>62</v>
      </c>
    </row>
    <row r="9" ht="15.0" customHeight="1">
      <c r="A9" s="15"/>
      <c r="B9" s="11" t="str">
        <f t="array" ref="B9">IFERROR(INDEX('Patient Bills'!$B:$B,MATCH(A9,'Patient Bills'!$A:$A,0)),"")</f>
        <v/>
      </c>
      <c r="C9" s="15"/>
      <c r="D9" s="15"/>
      <c r="E9" s="15"/>
      <c r="F9" s="15"/>
      <c r="G9" s="20"/>
      <c r="H9" s="20"/>
      <c r="I9" s="12" t="str">
        <f t="shared" ref="I9:I400" si="2">IF(A9="","",IF(E9="Fixed Package",H9,F9*G9))</f>
        <v/>
      </c>
      <c r="J9" s="2"/>
      <c r="K9" s="15"/>
    </row>
    <row r="10" ht="15.0" customHeight="1">
      <c r="A10" s="15"/>
      <c r="B10" s="11" t="str">
        <f t="array" ref="B10">IFERROR(INDEX('Patient Bills'!$B:$B,MATCH(A10,'Patient Bills'!$A:$A,0)),"")</f>
        <v/>
      </c>
      <c r="C10" s="15"/>
      <c r="D10" s="15"/>
      <c r="E10" s="15"/>
      <c r="F10" s="15"/>
      <c r="G10" s="20"/>
      <c r="H10" s="20"/>
      <c r="I10" s="12" t="str">
        <f t="shared" si="2"/>
        <v/>
      </c>
      <c r="J10" s="2"/>
      <c r="K10" s="15"/>
    </row>
    <row r="11" ht="15.0" customHeight="1">
      <c r="A11" s="15"/>
      <c r="B11" s="11" t="str">
        <f t="array" ref="B11">IFERROR(INDEX('Patient Bills'!$B:$B,MATCH(A11,'Patient Bills'!$A:$A,0)),"")</f>
        <v/>
      </c>
      <c r="C11" s="15"/>
      <c r="D11" s="15"/>
      <c r="E11" s="15"/>
      <c r="F11" s="15"/>
      <c r="G11" s="20"/>
      <c r="H11" s="20"/>
      <c r="I11" s="12" t="str">
        <f t="shared" si="2"/>
        <v/>
      </c>
      <c r="J11" s="2"/>
      <c r="K11" s="15"/>
    </row>
    <row r="12" ht="15.0" customHeight="1">
      <c r="A12" s="15"/>
      <c r="B12" s="11" t="str">
        <f t="array" ref="B12">IFERROR(INDEX('Patient Bills'!$B:$B,MATCH(A12,'Patient Bills'!$A:$A,0)),"")</f>
        <v/>
      </c>
      <c r="C12" s="15"/>
      <c r="D12" s="15"/>
      <c r="E12" s="15"/>
      <c r="F12" s="15"/>
      <c r="G12" s="20"/>
      <c r="H12" s="20"/>
      <c r="I12" s="12" t="str">
        <f t="shared" si="2"/>
        <v/>
      </c>
      <c r="J12" s="2"/>
      <c r="K12" s="15"/>
    </row>
    <row r="13" ht="15.0" customHeight="1">
      <c r="A13" s="15"/>
      <c r="B13" s="11" t="str">
        <f t="array" ref="B13">IFERROR(INDEX('Patient Bills'!$B:$B,MATCH(A13,'Patient Bills'!$A:$A,0)),"")</f>
        <v/>
      </c>
      <c r="C13" s="15"/>
      <c r="D13" s="15"/>
      <c r="E13" s="15"/>
      <c r="F13" s="15"/>
      <c r="G13" s="20"/>
      <c r="H13" s="20"/>
      <c r="I13" s="12" t="str">
        <f t="shared" si="2"/>
        <v/>
      </c>
      <c r="J13" s="2"/>
      <c r="K13" s="15"/>
    </row>
    <row r="14" ht="15.0" customHeight="1">
      <c r="A14" s="15"/>
      <c r="B14" s="11" t="str">
        <f t="array" ref="B14">IFERROR(INDEX('Patient Bills'!$B:$B,MATCH(A14,'Patient Bills'!$A:$A,0)),"")</f>
        <v/>
      </c>
      <c r="C14" s="15"/>
      <c r="D14" s="15"/>
      <c r="E14" s="15"/>
      <c r="F14" s="15"/>
      <c r="G14" s="20"/>
      <c r="H14" s="20"/>
      <c r="I14" s="12" t="str">
        <f t="shared" si="2"/>
        <v/>
      </c>
      <c r="J14" s="2"/>
      <c r="K14" s="15"/>
    </row>
    <row r="15" ht="15.0" customHeight="1">
      <c r="A15" s="15"/>
      <c r="B15" s="11" t="str">
        <f t="array" ref="B15">IFERROR(INDEX('Patient Bills'!$B:$B,MATCH(A15,'Patient Bills'!$A:$A,0)),"")</f>
        <v/>
      </c>
      <c r="C15" s="15"/>
      <c r="D15" s="15"/>
      <c r="E15" s="15"/>
      <c r="F15" s="15"/>
      <c r="G15" s="20"/>
      <c r="H15" s="20"/>
      <c r="I15" s="12" t="str">
        <f t="shared" si="2"/>
        <v/>
      </c>
      <c r="J15" s="2"/>
      <c r="K15" s="15"/>
    </row>
    <row r="16" ht="15.0" customHeight="1">
      <c r="A16" s="15"/>
      <c r="B16" s="11" t="str">
        <f t="array" ref="B16">IFERROR(INDEX('Patient Bills'!$B:$B,MATCH(A16,'Patient Bills'!$A:$A,0)),"")</f>
        <v/>
      </c>
      <c r="C16" s="15"/>
      <c r="D16" s="15"/>
      <c r="E16" s="15"/>
      <c r="F16" s="15"/>
      <c r="G16" s="20"/>
      <c r="H16" s="20"/>
      <c r="I16" s="12" t="str">
        <f t="shared" si="2"/>
        <v/>
      </c>
      <c r="J16" s="2"/>
      <c r="K16" s="15"/>
    </row>
    <row r="17" ht="15.0" customHeight="1">
      <c r="A17" s="15"/>
      <c r="B17" s="11" t="str">
        <f t="array" ref="B17">IFERROR(INDEX('Patient Bills'!$B:$B,MATCH(A17,'Patient Bills'!$A:$A,0)),"")</f>
        <v/>
      </c>
      <c r="C17" s="15"/>
      <c r="D17" s="15"/>
      <c r="E17" s="15"/>
      <c r="F17" s="15"/>
      <c r="G17" s="20"/>
      <c r="H17" s="20"/>
      <c r="I17" s="12" t="str">
        <f t="shared" si="2"/>
        <v/>
      </c>
      <c r="J17" s="2"/>
      <c r="K17" s="15"/>
    </row>
    <row r="18" ht="15.0" customHeight="1">
      <c r="A18" s="15"/>
      <c r="B18" s="11" t="str">
        <f t="array" ref="B18">IFERROR(INDEX('Patient Bills'!$B:$B,MATCH(A18,'Patient Bills'!$A:$A,0)),"")</f>
        <v/>
      </c>
      <c r="C18" s="15"/>
      <c r="D18" s="15"/>
      <c r="E18" s="15"/>
      <c r="F18" s="15"/>
      <c r="G18" s="20"/>
      <c r="H18" s="20"/>
      <c r="I18" s="12" t="str">
        <f t="shared" si="2"/>
        <v/>
      </c>
      <c r="J18" s="2"/>
      <c r="K18" s="15"/>
    </row>
    <row r="19" ht="15.0" customHeight="1">
      <c r="A19" s="15"/>
      <c r="B19" s="11" t="str">
        <f t="array" ref="B19">IFERROR(INDEX('Patient Bills'!$B:$B,MATCH(A19,'Patient Bills'!$A:$A,0)),"")</f>
        <v/>
      </c>
      <c r="C19" s="15"/>
      <c r="D19" s="15"/>
      <c r="E19" s="15"/>
      <c r="F19" s="15"/>
      <c r="G19" s="20"/>
      <c r="H19" s="20"/>
      <c r="I19" s="12" t="str">
        <f t="shared" si="2"/>
        <v/>
      </c>
      <c r="J19" s="2"/>
      <c r="K19" s="15"/>
    </row>
    <row r="20" ht="15.0" customHeight="1">
      <c r="A20" s="15"/>
      <c r="B20" s="11" t="str">
        <f t="array" ref="B20">IFERROR(INDEX('Patient Bills'!$B:$B,MATCH(A20,'Patient Bills'!$A:$A,0)),"")</f>
        <v/>
      </c>
      <c r="C20" s="15"/>
      <c r="D20" s="15"/>
      <c r="E20" s="15"/>
      <c r="F20" s="15"/>
      <c r="G20" s="20"/>
      <c r="H20" s="20"/>
      <c r="I20" s="12" t="str">
        <f t="shared" si="2"/>
        <v/>
      </c>
      <c r="J20" s="2"/>
      <c r="K20" s="15"/>
    </row>
    <row r="21" ht="15.0" customHeight="1">
      <c r="A21" s="15"/>
      <c r="B21" s="11" t="str">
        <f t="array" ref="B21">IFERROR(INDEX('Patient Bills'!$B:$B,MATCH(A21,'Patient Bills'!$A:$A,0)),"")</f>
        <v/>
      </c>
      <c r="C21" s="15"/>
      <c r="D21" s="15"/>
      <c r="E21" s="15"/>
      <c r="F21" s="15"/>
      <c r="G21" s="20"/>
      <c r="H21" s="20"/>
      <c r="I21" s="12" t="str">
        <f t="shared" si="2"/>
        <v/>
      </c>
      <c r="J21" s="2"/>
      <c r="K21" s="15"/>
    </row>
    <row r="22" ht="15.0" customHeight="1">
      <c r="A22" s="15"/>
      <c r="B22" s="11" t="str">
        <f t="array" ref="B22">IFERROR(INDEX('Patient Bills'!$B:$B,MATCH(A22,'Patient Bills'!$A:$A,0)),"")</f>
        <v/>
      </c>
      <c r="C22" s="15"/>
      <c r="D22" s="15"/>
      <c r="E22" s="15"/>
      <c r="F22" s="15"/>
      <c r="G22" s="20"/>
      <c r="H22" s="20"/>
      <c r="I22" s="12" t="str">
        <f t="shared" si="2"/>
        <v/>
      </c>
      <c r="J22" s="2"/>
      <c r="K22" s="15"/>
    </row>
    <row r="23" ht="15.0" customHeight="1">
      <c r="A23" s="15"/>
      <c r="B23" s="11" t="str">
        <f t="array" ref="B23">IFERROR(INDEX('Patient Bills'!$B:$B,MATCH(A23,'Patient Bills'!$A:$A,0)),"")</f>
        <v/>
      </c>
      <c r="C23" s="15"/>
      <c r="D23" s="15"/>
      <c r="E23" s="15"/>
      <c r="F23" s="15"/>
      <c r="G23" s="20"/>
      <c r="H23" s="20"/>
      <c r="I23" s="12" t="str">
        <f t="shared" si="2"/>
        <v/>
      </c>
      <c r="J23" s="2"/>
      <c r="K23" s="15"/>
    </row>
    <row r="24" ht="15.0" customHeight="1">
      <c r="A24" s="15"/>
      <c r="B24" s="11" t="str">
        <f t="array" ref="B24">IFERROR(INDEX('Patient Bills'!$B:$B,MATCH(A24,'Patient Bills'!$A:$A,0)),"")</f>
        <v/>
      </c>
      <c r="C24" s="15"/>
      <c r="D24" s="15"/>
      <c r="E24" s="15"/>
      <c r="F24" s="15"/>
      <c r="G24" s="20"/>
      <c r="H24" s="20"/>
      <c r="I24" s="12" t="str">
        <f t="shared" si="2"/>
        <v/>
      </c>
      <c r="J24" s="2"/>
      <c r="K24" s="15"/>
    </row>
    <row r="25" ht="15.0" customHeight="1">
      <c r="A25" s="15"/>
      <c r="B25" s="11" t="str">
        <f t="array" ref="B25">IFERROR(INDEX('Patient Bills'!$B:$B,MATCH(A25,'Patient Bills'!$A:$A,0)),"")</f>
        <v/>
      </c>
      <c r="C25" s="15"/>
      <c r="D25" s="15"/>
      <c r="E25" s="15"/>
      <c r="F25" s="15"/>
      <c r="G25" s="20"/>
      <c r="H25" s="20"/>
      <c r="I25" s="12" t="str">
        <f t="shared" si="2"/>
        <v/>
      </c>
      <c r="J25" s="2"/>
      <c r="K25" s="15"/>
    </row>
    <row r="26" ht="15.0" customHeight="1">
      <c r="A26" s="15"/>
      <c r="B26" s="11" t="str">
        <f t="array" ref="B26">IFERROR(INDEX('Patient Bills'!$B:$B,MATCH(A26,'Patient Bills'!$A:$A,0)),"")</f>
        <v/>
      </c>
      <c r="C26" s="15"/>
      <c r="D26" s="15"/>
      <c r="E26" s="15"/>
      <c r="F26" s="15"/>
      <c r="G26" s="20"/>
      <c r="H26" s="20"/>
      <c r="I26" s="12" t="str">
        <f t="shared" si="2"/>
        <v/>
      </c>
      <c r="J26" s="2"/>
      <c r="K26" s="15"/>
    </row>
    <row r="27" ht="15.0" customHeight="1">
      <c r="A27" s="15"/>
      <c r="B27" s="11" t="str">
        <f t="array" ref="B27">IFERROR(INDEX('Patient Bills'!$B:$B,MATCH(A27,'Patient Bills'!$A:$A,0)),"")</f>
        <v/>
      </c>
      <c r="C27" s="15"/>
      <c r="D27" s="15"/>
      <c r="E27" s="15"/>
      <c r="F27" s="15"/>
      <c r="G27" s="20"/>
      <c r="H27" s="20"/>
      <c r="I27" s="12" t="str">
        <f t="shared" si="2"/>
        <v/>
      </c>
      <c r="J27" s="2"/>
      <c r="K27" s="15"/>
    </row>
    <row r="28" ht="15.0" customHeight="1">
      <c r="A28" s="15"/>
      <c r="B28" s="11" t="str">
        <f t="array" ref="B28">IFERROR(INDEX('Patient Bills'!$B:$B,MATCH(A28,'Patient Bills'!$A:$A,0)),"")</f>
        <v/>
      </c>
      <c r="C28" s="15"/>
      <c r="D28" s="15"/>
      <c r="E28" s="15"/>
      <c r="F28" s="15"/>
      <c r="G28" s="20"/>
      <c r="H28" s="20"/>
      <c r="I28" s="12" t="str">
        <f t="shared" si="2"/>
        <v/>
      </c>
      <c r="J28" s="2"/>
      <c r="K28" s="15"/>
    </row>
    <row r="29" ht="15.0" customHeight="1">
      <c r="A29" s="15"/>
      <c r="B29" s="11" t="str">
        <f t="array" ref="B29">IFERROR(INDEX('Patient Bills'!$B:$B,MATCH(A29,'Patient Bills'!$A:$A,0)),"")</f>
        <v/>
      </c>
      <c r="C29" s="15"/>
      <c r="D29" s="15"/>
      <c r="E29" s="15"/>
      <c r="F29" s="15"/>
      <c r="G29" s="20"/>
      <c r="H29" s="20"/>
      <c r="I29" s="12" t="str">
        <f t="shared" si="2"/>
        <v/>
      </c>
      <c r="J29" s="2"/>
      <c r="K29" s="15"/>
    </row>
    <row r="30" ht="15.0" customHeight="1">
      <c r="A30" s="15"/>
      <c r="B30" s="11" t="str">
        <f t="array" ref="B30">IFERROR(INDEX('Patient Bills'!$B:$B,MATCH(A30,'Patient Bills'!$A:$A,0)),"")</f>
        <v/>
      </c>
      <c r="C30" s="15"/>
      <c r="D30" s="15"/>
      <c r="E30" s="15"/>
      <c r="F30" s="15"/>
      <c r="G30" s="20"/>
      <c r="H30" s="20"/>
      <c r="I30" s="12" t="str">
        <f t="shared" si="2"/>
        <v/>
      </c>
      <c r="J30" s="2"/>
      <c r="K30" s="15"/>
    </row>
    <row r="31" ht="15.0" customHeight="1">
      <c r="A31" s="15"/>
      <c r="B31" s="11" t="str">
        <f t="array" ref="B31">IFERROR(INDEX('Patient Bills'!$B:$B,MATCH(A31,'Patient Bills'!$A:$A,0)),"")</f>
        <v/>
      </c>
      <c r="C31" s="15"/>
      <c r="D31" s="15"/>
      <c r="E31" s="15"/>
      <c r="F31" s="15"/>
      <c r="G31" s="20"/>
      <c r="H31" s="20"/>
      <c r="I31" s="12" t="str">
        <f t="shared" si="2"/>
        <v/>
      </c>
      <c r="J31" s="2"/>
      <c r="K31" s="15"/>
    </row>
    <row r="32" ht="15.0" customHeight="1">
      <c r="A32" s="15"/>
      <c r="B32" s="11" t="str">
        <f t="array" ref="B32">IFERROR(INDEX('Patient Bills'!$B:$B,MATCH(A32,'Patient Bills'!$A:$A,0)),"")</f>
        <v/>
      </c>
      <c r="C32" s="15"/>
      <c r="D32" s="15"/>
      <c r="E32" s="15"/>
      <c r="F32" s="15"/>
      <c r="G32" s="20"/>
      <c r="H32" s="20"/>
      <c r="I32" s="12" t="str">
        <f t="shared" si="2"/>
        <v/>
      </c>
      <c r="J32" s="2"/>
      <c r="K32" s="15"/>
    </row>
    <row r="33" ht="15.0" customHeight="1">
      <c r="A33" s="15"/>
      <c r="B33" s="11" t="str">
        <f t="array" ref="B33">IFERROR(INDEX('Patient Bills'!$B:$B,MATCH(A33,'Patient Bills'!$A:$A,0)),"")</f>
        <v/>
      </c>
      <c r="C33" s="15"/>
      <c r="D33" s="15"/>
      <c r="E33" s="15"/>
      <c r="F33" s="15"/>
      <c r="G33" s="20"/>
      <c r="H33" s="20"/>
      <c r="I33" s="12" t="str">
        <f t="shared" si="2"/>
        <v/>
      </c>
      <c r="J33" s="2"/>
      <c r="K33" s="15"/>
    </row>
    <row r="34" ht="15.0" customHeight="1">
      <c r="A34" s="15"/>
      <c r="B34" s="11" t="str">
        <f t="array" ref="B34">IFERROR(INDEX('Patient Bills'!$B:$B,MATCH(A34,'Patient Bills'!$A:$A,0)),"")</f>
        <v/>
      </c>
      <c r="C34" s="15"/>
      <c r="D34" s="15"/>
      <c r="E34" s="15"/>
      <c r="F34" s="15"/>
      <c r="G34" s="20"/>
      <c r="H34" s="20"/>
      <c r="I34" s="12" t="str">
        <f t="shared" si="2"/>
        <v/>
      </c>
      <c r="J34" s="2"/>
      <c r="K34" s="15"/>
    </row>
    <row r="35" ht="15.0" customHeight="1">
      <c r="A35" s="15"/>
      <c r="B35" s="11" t="str">
        <f t="array" ref="B35">IFERROR(INDEX('Patient Bills'!$B:$B,MATCH(A35,'Patient Bills'!$A:$A,0)),"")</f>
        <v/>
      </c>
      <c r="C35" s="15"/>
      <c r="D35" s="15"/>
      <c r="E35" s="15"/>
      <c r="F35" s="15"/>
      <c r="G35" s="20"/>
      <c r="H35" s="20"/>
      <c r="I35" s="12" t="str">
        <f t="shared" si="2"/>
        <v/>
      </c>
      <c r="J35" s="2"/>
      <c r="K35" s="15"/>
    </row>
    <row r="36" ht="15.0" customHeight="1">
      <c r="A36" s="15"/>
      <c r="B36" s="11" t="str">
        <f t="array" ref="B36">IFERROR(INDEX('Patient Bills'!$B:$B,MATCH(A36,'Patient Bills'!$A:$A,0)),"")</f>
        <v/>
      </c>
      <c r="C36" s="15"/>
      <c r="D36" s="15"/>
      <c r="E36" s="15"/>
      <c r="F36" s="15"/>
      <c r="G36" s="20"/>
      <c r="H36" s="20"/>
      <c r="I36" s="12" t="str">
        <f t="shared" si="2"/>
        <v/>
      </c>
      <c r="J36" s="2"/>
      <c r="K36" s="15"/>
    </row>
    <row r="37" ht="15.0" customHeight="1">
      <c r="A37" s="15"/>
      <c r="B37" s="11" t="str">
        <f t="array" ref="B37">IFERROR(INDEX('Patient Bills'!$B:$B,MATCH(A37,'Patient Bills'!$A:$A,0)),"")</f>
        <v/>
      </c>
      <c r="C37" s="15"/>
      <c r="D37" s="15"/>
      <c r="E37" s="15"/>
      <c r="F37" s="15"/>
      <c r="G37" s="20"/>
      <c r="H37" s="20"/>
      <c r="I37" s="12" t="str">
        <f t="shared" si="2"/>
        <v/>
      </c>
      <c r="J37" s="2"/>
      <c r="K37" s="15"/>
    </row>
    <row r="38" ht="15.0" customHeight="1">
      <c r="A38" s="15"/>
      <c r="B38" s="11" t="str">
        <f t="array" ref="B38">IFERROR(INDEX('Patient Bills'!$B:$B,MATCH(A38,'Patient Bills'!$A:$A,0)),"")</f>
        <v/>
      </c>
      <c r="C38" s="15"/>
      <c r="D38" s="15"/>
      <c r="E38" s="15"/>
      <c r="F38" s="15"/>
      <c r="G38" s="20"/>
      <c r="H38" s="20"/>
      <c r="I38" s="12" t="str">
        <f t="shared" si="2"/>
        <v/>
      </c>
      <c r="J38" s="2"/>
      <c r="K38" s="15"/>
    </row>
    <row r="39" ht="15.0" customHeight="1">
      <c r="A39" s="15"/>
      <c r="B39" s="11" t="str">
        <f t="array" ref="B39">IFERROR(INDEX('Patient Bills'!$B:$B,MATCH(A39,'Patient Bills'!$A:$A,0)),"")</f>
        <v/>
      </c>
      <c r="C39" s="15"/>
      <c r="D39" s="15"/>
      <c r="E39" s="15"/>
      <c r="F39" s="15"/>
      <c r="G39" s="20"/>
      <c r="H39" s="20"/>
      <c r="I39" s="12" t="str">
        <f t="shared" si="2"/>
        <v/>
      </c>
      <c r="J39" s="2"/>
      <c r="K39" s="15"/>
    </row>
    <row r="40" ht="15.0" customHeight="1">
      <c r="A40" s="15"/>
      <c r="B40" s="11" t="str">
        <f t="array" ref="B40">IFERROR(INDEX('Patient Bills'!$B:$B,MATCH(A40,'Patient Bills'!$A:$A,0)),"")</f>
        <v/>
      </c>
      <c r="C40" s="15"/>
      <c r="D40" s="15"/>
      <c r="E40" s="15"/>
      <c r="F40" s="15"/>
      <c r="G40" s="20"/>
      <c r="H40" s="20"/>
      <c r="I40" s="12" t="str">
        <f t="shared" si="2"/>
        <v/>
      </c>
      <c r="J40" s="2"/>
      <c r="K40" s="15"/>
    </row>
    <row r="41" ht="15.0" customHeight="1">
      <c r="A41" s="15"/>
      <c r="B41" s="11" t="str">
        <f t="array" ref="B41">IFERROR(INDEX('Patient Bills'!$B:$B,MATCH(A41,'Patient Bills'!$A:$A,0)),"")</f>
        <v/>
      </c>
      <c r="C41" s="15"/>
      <c r="D41" s="15"/>
      <c r="E41" s="15"/>
      <c r="F41" s="15"/>
      <c r="G41" s="20"/>
      <c r="H41" s="20"/>
      <c r="I41" s="12" t="str">
        <f t="shared" si="2"/>
        <v/>
      </c>
      <c r="J41" s="2"/>
      <c r="K41" s="15"/>
    </row>
    <row r="42" ht="15.0" customHeight="1">
      <c r="A42" s="15"/>
      <c r="B42" s="11" t="str">
        <f t="array" ref="B42">IFERROR(INDEX('Patient Bills'!$B:$B,MATCH(A42,'Patient Bills'!$A:$A,0)),"")</f>
        <v/>
      </c>
      <c r="C42" s="15"/>
      <c r="D42" s="15"/>
      <c r="E42" s="15"/>
      <c r="F42" s="15"/>
      <c r="G42" s="20"/>
      <c r="H42" s="20"/>
      <c r="I42" s="12" t="str">
        <f t="shared" si="2"/>
        <v/>
      </c>
      <c r="J42" s="2"/>
      <c r="K42" s="15"/>
    </row>
    <row r="43" ht="15.0" customHeight="1">
      <c r="A43" s="15"/>
      <c r="B43" s="11" t="str">
        <f t="array" ref="B43">IFERROR(INDEX('Patient Bills'!$B:$B,MATCH(A43,'Patient Bills'!$A:$A,0)),"")</f>
        <v/>
      </c>
      <c r="C43" s="15"/>
      <c r="D43" s="15"/>
      <c r="E43" s="15"/>
      <c r="F43" s="15"/>
      <c r="G43" s="20"/>
      <c r="H43" s="20"/>
      <c r="I43" s="12" t="str">
        <f t="shared" si="2"/>
        <v/>
      </c>
      <c r="J43" s="2"/>
      <c r="K43" s="15"/>
    </row>
    <row r="44" ht="15.0" customHeight="1">
      <c r="A44" s="15"/>
      <c r="B44" s="11" t="str">
        <f t="array" ref="B44">IFERROR(INDEX('Patient Bills'!$B:$B,MATCH(A44,'Patient Bills'!$A:$A,0)),"")</f>
        <v/>
      </c>
      <c r="C44" s="15"/>
      <c r="D44" s="15"/>
      <c r="E44" s="15"/>
      <c r="F44" s="15"/>
      <c r="G44" s="20"/>
      <c r="H44" s="20"/>
      <c r="I44" s="12" t="str">
        <f t="shared" si="2"/>
        <v/>
      </c>
      <c r="J44" s="2"/>
      <c r="K44" s="15"/>
    </row>
    <row r="45" ht="15.0" customHeight="1">
      <c r="A45" s="15"/>
      <c r="B45" s="11" t="str">
        <f t="array" ref="B45">IFERROR(INDEX('Patient Bills'!$B:$B,MATCH(A45,'Patient Bills'!$A:$A,0)),"")</f>
        <v/>
      </c>
      <c r="C45" s="15"/>
      <c r="D45" s="15"/>
      <c r="E45" s="15"/>
      <c r="F45" s="15"/>
      <c r="G45" s="20"/>
      <c r="H45" s="20"/>
      <c r="I45" s="12" t="str">
        <f t="shared" si="2"/>
        <v/>
      </c>
      <c r="J45" s="2"/>
      <c r="K45" s="15"/>
    </row>
    <row r="46" ht="15.0" customHeight="1">
      <c r="A46" s="15"/>
      <c r="B46" s="11" t="str">
        <f t="array" ref="B46">IFERROR(INDEX('Patient Bills'!$B:$B,MATCH(A46,'Patient Bills'!$A:$A,0)),"")</f>
        <v/>
      </c>
      <c r="C46" s="15"/>
      <c r="D46" s="15"/>
      <c r="E46" s="15"/>
      <c r="F46" s="15"/>
      <c r="G46" s="20"/>
      <c r="H46" s="20"/>
      <c r="I46" s="12" t="str">
        <f t="shared" si="2"/>
        <v/>
      </c>
      <c r="J46" s="2"/>
      <c r="K46" s="15"/>
    </row>
    <row r="47" ht="15.0" customHeight="1">
      <c r="A47" s="15"/>
      <c r="B47" s="11" t="str">
        <f t="array" ref="B47">IFERROR(INDEX('Patient Bills'!$B:$B,MATCH(A47,'Patient Bills'!$A:$A,0)),"")</f>
        <v/>
      </c>
      <c r="C47" s="15"/>
      <c r="D47" s="15"/>
      <c r="E47" s="15"/>
      <c r="F47" s="15"/>
      <c r="G47" s="20"/>
      <c r="H47" s="20"/>
      <c r="I47" s="12" t="str">
        <f t="shared" si="2"/>
        <v/>
      </c>
      <c r="J47" s="2"/>
      <c r="K47" s="15"/>
    </row>
    <row r="48" ht="15.0" customHeight="1">
      <c r="A48" s="15"/>
      <c r="B48" s="11" t="str">
        <f t="array" ref="B48">IFERROR(INDEX('Patient Bills'!$B:$B,MATCH(A48,'Patient Bills'!$A:$A,0)),"")</f>
        <v/>
      </c>
      <c r="C48" s="15"/>
      <c r="D48" s="15"/>
      <c r="E48" s="15"/>
      <c r="F48" s="15"/>
      <c r="G48" s="20"/>
      <c r="H48" s="20"/>
      <c r="I48" s="12" t="str">
        <f t="shared" si="2"/>
        <v/>
      </c>
      <c r="J48" s="2"/>
      <c r="K48" s="15"/>
    </row>
    <row r="49" ht="15.0" customHeight="1">
      <c r="A49" s="15"/>
      <c r="B49" s="11" t="str">
        <f t="array" ref="B49">IFERROR(INDEX('Patient Bills'!$B:$B,MATCH(A49,'Patient Bills'!$A:$A,0)),"")</f>
        <v/>
      </c>
      <c r="C49" s="15"/>
      <c r="D49" s="15"/>
      <c r="E49" s="15"/>
      <c r="F49" s="15"/>
      <c r="G49" s="20"/>
      <c r="H49" s="20"/>
      <c r="I49" s="12" t="str">
        <f t="shared" si="2"/>
        <v/>
      </c>
      <c r="J49" s="2"/>
      <c r="K49" s="15"/>
    </row>
    <row r="50" ht="15.0" customHeight="1">
      <c r="A50" s="15"/>
      <c r="B50" s="11" t="str">
        <f t="array" ref="B50">IFERROR(INDEX('Patient Bills'!$B:$B,MATCH(A50,'Patient Bills'!$A:$A,0)),"")</f>
        <v/>
      </c>
      <c r="C50" s="15"/>
      <c r="D50" s="15"/>
      <c r="E50" s="15"/>
      <c r="F50" s="15"/>
      <c r="G50" s="20"/>
      <c r="H50" s="20"/>
      <c r="I50" s="12" t="str">
        <f t="shared" si="2"/>
        <v/>
      </c>
      <c r="J50" s="2"/>
      <c r="K50" s="15"/>
    </row>
    <row r="51" ht="15.0" customHeight="1">
      <c r="A51" s="15"/>
      <c r="B51" s="11" t="str">
        <f t="array" ref="B51">IFERROR(INDEX('Patient Bills'!$B:$B,MATCH(A51,'Patient Bills'!$A:$A,0)),"")</f>
        <v/>
      </c>
      <c r="C51" s="15"/>
      <c r="D51" s="15"/>
      <c r="E51" s="15"/>
      <c r="F51" s="15"/>
      <c r="G51" s="20"/>
      <c r="H51" s="20"/>
      <c r="I51" s="12" t="str">
        <f t="shared" si="2"/>
        <v/>
      </c>
      <c r="J51" s="2"/>
      <c r="K51" s="15"/>
    </row>
    <row r="52" ht="15.0" customHeight="1">
      <c r="A52" s="15"/>
      <c r="B52" s="11" t="str">
        <f t="array" ref="B52">IFERROR(INDEX('Patient Bills'!$B:$B,MATCH(A52,'Patient Bills'!$A:$A,0)),"")</f>
        <v/>
      </c>
      <c r="C52" s="15"/>
      <c r="D52" s="15"/>
      <c r="E52" s="15"/>
      <c r="F52" s="15"/>
      <c r="G52" s="20"/>
      <c r="H52" s="20"/>
      <c r="I52" s="12" t="str">
        <f t="shared" si="2"/>
        <v/>
      </c>
      <c r="J52" s="2"/>
      <c r="K52" s="15"/>
    </row>
    <row r="53" ht="15.0" customHeight="1">
      <c r="A53" s="15"/>
      <c r="B53" s="11" t="str">
        <f t="array" ref="B53">IFERROR(INDEX('Patient Bills'!$B:$B,MATCH(A53,'Patient Bills'!$A:$A,0)),"")</f>
        <v/>
      </c>
      <c r="C53" s="15"/>
      <c r="D53" s="15"/>
      <c r="E53" s="15"/>
      <c r="F53" s="15"/>
      <c r="G53" s="20"/>
      <c r="H53" s="20"/>
      <c r="I53" s="12" t="str">
        <f t="shared" si="2"/>
        <v/>
      </c>
      <c r="J53" s="2"/>
      <c r="K53" s="15"/>
    </row>
    <row r="54" ht="15.0" customHeight="1">
      <c r="A54" s="15"/>
      <c r="B54" s="11" t="str">
        <f t="array" ref="B54">IFERROR(INDEX('Patient Bills'!$B:$B,MATCH(A54,'Patient Bills'!$A:$A,0)),"")</f>
        <v/>
      </c>
      <c r="C54" s="15"/>
      <c r="D54" s="15"/>
      <c r="E54" s="15"/>
      <c r="F54" s="15"/>
      <c r="G54" s="20"/>
      <c r="H54" s="20"/>
      <c r="I54" s="12" t="str">
        <f t="shared" si="2"/>
        <v/>
      </c>
      <c r="J54" s="2"/>
      <c r="K54" s="15"/>
    </row>
    <row r="55" ht="15.0" customHeight="1">
      <c r="A55" s="15"/>
      <c r="B55" s="11" t="str">
        <f t="array" ref="B55">IFERROR(INDEX('Patient Bills'!$B:$B,MATCH(A55,'Patient Bills'!$A:$A,0)),"")</f>
        <v/>
      </c>
      <c r="C55" s="15"/>
      <c r="D55" s="15"/>
      <c r="E55" s="15"/>
      <c r="F55" s="15"/>
      <c r="G55" s="20"/>
      <c r="H55" s="20"/>
      <c r="I55" s="12" t="str">
        <f t="shared" si="2"/>
        <v/>
      </c>
      <c r="J55" s="2"/>
      <c r="K55" s="15"/>
    </row>
    <row r="56" ht="15.0" customHeight="1">
      <c r="A56" s="15"/>
      <c r="B56" s="11" t="str">
        <f t="array" ref="B56">IFERROR(INDEX('Patient Bills'!$B:$B,MATCH(A56,'Patient Bills'!$A:$A,0)),"")</f>
        <v/>
      </c>
      <c r="C56" s="15"/>
      <c r="D56" s="15"/>
      <c r="E56" s="15"/>
      <c r="F56" s="15"/>
      <c r="G56" s="20"/>
      <c r="H56" s="20"/>
      <c r="I56" s="12" t="str">
        <f t="shared" si="2"/>
        <v/>
      </c>
      <c r="J56" s="2"/>
      <c r="K56" s="15"/>
    </row>
    <row r="57" ht="15.0" customHeight="1">
      <c r="A57" s="15"/>
      <c r="B57" s="11" t="str">
        <f t="array" ref="B57">IFERROR(INDEX('Patient Bills'!$B:$B,MATCH(A57,'Patient Bills'!$A:$A,0)),"")</f>
        <v/>
      </c>
      <c r="C57" s="15"/>
      <c r="D57" s="15"/>
      <c r="E57" s="15"/>
      <c r="F57" s="15"/>
      <c r="G57" s="20"/>
      <c r="H57" s="20"/>
      <c r="I57" s="12" t="str">
        <f t="shared" si="2"/>
        <v/>
      </c>
      <c r="J57" s="2"/>
      <c r="K57" s="15"/>
    </row>
    <row r="58" ht="15.0" customHeight="1">
      <c r="A58" s="15"/>
      <c r="B58" s="11" t="str">
        <f t="array" ref="B58">IFERROR(INDEX('Patient Bills'!$B:$B,MATCH(A58,'Patient Bills'!$A:$A,0)),"")</f>
        <v/>
      </c>
      <c r="C58" s="15"/>
      <c r="D58" s="15"/>
      <c r="E58" s="15"/>
      <c r="F58" s="15"/>
      <c r="G58" s="20"/>
      <c r="H58" s="20"/>
      <c r="I58" s="12" t="str">
        <f t="shared" si="2"/>
        <v/>
      </c>
      <c r="J58" s="2"/>
      <c r="K58" s="15"/>
    </row>
    <row r="59" ht="15.0" customHeight="1">
      <c r="A59" s="15"/>
      <c r="B59" s="11" t="str">
        <f t="array" ref="B59">IFERROR(INDEX('Patient Bills'!$B:$B,MATCH(A59,'Patient Bills'!$A:$A,0)),"")</f>
        <v/>
      </c>
      <c r="C59" s="15"/>
      <c r="D59" s="15"/>
      <c r="E59" s="15"/>
      <c r="F59" s="15"/>
      <c r="G59" s="20"/>
      <c r="H59" s="20"/>
      <c r="I59" s="12" t="str">
        <f t="shared" si="2"/>
        <v/>
      </c>
      <c r="J59" s="2"/>
      <c r="K59" s="15"/>
    </row>
    <row r="60" ht="15.0" customHeight="1">
      <c r="A60" s="15"/>
      <c r="B60" s="11" t="str">
        <f t="array" ref="B60">IFERROR(INDEX('Patient Bills'!$B:$B,MATCH(A60,'Patient Bills'!$A:$A,0)),"")</f>
        <v/>
      </c>
      <c r="C60" s="15"/>
      <c r="D60" s="15"/>
      <c r="E60" s="15"/>
      <c r="F60" s="15"/>
      <c r="G60" s="20"/>
      <c r="H60" s="20"/>
      <c r="I60" s="12" t="str">
        <f t="shared" si="2"/>
        <v/>
      </c>
      <c r="J60" s="2"/>
      <c r="K60" s="15"/>
    </row>
    <row r="61" ht="15.0" customHeight="1">
      <c r="A61" s="15"/>
      <c r="B61" s="11" t="str">
        <f t="array" ref="B61">IFERROR(INDEX('Patient Bills'!$B:$B,MATCH(A61,'Patient Bills'!$A:$A,0)),"")</f>
        <v/>
      </c>
      <c r="C61" s="15"/>
      <c r="D61" s="15"/>
      <c r="E61" s="15"/>
      <c r="F61" s="15"/>
      <c r="G61" s="20"/>
      <c r="H61" s="20"/>
      <c r="I61" s="12" t="str">
        <f t="shared" si="2"/>
        <v/>
      </c>
      <c r="J61" s="2"/>
      <c r="K61" s="15"/>
    </row>
    <row r="62" ht="15.0" customHeight="1">
      <c r="A62" s="15"/>
      <c r="B62" s="11" t="str">
        <f t="array" ref="B62">IFERROR(INDEX('Patient Bills'!$B:$B,MATCH(A62,'Patient Bills'!$A:$A,0)),"")</f>
        <v/>
      </c>
      <c r="C62" s="15"/>
      <c r="D62" s="15"/>
      <c r="E62" s="15"/>
      <c r="F62" s="15"/>
      <c r="G62" s="20"/>
      <c r="H62" s="20"/>
      <c r="I62" s="12" t="str">
        <f t="shared" si="2"/>
        <v/>
      </c>
      <c r="J62" s="2"/>
      <c r="K62" s="15"/>
    </row>
    <row r="63" ht="15.0" customHeight="1">
      <c r="A63" s="15"/>
      <c r="B63" s="11" t="str">
        <f t="array" ref="B63">IFERROR(INDEX('Patient Bills'!$B:$B,MATCH(A63,'Patient Bills'!$A:$A,0)),"")</f>
        <v/>
      </c>
      <c r="C63" s="15"/>
      <c r="D63" s="15"/>
      <c r="E63" s="15"/>
      <c r="F63" s="15"/>
      <c r="G63" s="20"/>
      <c r="H63" s="20"/>
      <c r="I63" s="12" t="str">
        <f t="shared" si="2"/>
        <v/>
      </c>
      <c r="J63" s="2"/>
      <c r="K63" s="15"/>
    </row>
    <row r="64" ht="15.0" customHeight="1">
      <c r="A64" s="15"/>
      <c r="B64" s="11" t="str">
        <f t="array" ref="B64">IFERROR(INDEX('Patient Bills'!$B:$B,MATCH(A64,'Patient Bills'!$A:$A,0)),"")</f>
        <v/>
      </c>
      <c r="C64" s="15"/>
      <c r="D64" s="15"/>
      <c r="E64" s="15"/>
      <c r="F64" s="15"/>
      <c r="G64" s="20"/>
      <c r="H64" s="20"/>
      <c r="I64" s="12" t="str">
        <f t="shared" si="2"/>
        <v/>
      </c>
      <c r="J64" s="2"/>
      <c r="K64" s="15"/>
    </row>
    <row r="65" ht="15.0" customHeight="1">
      <c r="A65" s="15"/>
      <c r="B65" s="11" t="str">
        <f t="array" ref="B65">IFERROR(INDEX('Patient Bills'!$B:$B,MATCH(A65,'Patient Bills'!$A:$A,0)),"")</f>
        <v/>
      </c>
      <c r="C65" s="15"/>
      <c r="D65" s="15"/>
      <c r="E65" s="15"/>
      <c r="F65" s="15"/>
      <c r="G65" s="20"/>
      <c r="H65" s="20"/>
      <c r="I65" s="12" t="str">
        <f t="shared" si="2"/>
        <v/>
      </c>
      <c r="J65" s="2"/>
      <c r="K65" s="15"/>
    </row>
    <row r="66" ht="15.0" customHeight="1">
      <c r="A66" s="15"/>
      <c r="B66" s="11" t="str">
        <f t="array" ref="B66">IFERROR(INDEX('Patient Bills'!$B:$B,MATCH(A66,'Patient Bills'!$A:$A,0)),"")</f>
        <v/>
      </c>
      <c r="C66" s="15"/>
      <c r="D66" s="15"/>
      <c r="E66" s="15"/>
      <c r="F66" s="15"/>
      <c r="G66" s="20"/>
      <c r="H66" s="20"/>
      <c r="I66" s="12" t="str">
        <f t="shared" si="2"/>
        <v/>
      </c>
      <c r="J66" s="2"/>
      <c r="K66" s="15"/>
    </row>
    <row r="67" ht="15.0" customHeight="1">
      <c r="A67" s="15"/>
      <c r="B67" s="11" t="str">
        <f t="array" ref="B67">IFERROR(INDEX('Patient Bills'!$B:$B,MATCH(A67,'Patient Bills'!$A:$A,0)),"")</f>
        <v/>
      </c>
      <c r="C67" s="15"/>
      <c r="D67" s="15"/>
      <c r="E67" s="15"/>
      <c r="F67" s="15"/>
      <c r="G67" s="20"/>
      <c r="H67" s="20"/>
      <c r="I67" s="12" t="str">
        <f t="shared" si="2"/>
        <v/>
      </c>
      <c r="J67" s="2"/>
      <c r="K67" s="15"/>
    </row>
    <row r="68" ht="15.0" customHeight="1">
      <c r="A68" s="15"/>
      <c r="B68" s="11" t="str">
        <f t="array" ref="B68">IFERROR(INDEX('Patient Bills'!$B:$B,MATCH(A68,'Patient Bills'!$A:$A,0)),"")</f>
        <v/>
      </c>
      <c r="C68" s="15"/>
      <c r="D68" s="15"/>
      <c r="E68" s="15"/>
      <c r="F68" s="15"/>
      <c r="G68" s="20"/>
      <c r="H68" s="20"/>
      <c r="I68" s="12" t="str">
        <f t="shared" si="2"/>
        <v/>
      </c>
      <c r="J68" s="2"/>
      <c r="K68" s="15"/>
    </row>
    <row r="69" ht="15.0" customHeight="1">
      <c r="A69" s="15"/>
      <c r="B69" s="11" t="str">
        <f t="array" ref="B69">IFERROR(INDEX('Patient Bills'!$B:$B,MATCH(A69,'Patient Bills'!$A:$A,0)),"")</f>
        <v/>
      </c>
      <c r="C69" s="15"/>
      <c r="D69" s="15"/>
      <c r="E69" s="15"/>
      <c r="F69" s="15"/>
      <c r="G69" s="20"/>
      <c r="H69" s="20"/>
      <c r="I69" s="12" t="str">
        <f t="shared" si="2"/>
        <v/>
      </c>
      <c r="J69" s="2"/>
      <c r="K69" s="15"/>
    </row>
    <row r="70" ht="15.0" customHeight="1">
      <c r="A70" s="15"/>
      <c r="B70" s="11" t="str">
        <f t="array" ref="B70">IFERROR(INDEX('Patient Bills'!$B:$B,MATCH(A70,'Patient Bills'!$A:$A,0)),"")</f>
        <v/>
      </c>
      <c r="C70" s="15"/>
      <c r="D70" s="15"/>
      <c r="E70" s="15"/>
      <c r="F70" s="15"/>
      <c r="G70" s="20"/>
      <c r="H70" s="20"/>
      <c r="I70" s="12" t="str">
        <f t="shared" si="2"/>
        <v/>
      </c>
      <c r="J70" s="2"/>
      <c r="K70" s="15"/>
    </row>
    <row r="71" ht="15.0" customHeight="1">
      <c r="A71" s="15"/>
      <c r="B71" s="11" t="str">
        <f t="array" ref="B71">IFERROR(INDEX('Patient Bills'!$B:$B,MATCH(A71,'Patient Bills'!$A:$A,0)),"")</f>
        <v/>
      </c>
      <c r="C71" s="15"/>
      <c r="D71" s="15"/>
      <c r="E71" s="15"/>
      <c r="F71" s="15"/>
      <c r="G71" s="20"/>
      <c r="H71" s="20"/>
      <c r="I71" s="12" t="str">
        <f t="shared" si="2"/>
        <v/>
      </c>
      <c r="J71" s="2"/>
      <c r="K71" s="15"/>
    </row>
    <row r="72" ht="15.0" customHeight="1">
      <c r="A72" s="15"/>
      <c r="B72" s="11" t="str">
        <f t="array" ref="B72">IFERROR(INDEX('Patient Bills'!$B:$B,MATCH(A72,'Patient Bills'!$A:$A,0)),"")</f>
        <v/>
      </c>
      <c r="C72" s="15"/>
      <c r="D72" s="15"/>
      <c r="E72" s="15"/>
      <c r="F72" s="15"/>
      <c r="G72" s="20"/>
      <c r="H72" s="20"/>
      <c r="I72" s="12" t="str">
        <f t="shared" si="2"/>
        <v/>
      </c>
      <c r="J72" s="2"/>
      <c r="K72" s="15"/>
    </row>
    <row r="73" ht="15.0" customHeight="1">
      <c r="A73" s="15"/>
      <c r="B73" s="11" t="str">
        <f t="array" ref="B73">IFERROR(INDEX('Patient Bills'!$B:$B,MATCH(A73,'Patient Bills'!$A:$A,0)),"")</f>
        <v/>
      </c>
      <c r="C73" s="15"/>
      <c r="D73" s="15"/>
      <c r="E73" s="15"/>
      <c r="F73" s="15"/>
      <c r="G73" s="20"/>
      <c r="H73" s="20"/>
      <c r="I73" s="12" t="str">
        <f t="shared" si="2"/>
        <v/>
      </c>
      <c r="J73" s="2"/>
      <c r="K73" s="15"/>
    </row>
    <row r="74" ht="15.0" customHeight="1">
      <c r="A74" s="15"/>
      <c r="B74" s="11" t="str">
        <f t="array" ref="B74">IFERROR(INDEX('Patient Bills'!$B:$B,MATCH(A74,'Patient Bills'!$A:$A,0)),"")</f>
        <v/>
      </c>
      <c r="C74" s="15"/>
      <c r="D74" s="15"/>
      <c r="E74" s="15"/>
      <c r="F74" s="15"/>
      <c r="G74" s="20"/>
      <c r="H74" s="20"/>
      <c r="I74" s="12" t="str">
        <f t="shared" si="2"/>
        <v/>
      </c>
      <c r="J74" s="2"/>
      <c r="K74" s="15"/>
    </row>
    <row r="75" ht="15.0" customHeight="1">
      <c r="A75" s="15"/>
      <c r="B75" s="11" t="str">
        <f t="array" ref="B75">IFERROR(INDEX('Patient Bills'!$B:$B,MATCH(A75,'Patient Bills'!$A:$A,0)),"")</f>
        <v/>
      </c>
      <c r="C75" s="15"/>
      <c r="D75" s="15"/>
      <c r="E75" s="15"/>
      <c r="F75" s="15"/>
      <c r="G75" s="20"/>
      <c r="H75" s="20"/>
      <c r="I75" s="12" t="str">
        <f t="shared" si="2"/>
        <v/>
      </c>
      <c r="J75" s="2"/>
      <c r="K75" s="15"/>
    </row>
    <row r="76" ht="15.0" customHeight="1">
      <c r="A76" s="15"/>
      <c r="B76" s="11" t="str">
        <f t="array" ref="B76">IFERROR(INDEX('Patient Bills'!$B:$B,MATCH(A76,'Patient Bills'!$A:$A,0)),"")</f>
        <v/>
      </c>
      <c r="C76" s="15"/>
      <c r="D76" s="15"/>
      <c r="E76" s="15"/>
      <c r="F76" s="15"/>
      <c r="G76" s="20"/>
      <c r="H76" s="20"/>
      <c r="I76" s="12" t="str">
        <f t="shared" si="2"/>
        <v/>
      </c>
      <c r="J76" s="2"/>
      <c r="K76" s="15"/>
    </row>
    <row r="77" ht="15.0" customHeight="1">
      <c r="A77" s="15"/>
      <c r="B77" s="11" t="str">
        <f t="array" ref="B77">IFERROR(INDEX('Patient Bills'!$B:$B,MATCH(A77,'Patient Bills'!$A:$A,0)),"")</f>
        <v/>
      </c>
      <c r="C77" s="15"/>
      <c r="D77" s="15"/>
      <c r="E77" s="15"/>
      <c r="F77" s="15"/>
      <c r="G77" s="20"/>
      <c r="H77" s="20"/>
      <c r="I77" s="12" t="str">
        <f t="shared" si="2"/>
        <v/>
      </c>
      <c r="J77" s="2"/>
      <c r="K77" s="15"/>
    </row>
    <row r="78" ht="15.0" customHeight="1">
      <c r="A78" s="15"/>
      <c r="B78" s="11" t="str">
        <f t="array" ref="B78">IFERROR(INDEX('Patient Bills'!$B:$B,MATCH(A78,'Patient Bills'!$A:$A,0)),"")</f>
        <v/>
      </c>
      <c r="C78" s="15"/>
      <c r="D78" s="15"/>
      <c r="E78" s="15"/>
      <c r="F78" s="15"/>
      <c r="G78" s="20"/>
      <c r="H78" s="20"/>
      <c r="I78" s="12" t="str">
        <f t="shared" si="2"/>
        <v/>
      </c>
      <c r="J78" s="2"/>
      <c r="K78" s="15"/>
    </row>
    <row r="79" ht="15.0" customHeight="1">
      <c r="A79" s="15"/>
      <c r="B79" s="11" t="str">
        <f t="array" ref="B79">IFERROR(INDEX('Patient Bills'!$B:$B,MATCH(A79,'Patient Bills'!$A:$A,0)),"")</f>
        <v/>
      </c>
      <c r="C79" s="15"/>
      <c r="D79" s="15"/>
      <c r="E79" s="15"/>
      <c r="F79" s="15"/>
      <c r="G79" s="20"/>
      <c r="H79" s="20"/>
      <c r="I79" s="12" t="str">
        <f t="shared" si="2"/>
        <v/>
      </c>
      <c r="J79" s="2"/>
      <c r="K79" s="15"/>
    </row>
    <row r="80" ht="15.0" customHeight="1">
      <c r="A80" s="15"/>
      <c r="B80" s="11" t="str">
        <f t="array" ref="B80">IFERROR(INDEX('Patient Bills'!$B:$B,MATCH(A80,'Patient Bills'!$A:$A,0)),"")</f>
        <v/>
      </c>
      <c r="C80" s="15"/>
      <c r="D80" s="15"/>
      <c r="E80" s="15"/>
      <c r="F80" s="15"/>
      <c r="G80" s="20"/>
      <c r="H80" s="20"/>
      <c r="I80" s="12" t="str">
        <f t="shared" si="2"/>
        <v/>
      </c>
      <c r="J80" s="2"/>
      <c r="K80" s="15"/>
    </row>
    <row r="81" ht="15.0" customHeight="1">
      <c r="A81" s="15"/>
      <c r="B81" s="11" t="str">
        <f t="array" ref="B81">IFERROR(INDEX('Patient Bills'!$B:$B,MATCH(A81,'Patient Bills'!$A:$A,0)),"")</f>
        <v/>
      </c>
      <c r="C81" s="15"/>
      <c r="D81" s="15"/>
      <c r="E81" s="15"/>
      <c r="F81" s="15"/>
      <c r="G81" s="20"/>
      <c r="H81" s="20"/>
      <c r="I81" s="12" t="str">
        <f t="shared" si="2"/>
        <v/>
      </c>
      <c r="J81" s="2"/>
      <c r="K81" s="15"/>
    </row>
    <row r="82" ht="15.0" customHeight="1">
      <c r="A82" s="15"/>
      <c r="B82" s="11" t="str">
        <f t="array" ref="B82">IFERROR(INDEX('Patient Bills'!$B:$B,MATCH(A82,'Patient Bills'!$A:$A,0)),"")</f>
        <v/>
      </c>
      <c r="C82" s="15"/>
      <c r="D82" s="15"/>
      <c r="E82" s="15"/>
      <c r="F82" s="15"/>
      <c r="G82" s="20"/>
      <c r="H82" s="20"/>
      <c r="I82" s="12" t="str">
        <f t="shared" si="2"/>
        <v/>
      </c>
      <c r="J82" s="2"/>
      <c r="K82" s="15"/>
    </row>
    <row r="83" ht="15.0" customHeight="1">
      <c r="A83" s="15"/>
      <c r="B83" s="11" t="str">
        <f t="array" ref="B83">IFERROR(INDEX('Patient Bills'!$B:$B,MATCH(A83,'Patient Bills'!$A:$A,0)),"")</f>
        <v/>
      </c>
      <c r="C83" s="15"/>
      <c r="D83" s="15"/>
      <c r="E83" s="15"/>
      <c r="F83" s="15"/>
      <c r="G83" s="20"/>
      <c r="H83" s="20"/>
      <c r="I83" s="12" t="str">
        <f t="shared" si="2"/>
        <v/>
      </c>
      <c r="J83" s="2"/>
      <c r="K83" s="15"/>
    </row>
    <row r="84" ht="15.0" customHeight="1">
      <c r="A84" s="15"/>
      <c r="B84" s="11" t="str">
        <f t="array" ref="B84">IFERROR(INDEX('Patient Bills'!$B:$B,MATCH(A84,'Patient Bills'!$A:$A,0)),"")</f>
        <v/>
      </c>
      <c r="C84" s="15"/>
      <c r="D84" s="15"/>
      <c r="E84" s="15"/>
      <c r="F84" s="15"/>
      <c r="G84" s="20"/>
      <c r="H84" s="20"/>
      <c r="I84" s="12" t="str">
        <f t="shared" si="2"/>
        <v/>
      </c>
      <c r="J84" s="2"/>
      <c r="K84" s="15"/>
    </row>
    <row r="85" ht="15.0" customHeight="1">
      <c r="A85" s="15"/>
      <c r="B85" s="11" t="str">
        <f t="array" ref="B85">IFERROR(INDEX('Patient Bills'!$B:$B,MATCH(A85,'Patient Bills'!$A:$A,0)),"")</f>
        <v/>
      </c>
      <c r="C85" s="15"/>
      <c r="D85" s="15"/>
      <c r="E85" s="15"/>
      <c r="F85" s="15"/>
      <c r="G85" s="20"/>
      <c r="H85" s="20"/>
      <c r="I85" s="12" t="str">
        <f t="shared" si="2"/>
        <v/>
      </c>
      <c r="J85" s="2"/>
      <c r="K85" s="15"/>
    </row>
    <row r="86" ht="15.0" customHeight="1">
      <c r="A86" s="15"/>
      <c r="B86" s="11" t="str">
        <f t="array" ref="B86">IFERROR(INDEX('Patient Bills'!$B:$B,MATCH(A86,'Patient Bills'!$A:$A,0)),"")</f>
        <v/>
      </c>
      <c r="C86" s="15"/>
      <c r="D86" s="15"/>
      <c r="E86" s="15"/>
      <c r="F86" s="15"/>
      <c r="G86" s="20"/>
      <c r="H86" s="20"/>
      <c r="I86" s="12" t="str">
        <f t="shared" si="2"/>
        <v/>
      </c>
      <c r="J86" s="2"/>
      <c r="K86" s="15"/>
    </row>
    <row r="87" ht="15.0" customHeight="1">
      <c r="A87" s="15"/>
      <c r="B87" s="11" t="str">
        <f t="array" ref="B87">IFERROR(INDEX('Patient Bills'!$B:$B,MATCH(A87,'Patient Bills'!$A:$A,0)),"")</f>
        <v/>
      </c>
      <c r="C87" s="15"/>
      <c r="D87" s="15"/>
      <c r="E87" s="15"/>
      <c r="F87" s="15"/>
      <c r="G87" s="20"/>
      <c r="H87" s="20"/>
      <c r="I87" s="12" t="str">
        <f t="shared" si="2"/>
        <v/>
      </c>
      <c r="J87" s="2"/>
      <c r="K87" s="15"/>
    </row>
    <row r="88" ht="15.0" customHeight="1">
      <c r="A88" s="15"/>
      <c r="B88" s="11" t="str">
        <f t="array" ref="B88">IFERROR(INDEX('Patient Bills'!$B:$B,MATCH(A88,'Patient Bills'!$A:$A,0)),"")</f>
        <v/>
      </c>
      <c r="C88" s="15"/>
      <c r="D88" s="15"/>
      <c r="E88" s="15"/>
      <c r="F88" s="15"/>
      <c r="G88" s="20"/>
      <c r="H88" s="20"/>
      <c r="I88" s="12" t="str">
        <f t="shared" si="2"/>
        <v/>
      </c>
      <c r="J88" s="2"/>
      <c r="K88" s="15"/>
    </row>
    <row r="89" ht="15.0" customHeight="1">
      <c r="A89" s="15"/>
      <c r="B89" s="11" t="str">
        <f t="array" ref="B89">IFERROR(INDEX('Patient Bills'!$B:$B,MATCH(A89,'Patient Bills'!$A:$A,0)),"")</f>
        <v/>
      </c>
      <c r="C89" s="15"/>
      <c r="D89" s="15"/>
      <c r="E89" s="15"/>
      <c r="F89" s="15"/>
      <c r="G89" s="20"/>
      <c r="H89" s="20"/>
      <c r="I89" s="12" t="str">
        <f t="shared" si="2"/>
        <v/>
      </c>
      <c r="J89" s="2"/>
      <c r="K89" s="15"/>
    </row>
    <row r="90" ht="15.0" customHeight="1">
      <c r="A90" s="15"/>
      <c r="B90" s="11" t="str">
        <f t="array" ref="B90">IFERROR(INDEX('Patient Bills'!$B:$B,MATCH(A90,'Patient Bills'!$A:$A,0)),"")</f>
        <v/>
      </c>
      <c r="C90" s="15"/>
      <c r="D90" s="15"/>
      <c r="E90" s="15"/>
      <c r="F90" s="15"/>
      <c r="G90" s="20"/>
      <c r="H90" s="20"/>
      <c r="I90" s="12" t="str">
        <f t="shared" si="2"/>
        <v/>
      </c>
      <c r="J90" s="2"/>
      <c r="K90" s="15"/>
    </row>
    <row r="91" ht="15.0" customHeight="1">
      <c r="A91" s="15"/>
      <c r="B91" s="11" t="str">
        <f t="array" ref="B91">IFERROR(INDEX('Patient Bills'!$B:$B,MATCH(A91,'Patient Bills'!$A:$A,0)),"")</f>
        <v/>
      </c>
      <c r="C91" s="15"/>
      <c r="D91" s="15"/>
      <c r="E91" s="15"/>
      <c r="F91" s="15"/>
      <c r="G91" s="20"/>
      <c r="H91" s="20"/>
      <c r="I91" s="12" t="str">
        <f t="shared" si="2"/>
        <v/>
      </c>
      <c r="J91" s="2"/>
      <c r="K91" s="15"/>
    </row>
    <row r="92" ht="15.0" customHeight="1">
      <c r="A92" s="15"/>
      <c r="B92" s="11" t="str">
        <f t="array" ref="B92">IFERROR(INDEX('Patient Bills'!$B:$B,MATCH(A92,'Patient Bills'!$A:$A,0)),"")</f>
        <v/>
      </c>
      <c r="C92" s="15"/>
      <c r="D92" s="15"/>
      <c r="E92" s="15"/>
      <c r="F92" s="15"/>
      <c r="G92" s="20"/>
      <c r="H92" s="20"/>
      <c r="I92" s="12" t="str">
        <f t="shared" si="2"/>
        <v/>
      </c>
      <c r="J92" s="2"/>
      <c r="K92" s="15"/>
    </row>
    <row r="93" ht="15.0" customHeight="1">
      <c r="A93" s="15"/>
      <c r="B93" s="11" t="str">
        <f t="array" ref="B93">IFERROR(INDEX('Patient Bills'!$B:$B,MATCH(A93,'Patient Bills'!$A:$A,0)),"")</f>
        <v/>
      </c>
      <c r="C93" s="15"/>
      <c r="D93" s="15"/>
      <c r="E93" s="15"/>
      <c r="F93" s="15"/>
      <c r="G93" s="20"/>
      <c r="H93" s="20"/>
      <c r="I93" s="12" t="str">
        <f t="shared" si="2"/>
        <v/>
      </c>
      <c r="J93" s="2"/>
      <c r="K93" s="15"/>
    </row>
    <row r="94" ht="15.0" customHeight="1">
      <c r="A94" s="15"/>
      <c r="B94" s="11" t="str">
        <f t="array" ref="B94">IFERROR(INDEX('Patient Bills'!$B:$B,MATCH(A94,'Patient Bills'!$A:$A,0)),"")</f>
        <v/>
      </c>
      <c r="C94" s="15"/>
      <c r="D94" s="15"/>
      <c r="E94" s="15"/>
      <c r="F94" s="15"/>
      <c r="G94" s="20"/>
      <c r="H94" s="20"/>
      <c r="I94" s="12" t="str">
        <f t="shared" si="2"/>
        <v/>
      </c>
      <c r="J94" s="2"/>
      <c r="K94" s="15"/>
    </row>
    <row r="95" ht="15.0" customHeight="1">
      <c r="A95" s="15"/>
      <c r="B95" s="11" t="str">
        <f t="array" ref="B95">IFERROR(INDEX('Patient Bills'!$B:$B,MATCH(A95,'Patient Bills'!$A:$A,0)),"")</f>
        <v/>
      </c>
      <c r="C95" s="15"/>
      <c r="D95" s="15"/>
      <c r="E95" s="15"/>
      <c r="F95" s="15"/>
      <c r="G95" s="20"/>
      <c r="H95" s="20"/>
      <c r="I95" s="12" t="str">
        <f t="shared" si="2"/>
        <v/>
      </c>
      <c r="J95" s="2"/>
      <c r="K95" s="15"/>
    </row>
    <row r="96" ht="15.0" customHeight="1">
      <c r="A96" s="15"/>
      <c r="B96" s="11" t="str">
        <f t="array" ref="B96">IFERROR(INDEX('Patient Bills'!$B:$B,MATCH(A96,'Patient Bills'!$A:$A,0)),"")</f>
        <v/>
      </c>
      <c r="C96" s="15"/>
      <c r="D96" s="15"/>
      <c r="E96" s="15"/>
      <c r="F96" s="15"/>
      <c r="G96" s="20"/>
      <c r="H96" s="20"/>
      <c r="I96" s="12" t="str">
        <f t="shared" si="2"/>
        <v/>
      </c>
      <c r="J96" s="2"/>
      <c r="K96" s="15"/>
    </row>
    <row r="97" ht="15.0" customHeight="1">
      <c r="A97" s="15"/>
      <c r="B97" s="11" t="str">
        <f t="array" ref="B97">IFERROR(INDEX('Patient Bills'!$B:$B,MATCH(A97,'Patient Bills'!$A:$A,0)),"")</f>
        <v/>
      </c>
      <c r="C97" s="15"/>
      <c r="D97" s="15"/>
      <c r="E97" s="15"/>
      <c r="F97" s="15"/>
      <c r="G97" s="20"/>
      <c r="H97" s="20"/>
      <c r="I97" s="12" t="str">
        <f t="shared" si="2"/>
        <v/>
      </c>
      <c r="J97" s="2"/>
      <c r="K97" s="15"/>
    </row>
    <row r="98" ht="15.0" customHeight="1">
      <c r="A98" s="15"/>
      <c r="B98" s="11" t="str">
        <f t="array" ref="B98">IFERROR(INDEX('Patient Bills'!$B:$B,MATCH(A98,'Patient Bills'!$A:$A,0)),"")</f>
        <v/>
      </c>
      <c r="C98" s="15"/>
      <c r="D98" s="15"/>
      <c r="E98" s="15"/>
      <c r="F98" s="15"/>
      <c r="G98" s="20"/>
      <c r="H98" s="20"/>
      <c r="I98" s="12" t="str">
        <f t="shared" si="2"/>
        <v/>
      </c>
      <c r="J98" s="2"/>
      <c r="K98" s="15"/>
    </row>
    <row r="99" ht="15.0" customHeight="1">
      <c r="A99" s="15"/>
      <c r="B99" s="11" t="str">
        <f t="array" ref="B99">IFERROR(INDEX('Patient Bills'!$B:$B,MATCH(A99,'Patient Bills'!$A:$A,0)),"")</f>
        <v/>
      </c>
      <c r="C99" s="15"/>
      <c r="D99" s="15"/>
      <c r="E99" s="15"/>
      <c r="F99" s="15"/>
      <c r="G99" s="20"/>
      <c r="H99" s="20"/>
      <c r="I99" s="12" t="str">
        <f t="shared" si="2"/>
        <v/>
      </c>
      <c r="J99" s="2"/>
      <c r="K99" s="15"/>
    </row>
    <row r="100" ht="15.0" customHeight="1">
      <c r="A100" s="15"/>
      <c r="B100" s="11" t="str">
        <f t="array" ref="B100">IFERROR(INDEX('Patient Bills'!$B:$B,MATCH(A100,'Patient Bills'!$A:$A,0)),"")</f>
        <v/>
      </c>
      <c r="C100" s="15"/>
      <c r="D100" s="15"/>
      <c r="E100" s="15"/>
      <c r="F100" s="15"/>
      <c r="G100" s="20"/>
      <c r="H100" s="20"/>
      <c r="I100" s="12" t="str">
        <f t="shared" si="2"/>
        <v/>
      </c>
      <c r="J100" s="2"/>
      <c r="K100" s="15"/>
    </row>
    <row r="101" ht="15.0" customHeight="1">
      <c r="A101" s="15"/>
      <c r="B101" s="11" t="str">
        <f t="array" ref="B101">IFERROR(INDEX('Patient Bills'!$B:$B,MATCH(A101,'Patient Bills'!$A:$A,0)),"")</f>
        <v/>
      </c>
      <c r="C101" s="15"/>
      <c r="D101" s="15"/>
      <c r="E101" s="15"/>
      <c r="F101" s="15"/>
      <c r="G101" s="20"/>
      <c r="H101" s="20"/>
      <c r="I101" s="12" t="str">
        <f t="shared" si="2"/>
        <v/>
      </c>
      <c r="J101" s="2"/>
      <c r="K101" s="15"/>
    </row>
    <row r="102" ht="15.0" customHeight="1">
      <c r="A102" s="15"/>
      <c r="B102" s="11" t="str">
        <f t="array" ref="B102">IFERROR(INDEX('Patient Bills'!$B:$B,MATCH(A102,'Patient Bills'!$A:$A,0)),"")</f>
        <v/>
      </c>
      <c r="C102" s="15"/>
      <c r="D102" s="15"/>
      <c r="E102" s="15"/>
      <c r="F102" s="15"/>
      <c r="G102" s="20"/>
      <c r="H102" s="20"/>
      <c r="I102" s="12" t="str">
        <f t="shared" si="2"/>
        <v/>
      </c>
      <c r="J102" s="2"/>
      <c r="K102" s="15"/>
    </row>
    <row r="103" ht="15.0" customHeight="1">
      <c r="A103" s="15"/>
      <c r="B103" s="11" t="str">
        <f t="array" ref="B103">IFERROR(INDEX('Patient Bills'!$B:$B,MATCH(A103,'Patient Bills'!$A:$A,0)),"")</f>
        <v/>
      </c>
      <c r="C103" s="15"/>
      <c r="D103" s="15"/>
      <c r="E103" s="15"/>
      <c r="F103" s="15"/>
      <c r="G103" s="20"/>
      <c r="H103" s="20"/>
      <c r="I103" s="12" t="str">
        <f t="shared" si="2"/>
        <v/>
      </c>
      <c r="J103" s="2"/>
      <c r="K103" s="15"/>
    </row>
    <row r="104" ht="15.0" customHeight="1">
      <c r="A104" s="15"/>
      <c r="B104" s="11" t="str">
        <f t="array" ref="B104">IFERROR(INDEX('Patient Bills'!$B:$B,MATCH(A104,'Patient Bills'!$A:$A,0)),"")</f>
        <v/>
      </c>
      <c r="C104" s="15"/>
      <c r="D104" s="15"/>
      <c r="E104" s="15"/>
      <c r="F104" s="15"/>
      <c r="G104" s="20"/>
      <c r="H104" s="20"/>
      <c r="I104" s="12" t="str">
        <f t="shared" si="2"/>
        <v/>
      </c>
      <c r="J104" s="2"/>
      <c r="K104" s="15"/>
    </row>
    <row r="105" ht="15.0" customHeight="1">
      <c r="A105" s="15"/>
      <c r="B105" s="11" t="str">
        <f t="array" ref="B105">IFERROR(INDEX('Patient Bills'!$B:$B,MATCH(A105,'Patient Bills'!$A:$A,0)),"")</f>
        <v/>
      </c>
      <c r="C105" s="15"/>
      <c r="D105" s="15"/>
      <c r="E105" s="15"/>
      <c r="F105" s="15"/>
      <c r="G105" s="20"/>
      <c r="H105" s="20"/>
      <c r="I105" s="12" t="str">
        <f t="shared" si="2"/>
        <v/>
      </c>
      <c r="J105" s="2"/>
      <c r="K105" s="15"/>
    </row>
    <row r="106" ht="15.0" customHeight="1">
      <c r="A106" s="15"/>
      <c r="B106" s="11" t="str">
        <f t="array" ref="B106">IFERROR(INDEX('Patient Bills'!$B:$B,MATCH(A106,'Patient Bills'!$A:$A,0)),"")</f>
        <v/>
      </c>
      <c r="C106" s="15"/>
      <c r="D106" s="15"/>
      <c r="E106" s="15"/>
      <c r="F106" s="15"/>
      <c r="G106" s="20"/>
      <c r="H106" s="20"/>
      <c r="I106" s="12" t="str">
        <f t="shared" si="2"/>
        <v/>
      </c>
      <c r="J106" s="2"/>
      <c r="K106" s="15"/>
    </row>
    <row r="107" ht="15.0" customHeight="1">
      <c r="A107" s="15"/>
      <c r="B107" s="11" t="str">
        <f t="array" ref="B107">IFERROR(INDEX('Patient Bills'!$B:$B,MATCH(A107,'Patient Bills'!$A:$A,0)),"")</f>
        <v/>
      </c>
      <c r="C107" s="15"/>
      <c r="D107" s="15"/>
      <c r="E107" s="15"/>
      <c r="F107" s="15"/>
      <c r="G107" s="20"/>
      <c r="H107" s="20"/>
      <c r="I107" s="12" t="str">
        <f t="shared" si="2"/>
        <v/>
      </c>
      <c r="J107" s="2"/>
      <c r="K107" s="15"/>
    </row>
    <row r="108" ht="15.0" customHeight="1">
      <c r="A108" s="15"/>
      <c r="B108" s="11" t="str">
        <f t="array" ref="B108">IFERROR(INDEX('Patient Bills'!$B:$B,MATCH(A108,'Patient Bills'!$A:$A,0)),"")</f>
        <v/>
      </c>
      <c r="C108" s="15"/>
      <c r="D108" s="15"/>
      <c r="E108" s="15"/>
      <c r="F108" s="15"/>
      <c r="G108" s="20"/>
      <c r="H108" s="20"/>
      <c r="I108" s="12" t="str">
        <f t="shared" si="2"/>
        <v/>
      </c>
      <c r="J108" s="2"/>
      <c r="K108" s="15"/>
    </row>
    <row r="109" ht="15.0" customHeight="1">
      <c r="A109" s="15"/>
      <c r="B109" s="11" t="str">
        <f t="array" ref="B109">IFERROR(INDEX('Patient Bills'!$B:$B,MATCH(A109,'Patient Bills'!$A:$A,0)),"")</f>
        <v/>
      </c>
      <c r="C109" s="15"/>
      <c r="D109" s="15"/>
      <c r="E109" s="15"/>
      <c r="F109" s="15"/>
      <c r="G109" s="20"/>
      <c r="H109" s="20"/>
      <c r="I109" s="12" t="str">
        <f t="shared" si="2"/>
        <v/>
      </c>
      <c r="J109" s="2"/>
      <c r="K109" s="15"/>
    </row>
    <row r="110" ht="15.0" customHeight="1">
      <c r="A110" s="15"/>
      <c r="B110" s="11" t="str">
        <f t="array" ref="B110">IFERROR(INDEX('Patient Bills'!$B:$B,MATCH(A110,'Patient Bills'!$A:$A,0)),"")</f>
        <v/>
      </c>
      <c r="C110" s="15"/>
      <c r="D110" s="15"/>
      <c r="E110" s="15"/>
      <c r="F110" s="15"/>
      <c r="G110" s="20"/>
      <c r="H110" s="20"/>
      <c r="I110" s="12" t="str">
        <f t="shared" si="2"/>
        <v/>
      </c>
      <c r="J110" s="2"/>
      <c r="K110" s="15"/>
    </row>
    <row r="111" ht="15.0" customHeight="1">
      <c r="A111" s="15"/>
      <c r="B111" s="11" t="str">
        <f t="array" ref="B111">IFERROR(INDEX('Patient Bills'!$B:$B,MATCH(A111,'Patient Bills'!$A:$A,0)),"")</f>
        <v/>
      </c>
      <c r="C111" s="15"/>
      <c r="D111" s="15"/>
      <c r="E111" s="15"/>
      <c r="F111" s="15"/>
      <c r="G111" s="20"/>
      <c r="H111" s="20"/>
      <c r="I111" s="12" t="str">
        <f t="shared" si="2"/>
        <v/>
      </c>
      <c r="J111" s="2"/>
      <c r="K111" s="15"/>
    </row>
    <row r="112" ht="15.0" customHeight="1">
      <c r="A112" s="15"/>
      <c r="B112" s="11" t="str">
        <f t="array" ref="B112">IFERROR(INDEX('Patient Bills'!$B:$B,MATCH(A112,'Patient Bills'!$A:$A,0)),"")</f>
        <v/>
      </c>
      <c r="C112" s="15"/>
      <c r="D112" s="15"/>
      <c r="E112" s="15"/>
      <c r="F112" s="15"/>
      <c r="G112" s="20"/>
      <c r="H112" s="20"/>
      <c r="I112" s="12" t="str">
        <f t="shared" si="2"/>
        <v/>
      </c>
      <c r="J112" s="2"/>
      <c r="K112" s="15"/>
    </row>
    <row r="113" ht="15.0" customHeight="1">
      <c r="A113" s="15"/>
      <c r="B113" s="11" t="str">
        <f t="array" ref="B113">IFERROR(INDEX('Patient Bills'!$B:$B,MATCH(A113,'Patient Bills'!$A:$A,0)),"")</f>
        <v/>
      </c>
      <c r="C113" s="15"/>
      <c r="D113" s="15"/>
      <c r="E113" s="15"/>
      <c r="F113" s="15"/>
      <c r="G113" s="20"/>
      <c r="H113" s="20"/>
      <c r="I113" s="12" t="str">
        <f t="shared" si="2"/>
        <v/>
      </c>
      <c r="J113" s="2"/>
      <c r="K113" s="15"/>
    </row>
    <row r="114" ht="15.0" customHeight="1">
      <c r="A114" s="15"/>
      <c r="B114" s="11" t="str">
        <f t="array" ref="B114">IFERROR(INDEX('Patient Bills'!$B:$B,MATCH(A114,'Patient Bills'!$A:$A,0)),"")</f>
        <v/>
      </c>
      <c r="C114" s="15"/>
      <c r="D114" s="15"/>
      <c r="E114" s="15"/>
      <c r="F114" s="15"/>
      <c r="G114" s="20"/>
      <c r="H114" s="20"/>
      <c r="I114" s="12" t="str">
        <f t="shared" si="2"/>
        <v/>
      </c>
      <c r="J114" s="2"/>
      <c r="K114" s="15"/>
    </row>
    <row r="115" ht="15.0" customHeight="1">
      <c r="A115" s="15"/>
      <c r="B115" s="11" t="str">
        <f t="array" ref="B115">IFERROR(INDEX('Patient Bills'!$B:$B,MATCH(A115,'Patient Bills'!$A:$A,0)),"")</f>
        <v/>
      </c>
      <c r="C115" s="15"/>
      <c r="D115" s="15"/>
      <c r="E115" s="15"/>
      <c r="F115" s="15"/>
      <c r="G115" s="20"/>
      <c r="H115" s="20"/>
      <c r="I115" s="12" t="str">
        <f t="shared" si="2"/>
        <v/>
      </c>
      <c r="J115" s="2"/>
      <c r="K115" s="15"/>
    </row>
    <row r="116" ht="15.0" customHeight="1">
      <c r="A116" s="15"/>
      <c r="B116" s="11" t="str">
        <f t="array" ref="B116">IFERROR(INDEX('Patient Bills'!$B:$B,MATCH(A116,'Patient Bills'!$A:$A,0)),"")</f>
        <v/>
      </c>
      <c r="C116" s="15"/>
      <c r="D116" s="15"/>
      <c r="E116" s="15"/>
      <c r="F116" s="15"/>
      <c r="G116" s="20"/>
      <c r="H116" s="20"/>
      <c r="I116" s="12" t="str">
        <f t="shared" si="2"/>
        <v/>
      </c>
      <c r="J116" s="2"/>
      <c r="K116" s="15"/>
    </row>
    <row r="117" ht="15.0" customHeight="1">
      <c r="A117" s="15"/>
      <c r="B117" s="11" t="str">
        <f t="array" ref="B117">IFERROR(INDEX('Patient Bills'!$B:$B,MATCH(A117,'Patient Bills'!$A:$A,0)),"")</f>
        <v/>
      </c>
      <c r="C117" s="15"/>
      <c r="D117" s="15"/>
      <c r="E117" s="15"/>
      <c r="F117" s="15"/>
      <c r="G117" s="20"/>
      <c r="H117" s="20"/>
      <c r="I117" s="12" t="str">
        <f t="shared" si="2"/>
        <v/>
      </c>
      <c r="J117" s="2"/>
      <c r="K117" s="15"/>
    </row>
    <row r="118" ht="15.0" customHeight="1">
      <c r="A118" s="15"/>
      <c r="B118" s="11" t="str">
        <f t="array" ref="B118">IFERROR(INDEX('Patient Bills'!$B:$B,MATCH(A118,'Patient Bills'!$A:$A,0)),"")</f>
        <v/>
      </c>
      <c r="C118" s="15"/>
      <c r="D118" s="15"/>
      <c r="E118" s="15"/>
      <c r="F118" s="15"/>
      <c r="G118" s="20"/>
      <c r="H118" s="20"/>
      <c r="I118" s="12" t="str">
        <f t="shared" si="2"/>
        <v/>
      </c>
      <c r="J118" s="2"/>
      <c r="K118" s="15"/>
    </row>
    <row r="119" ht="15.0" customHeight="1">
      <c r="A119" s="15"/>
      <c r="B119" s="11" t="str">
        <f t="array" ref="B119">IFERROR(INDEX('Patient Bills'!$B:$B,MATCH(A119,'Patient Bills'!$A:$A,0)),"")</f>
        <v/>
      </c>
      <c r="C119" s="15"/>
      <c r="D119" s="15"/>
      <c r="E119" s="15"/>
      <c r="F119" s="15"/>
      <c r="G119" s="20"/>
      <c r="H119" s="20"/>
      <c r="I119" s="12" t="str">
        <f t="shared" si="2"/>
        <v/>
      </c>
      <c r="J119" s="2"/>
      <c r="K119" s="15"/>
    </row>
    <row r="120" ht="15.0" customHeight="1">
      <c r="A120" s="15"/>
      <c r="B120" s="11" t="str">
        <f t="array" ref="B120">IFERROR(INDEX('Patient Bills'!$B:$B,MATCH(A120,'Patient Bills'!$A:$A,0)),"")</f>
        <v/>
      </c>
      <c r="C120" s="15"/>
      <c r="D120" s="15"/>
      <c r="E120" s="15"/>
      <c r="F120" s="15"/>
      <c r="G120" s="20"/>
      <c r="H120" s="20"/>
      <c r="I120" s="12" t="str">
        <f t="shared" si="2"/>
        <v/>
      </c>
      <c r="J120" s="2"/>
      <c r="K120" s="15"/>
    </row>
    <row r="121" ht="15.0" customHeight="1">
      <c r="A121" s="15"/>
      <c r="B121" s="11" t="str">
        <f t="array" ref="B121">IFERROR(INDEX('Patient Bills'!$B:$B,MATCH(A121,'Patient Bills'!$A:$A,0)),"")</f>
        <v/>
      </c>
      <c r="C121" s="15"/>
      <c r="D121" s="15"/>
      <c r="E121" s="15"/>
      <c r="F121" s="15"/>
      <c r="G121" s="20"/>
      <c r="H121" s="20"/>
      <c r="I121" s="12" t="str">
        <f t="shared" si="2"/>
        <v/>
      </c>
      <c r="J121" s="2"/>
      <c r="K121" s="15"/>
    </row>
    <row r="122" ht="15.0" customHeight="1">
      <c r="A122" s="15"/>
      <c r="B122" s="11" t="str">
        <f t="array" ref="B122">IFERROR(INDEX('Patient Bills'!$B:$B,MATCH(A122,'Patient Bills'!$A:$A,0)),"")</f>
        <v/>
      </c>
      <c r="C122" s="15"/>
      <c r="D122" s="15"/>
      <c r="E122" s="15"/>
      <c r="F122" s="15"/>
      <c r="G122" s="20"/>
      <c r="H122" s="20"/>
      <c r="I122" s="12" t="str">
        <f t="shared" si="2"/>
        <v/>
      </c>
      <c r="J122" s="2"/>
      <c r="K122" s="15"/>
    </row>
    <row r="123" ht="15.0" customHeight="1">
      <c r="A123" s="15"/>
      <c r="B123" s="11" t="str">
        <f t="array" ref="B123">IFERROR(INDEX('Patient Bills'!$B:$B,MATCH(A123,'Patient Bills'!$A:$A,0)),"")</f>
        <v/>
      </c>
      <c r="C123" s="15"/>
      <c r="D123" s="15"/>
      <c r="E123" s="15"/>
      <c r="F123" s="15"/>
      <c r="G123" s="20"/>
      <c r="H123" s="20"/>
      <c r="I123" s="12" t="str">
        <f t="shared" si="2"/>
        <v/>
      </c>
      <c r="J123" s="2"/>
      <c r="K123" s="15"/>
    </row>
    <row r="124" ht="15.0" customHeight="1">
      <c r="A124" s="15"/>
      <c r="B124" s="11" t="str">
        <f t="array" ref="B124">IFERROR(INDEX('Patient Bills'!$B:$B,MATCH(A124,'Patient Bills'!$A:$A,0)),"")</f>
        <v/>
      </c>
      <c r="C124" s="15"/>
      <c r="D124" s="15"/>
      <c r="E124" s="15"/>
      <c r="F124" s="15"/>
      <c r="G124" s="20"/>
      <c r="H124" s="20"/>
      <c r="I124" s="12" t="str">
        <f t="shared" si="2"/>
        <v/>
      </c>
      <c r="J124" s="2"/>
      <c r="K124" s="15"/>
    </row>
    <row r="125" ht="15.0" customHeight="1">
      <c r="A125" s="15"/>
      <c r="B125" s="11" t="str">
        <f t="array" ref="B125">IFERROR(INDEX('Patient Bills'!$B:$B,MATCH(A125,'Patient Bills'!$A:$A,0)),"")</f>
        <v/>
      </c>
      <c r="C125" s="15"/>
      <c r="D125" s="15"/>
      <c r="E125" s="15"/>
      <c r="F125" s="15"/>
      <c r="G125" s="20"/>
      <c r="H125" s="20"/>
      <c r="I125" s="12" t="str">
        <f t="shared" si="2"/>
        <v/>
      </c>
      <c r="J125" s="2"/>
      <c r="K125" s="15"/>
    </row>
    <row r="126" ht="15.0" customHeight="1">
      <c r="A126" s="15"/>
      <c r="B126" s="11" t="str">
        <f t="array" ref="B126">IFERROR(INDEX('Patient Bills'!$B:$B,MATCH(A126,'Patient Bills'!$A:$A,0)),"")</f>
        <v/>
      </c>
      <c r="C126" s="15"/>
      <c r="D126" s="15"/>
      <c r="E126" s="15"/>
      <c r="F126" s="15"/>
      <c r="G126" s="20"/>
      <c r="H126" s="20"/>
      <c r="I126" s="12" t="str">
        <f t="shared" si="2"/>
        <v/>
      </c>
      <c r="J126" s="2"/>
      <c r="K126" s="15"/>
    </row>
    <row r="127" ht="15.0" customHeight="1">
      <c r="A127" s="15"/>
      <c r="B127" s="11" t="str">
        <f t="array" ref="B127">IFERROR(INDEX('Patient Bills'!$B:$B,MATCH(A127,'Patient Bills'!$A:$A,0)),"")</f>
        <v/>
      </c>
      <c r="C127" s="15"/>
      <c r="D127" s="15"/>
      <c r="E127" s="15"/>
      <c r="F127" s="15"/>
      <c r="G127" s="20"/>
      <c r="H127" s="20"/>
      <c r="I127" s="12" t="str">
        <f t="shared" si="2"/>
        <v/>
      </c>
      <c r="J127" s="2"/>
      <c r="K127" s="15"/>
    </row>
    <row r="128" ht="15.0" customHeight="1">
      <c r="A128" s="15"/>
      <c r="B128" s="11" t="str">
        <f t="array" ref="B128">IFERROR(INDEX('Patient Bills'!$B:$B,MATCH(A128,'Patient Bills'!$A:$A,0)),"")</f>
        <v/>
      </c>
      <c r="C128" s="15"/>
      <c r="D128" s="15"/>
      <c r="E128" s="15"/>
      <c r="F128" s="15"/>
      <c r="G128" s="20"/>
      <c r="H128" s="20"/>
      <c r="I128" s="12" t="str">
        <f t="shared" si="2"/>
        <v/>
      </c>
      <c r="J128" s="2"/>
      <c r="K128" s="15"/>
    </row>
    <row r="129" ht="15.0" customHeight="1">
      <c r="A129" s="15"/>
      <c r="B129" s="11" t="str">
        <f t="array" ref="B129">IFERROR(INDEX('Patient Bills'!$B:$B,MATCH(A129,'Patient Bills'!$A:$A,0)),"")</f>
        <v/>
      </c>
      <c r="C129" s="15"/>
      <c r="D129" s="15"/>
      <c r="E129" s="15"/>
      <c r="F129" s="15"/>
      <c r="G129" s="20"/>
      <c r="H129" s="20"/>
      <c r="I129" s="12" t="str">
        <f t="shared" si="2"/>
        <v/>
      </c>
      <c r="J129" s="2"/>
      <c r="K129" s="15"/>
    </row>
    <row r="130" ht="15.0" customHeight="1">
      <c r="A130" s="15"/>
      <c r="B130" s="11" t="str">
        <f t="array" ref="B130">IFERROR(INDEX('Patient Bills'!$B:$B,MATCH(A130,'Patient Bills'!$A:$A,0)),"")</f>
        <v/>
      </c>
      <c r="C130" s="15"/>
      <c r="D130" s="15"/>
      <c r="E130" s="15"/>
      <c r="F130" s="15"/>
      <c r="G130" s="20"/>
      <c r="H130" s="20"/>
      <c r="I130" s="12" t="str">
        <f t="shared" si="2"/>
        <v/>
      </c>
      <c r="J130" s="2"/>
      <c r="K130" s="15"/>
    </row>
    <row r="131" ht="15.0" customHeight="1">
      <c r="A131" s="15"/>
      <c r="B131" s="11" t="str">
        <f t="array" ref="B131">IFERROR(INDEX('Patient Bills'!$B:$B,MATCH(A131,'Patient Bills'!$A:$A,0)),"")</f>
        <v/>
      </c>
      <c r="C131" s="15"/>
      <c r="D131" s="15"/>
      <c r="E131" s="15"/>
      <c r="F131" s="15"/>
      <c r="G131" s="20"/>
      <c r="H131" s="20"/>
      <c r="I131" s="12" t="str">
        <f t="shared" si="2"/>
        <v/>
      </c>
      <c r="J131" s="2"/>
      <c r="K131" s="15"/>
    </row>
    <row r="132" ht="15.0" customHeight="1">
      <c r="A132" s="15"/>
      <c r="B132" s="11" t="str">
        <f t="array" ref="B132">IFERROR(INDEX('Patient Bills'!$B:$B,MATCH(A132,'Patient Bills'!$A:$A,0)),"")</f>
        <v/>
      </c>
      <c r="C132" s="15"/>
      <c r="D132" s="15"/>
      <c r="E132" s="15"/>
      <c r="F132" s="15"/>
      <c r="G132" s="20"/>
      <c r="H132" s="20"/>
      <c r="I132" s="12" t="str">
        <f t="shared" si="2"/>
        <v/>
      </c>
      <c r="J132" s="2"/>
      <c r="K132" s="15"/>
    </row>
    <row r="133" ht="15.0" customHeight="1">
      <c r="A133" s="15"/>
      <c r="B133" s="11" t="str">
        <f t="array" ref="B133">IFERROR(INDEX('Patient Bills'!$B:$B,MATCH(A133,'Patient Bills'!$A:$A,0)),"")</f>
        <v/>
      </c>
      <c r="C133" s="15"/>
      <c r="D133" s="15"/>
      <c r="E133" s="15"/>
      <c r="F133" s="15"/>
      <c r="G133" s="20"/>
      <c r="H133" s="20"/>
      <c r="I133" s="12" t="str">
        <f t="shared" si="2"/>
        <v/>
      </c>
      <c r="J133" s="2"/>
      <c r="K133" s="15"/>
    </row>
    <row r="134" ht="15.0" customHeight="1">
      <c r="A134" s="15"/>
      <c r="B134" s="11" t="str">
        <f t="array" ref="B134">IFERROR(INDEX('Patient Bills'!$B:$B,MATCH(A134,'Patient Bills'!$A:$A,0)),"")</f>
        <v/>
      </c>
      <c r="C134" s="15"/>
      <c r="D134" s="15"/>
      <c r="E134" s="15"/>
      <c r="F134" s="15"/>
      <c r="G134" s="20"/>
      <c r="H134" s="20"/>
      <c r="I134" s="12" t="str">
        <f t="shared" si="2"/>
        <v/>
      </c>
      <c r="J134" s="2"/>
      <c r="K134" s="15"/>
    </row>
    <row r="135" ht="15.0" customHeight="1">
      <c r="A135" s="15"/>
      <c r="B135" s="11" t="str">
        <f t="array" ref="B135">IFERROR(INDEX('Patient Bills'!$B:$B,MATCH(A135,'Patient Bills'!$A:$A,0)),"")</f>
        <v/>
      </c>
      <c r="C135" s="15"/>
      <c r="D135" s="15"/>
      <c r="E135" s="15"/>
      <c r="F135" s="15"/>
      <c r="G135" s="20"/>
      <c r="H135" s="20"/>
      <c r="I135" s="12" t="str">
        <f t="shared" si="2"/>
        <v/>
      </c>
      <c r="J135" s="2"/>
      <c r="K135" s="15"/>
    </row>
    <row r="136" ht="15.0" customHeight="1">
      <c r="A136" s="15"/>
      <c r="B136" s="11" t="str">
        <f t="array" ref="B136">IFERROR(INDEX('Patient Bills'!$B:$B,MATCH(A136,'Patient Bills'!$A:$A,0)),"")</f>
        <v/>
      </c>
      <c r="C136" s="15"/>
      <c r="D136" s="15"/>
      <c r="E136" s="15"/>
      <c r="F136" s="15"/>
      <c r="G136" s="20"/>
      <c r="H136" s="20"/>
      <c r="I136" s="12" t="str">
        <f t="shared" si="2"/>
        <v/>
      </c>
      <c r="J136" s="2"/>
      <c r="K136" s="15"/>
    </row>
    <row r="137" ht="15.0" customHeight="1">
      <c r="A137" s="15"/>
      <c r="B137" s="11" t="str">
        <f t="array" ref="B137">IFERROR(INDEX('Patient Bills'!$B:$B,MATCH(A137,'Patient Bills'!$A:$A,0)),"")</f>
        <v/>
      </c>
      <c r="C137" s="15"/>
      <c r="D137" s="15"/>
      <c r="E137" s="15"/>
      <c r="F137" s="15"/>
      <c r="G137" s="20"/>
      <c r="H137" s="20"/>
      <c r="I137" s="12" t="str">
        <f t="shared" si="2"/>
        <v/>
      </c>
      <c r="J137" s="2"/>
      <c r="K137" s="15"/>
    </row>
    <row r="138" ht="15.0" customHeight="1">
      <c r="A138" s="15"/>
      <c r="B138" s="11" t="str">
        <f t="array" ref="B138">IFERROR(INDEX('Patient Bills'!$B:$B,MATCH(A138,'Patient Bills'!$A:$A,0)),"")</f>
        <v/>
      </c>
      <c r="C138" s="15"/>
      <c r="D138" s="15"/>
      <c r="E138" s="15"/>
      <c r="F138" s="15"/>
      <c r="G138" s="20"/>
      <c r="H138" s="20"/>
      <c r="I138" s="12" t="str">
        <f t="shared" si="2"/>
        <v/>
      </c>
      <c r="J138" s="2"/>
      <c r="K138" s="15"/>
    </row>
    <row r="139" ht="15.0" customHeight="1">
      <c r="A139" s="15"/>
      <c r="B139" s="11" t="str">
        <f t="array" ref="B139">IFERROR(INDEX('Patient Bills'!$B:$B,MATCH(A139,'Patient Bills'!$A:$A,0)),"")</f>
        <v/>
      </c>
      <c r="C139" s="15"/>
      <c r="D139" s="15"/>
      <c r="E139" s="15"/>
      <c r="F139" s="15"/>
      <c r="G139" s="20"/>
      <c r="H139" s="20"/>
      <c r="I139" s="12" t="str">
        <f t="shared" si="2"/>
        <v/>
      </c>
      <c r="J139" s="2"/>
      <c r="K139" s="15"/>
    </row>
    <row r="140" ht="15.0" customHeight="1">
      <c r="A140" s="15"/>
      <c r="B140" s="11" t="str">
        <f t="array" ref="B140">IFERROR(INDEX('Patient Bills'!$B:$B,MATCH(A140,'Patient Bills'!$A:$A,0)),"")</f>
        <v/>
      </c>
      <c r="C140" s="15"/>
      <c r="D140" s="15"/>
      <c r="E140" s="15"/>
      <c r="F140" s="15"/>
      <c r="G140" s="20"/>
      <c r="H140" s="20"/>
      <c r="I140" s="12" t="str">
        <f t="shared" si="2"/>
        <v/>
      </c>
      <c r="J140" s="2"/>
      <c r="K140" s="15"/>
    </row>
    <row r="141" ht="15.0" customHeight="1">
      <c r="A141" s="15"/>
      <c r="B141" s="11" t="str">
        <f t="array" ref="B141">IFERROR(INDEX('Patient Bills'!$B:$B,MATCH(A141,'Patient Bills'!$A:$A,0)),"")</f>
        <v/>
      </c>
      <c r="C141" s="15"/>
      <c r="D141" s="15"/>
      <c r="E141" s="15"/>
      <c r="F141" s="15"/>
      <c r="G141" s="20"/>
      <c r="H141" s="20"/>
      <c r="I141" s="12" t="str">
        <f t="shared" si="2"/>
        <v/>
      </c>
      <c r="J141" s="2"/>
      <c r="K141" s="15"/>
    </row>
    <row r="142" ht="15.0" customHeight="1">
      <c r="A142" s="15"/>
      <c r="B142" s="11" t="str">
        <f t="array" ref="B142">IFERROR(INDEX('Patient Bills'!$B:$B,MATCH(A142,'Patient Bills'!$A:$A,0)),"")</f>
        <v/>
      </c>
      <c r="C142" s="15"/>
      <c r="D142" s="15"/>
      <c r="E142" s="15"/>
      <c r="F142" s="15"/>
      <c r="G142" s="20"/>
      <c r="H142" s="20"/>
      <c r="I142" s="12" t="str">
        <f t="shared" si="2"/>
        <v/>
      </c>
      <c r="J142" s="2"/>
      <c r="K142" s="15"/>
    </row>
    <row r="143" ht="15.0" customHeight="1">
      <c r="A143" s="15"/>
      <c r="B143" s="11" t="str">
        <f t="array" ref="B143">IFERROR(INDEX('Patient Bills'!$B:$B,MATCH(A143,'Patient Bills'!$A:$A,0)),"")</f>
        <v/>
      </c>
      <c r="C143" s="15"/>
      <c r="D143" s="15"/>
      <c r="E143" s="15"/>
      <c r="F143" s="15"/>
      <c r="G143" s="20"/>
      <c r="H143" s="20"/>
      <c r="I143" s="12" t="str">
        <f t="shared" si="2"/>
        <v/>
      </c>
      <c r="J143" s="2"/>
      <c r="K143" s="15"/>
    </row>
    <row r="144" ht="15.0" customHeight="1">
      <c r="A144" s="15"/>
      <c r="B144" s="11" t="str">
        <f t="array" ref="B144">IFERROR(INDEX('Patient Bills'!$B:$B,MATCH(A144,'Patient Bills'!$A:$A,0)),"")</f>
        <v/>
      </c>
      <c r="C144" s="15"/>
      <c r="D144" s="15"/>
      <c r="E144" s="15"/>
      <c r="F144" s="15"/>
      <c r="G144" s="20"/>
      <c r="H144" s="20"/>
      <c r="I144" s="12" t="str">
        <f t="shared" si="2"/>
        <v/>
      </c>
      <c r="J144" s="2"/>
      <c r="K144" s="15"/>
    </row>
    <row r="145" ht="15.0" customHeight="1">
      <c r="A145" s="15"/>
      <c r="B145" s="11" t="str">
        <f t="array" ref="B145">IFERROR(INDEX('Patient Bills'!$B:$B,MATCH(A145,'Patient Bills'!$A:$A,0)),"")</f>
        <v/>
      </c>
      <c r="C145" s="15"/>
      <c r="D145" s="15"/>
      <c r="E145" s="15"/>
      <c r="F145" s="15"/>
      <c r="G145" s="20"/>
      <c r="H145" s="20"/>
      <c r="I145" s="12" t="str">
        <f t="shared" si="2"/>
        <v/>
      </c>
      <c r="J145" s="2"/>
      <c r="K145" s="15"/>
    </row>
    <row r="146" ht="15.0" customHeight="1">
      <c r="A146" s="15"/>
      <c r="B146" s="11" t="str">
        <f t="array" ref="B146">IFERROR(INDEX('Patient Bills'!$B:$B,MATCH(A146,'Patient Bills'!$A:$A,0)),"")</f>
        <v/>
      </c>
      <c r="C146" s="15"/>
      <c r="D146" s="15"/>
      <c r="E146" s="15"/>
      <c r="F146" s="15"/>
      <c r="G146" s="20"/>
      <c r="H146" s="20"/>
      <c r="I146" s="12" t="str">
        <f t="shared" si="2"/>
        <v/>
      </c>
      <c r="J146" s="2"/>
      <c r="K146" s="15"/>
    </row>
    <row r="147" ht="15.0" customHeight="1">
      <c r="A147" s="15"/>
      <c r="B147" s="11" t="str">
        <f t="array" ref="B147">IFERROR(INDEX('Patient Bills'!$B:$B,MATCH(A147,'Patient Bills'!$A:$A,0)),"")</f>
        <v/>
      </c>
      <c r="C147" s="15"/>
      <c r="D147" s="15"/>
      <c r="E147" s="15"/>
      <c r="F147" s="15"/>
      <c r="G147" s="20"/>
      <c r="H147" s="20"/>
      <c r="I147" s="12" t="str">
        <f t="shared" si="2"/>
        <v/>
      </c>
      <c r="J147" s="2"/>
      <c r="K147" s="15"/>
    </row>
    <row r="148" ht="15.0" customHeight="1">
      <c r="A148" s="15"/>
      <c r="B148" s="11" t="str">
        <f t="array" ref="B148">IFERROR(INDEX('Patient Bills'!$B:$B,MATCH(A148,'Patient Bills'!$A:$A,0)),"")</f>
        <v/>
      </c>
      <c r="C148" s="15"/>
      <c r="D148" s="15"/>
      <c r="E148" s="15"/>
      <c r="F148" s="15"/>
      <c r="G148" s="20"/>
      <c r="H148" s="20"/>
      <c r="I148" s="12" t="str">
        <f t="shared" si="2"/>
        <v/>
      </c>
      <c r="J148" s="2"/>
      <c r="K148" s="15"/>
    </row>
    <row r="149" ht="15.0" customHeight="1">
      <c r="A149" s="15"/>
      <c r="B149" s="11" t="str">
        <f t="array" ref="B149">IFERROR(INDEX('Patient Bills'!$B:$B,MATCH(A149,'Patient Bills'!$A:$A,0)),"")</f>
        <v/>
      </c>
      <c r="C149" s="15"/>
      <c r="D149" s="15"/>
      <c r="E149" s="15"/>
      <c r="F149" s="15"/>
      <c r="G149" s="20"/>
      <c r="H149" s="20"/>
      <c r="I149" s="12" t="str">
        <f t="shared" si="2"/>
        <v/>
      </c>
      <c r="J149" s="2"/>
      <c r="K149" s="15"/>
    </row>
    <row r="150" ht="15.0" customHeight="1">
      <c r="A150" s="15"/>
      <c r="B150" s="11" t="str">
        <f t="array" ref="B150">IFERROR(INDEX('Patient Bills'!$B:$B,MATCH(A150,'Patient Bills'!$A:$A,0)),"")</f>
        <v/>
      </c>
      <c r="C150" s="15"/>
      <c r="D150" s="15"/>
      <c r="E150" s="15"/>
      <c r="F150" s="15"/>
      <c r="G150" s="20"/>
      <c r="H150" s="20"/>
      <c r="I150" s="12" t="str">
        <f t="shared" si="2"/>
        <v/>
      </c>
      <c r="J150" s="2"/>
      <c r="K150" s="15"/>
    </row>
    <row r="151" ht="15.0" customHeight="1">
      <c r="A151" s="15"/>
      <c r="B151" s="11" t="str">
        <f t="array" ref="B151">IFERROR(INDEX('Patient Bills'!$B:$B,MATCH(A151,'Patient Bills'!$A:$A,0)),"")</f>
        <v/>
      </c>
      <c r="C151" s="15"/>
      <c r="D151" s="15"/>
      <c r="E151" s="15"/>
      <c r="F151" s="15"/>
      <c r="G151" s="20"/>
      <c r="H151" s="20"/>
      <c r="I151" s="12" t="str">
        <f t="shared" si="2"/>
        <v/>
      </c>
      <c r="J151" s="2"/>
      <c r="K151" s="15"/>
    </row>
    <row r="152" ht="15.0" customHeight="1">
      <c r="A152" s="15"/>
      <c r="B152" s="11" t="str">
        <f t="array" ref="B152">IFERROR(INDEX('Patient Bills'!$B:$B,MATCH(A152,'Patient Bills'!$A:$A,0)),"")</f>
        <v/>
      </c>
      <c r="C152" s="15"/>
      <c r="D152" s="15"/>
      <c r="E152" s="15"/>
      <c r="F152" s="15"/>
      <c r="G152" s="20"/>
      <c r="H152" s="20"/>
      <c r="I152" s="12" t="str">
        <f t="shared" si="2"/>
        <v/>
      </c>
      <c r="J152" s="2"/>
      <c r="K152" s="15"/>
    </row>
    <row r="153" ht="15.0" customHeight="1">
      <c r="A153" s="15"/>
      <c r="B153" s="11" t="str">
        <f t="array" ref="B153">IFERROR(INDEX('Patient Bills'!$B:$B,MATCH(A153,'Patient Bills'!$A:$A,0)),"")</f>
        <v/>
      </c>
      <c r="C153" s="15"/>
      <c r="D153" s="15"/>
      <c r="E153" s="15"/>
      <c r="F153" s="15"/>
      <c r="G153" s="20"/>
      <c r="H153" s="20"/>
      <c r="I153" s="12" t="str">
        <f t="shared" si="2"/>
        <v/>
      </c>
      <c r="J153" s="2"/>
      <c r="K153" s="15"/>
    </row>
    <row r="154" ht="15.0" customHeight="1">
      <c r="A154" s="15"/>
      <c r="B154" s="11" t="str">
        <f t="array" ref="B154">IFERROR(INDEX('Patient Bills'!$B:$B,MATCH(A154,'Patient Bills'!$A:$A,0)),"")</f>
        <v/>
      </c>
      <c r="C154" s="15"/>
      <c r="D154" s="15"/>
      <c r="E154" s="15"/>
      <c r="F154" s="15"/>
      <c r="G154" s="20"/>
      <c r="H154" s="20"/>
      <c r="I154" s="12" t="str">
        <f t="shared" si="2"/>
        <v/>
      </c>
      <c r="J154" s="2"/>
      <c r="K154" s="15"/>
    </row>
    <row r="155" ht="15.0" customHeight="1">
      <c r="A155" s="15"/>
      <c r="B155" s="11" t="str">
        <f t="array" ref="B155">IFERROR(INDEX('Patient Bills'!$B:$B,MATCH(A155,'Patient Bills'!$A:$A,0)),"")</f>
        <v/>
      </c>
      <c r="C155" s="15"/>
      <c r="D155" s="15"/>
      <c r="E155" s="15"/>
      <c r="F155" s="15"/>
      <c r="G155" s="20"/>
      <c r="H155" s="20"/>
      <c r="I155" s="12" t="str">
        <f t="shared" si="2"/>
        <v/>
      </c>
      <c r="J155" s="2"/>
      <c r="K155" s="15"/>
    </row>
    <row r="156" ht="15.0" customHeight="1">
      <c r="A156" s="15"/>
      <c r="B156" s="11" t="str">
        <f t="array" ref="B156">IFERROR(INDEX('Patient Bills'!$B:$B,MATCH(A156,'Patient Bills'!$A:$A,0)),"")</f>
        <v/>
      </c>
      <c r="C156" s="15"/>
      <c r="D156" s="15"/>
      <c r="E156" s="15"/>
      <c r="F156" s="15"/>
      <c r="G156" s="20"/>
      <c r="H156" s="20"/>
      <c r="I156" s="12" t="str">
        <f t="shared" si="2"/>
        <v/>
      </c>
      <c r="J156" s="2"/>
      <c r="K156" s="15"/>
    </row>
    <row r="157" ht="15.0" customHeight="1">
      <c r="A157" s="15"/>
      <c r="B157" s="11" t="str">
        <f t="array" ref="B157">IFERROR(INDEX('Patient Bills'!$B:$B,MATCH(A157,'Patient Bills'!$A:$A,0)),"")</f>
        <v/>
      </c>
      <c r="C157" s="15"/>
      <c r="D157" s="15"/>
      <c r="E157" s="15"/>
      <c r="F157" s="15"/>
      <c r="G157" s="20"/>
      <c r="H157" s="20"/>
      <c r="I157" s="12" t="str">
        <f t="shared" si="2"/>
        <v/>
      </c>
      <c r="J157" s="2"/>
      <c r="K157" s="15"/>
    </row>
    <row r="158" ht="15.0" customHeight="1">
      <c r="A158" s="15"/>
      <c r="B158" s="11" t="str">
        <f t="array" ref="B158">IFERROR(INDEX('Patient Bills'!$B:$B,MATCH(A158,'Patient Bills'!$A:$A,0)),"")</f>
        <v/>
      </c>
      <c r="C158" s="15"/>
      <c r="D158" s="15"/>
      <c r="E158" s="15"/>
      <c r="F158" s="15"/>
      <c r="G158" s="20"/>
      <c r="H158" s="20"/>
      <c r="I158" s="12" t="str">
        <f t="shared" si="2"/>
        <v/>
      </c>
      <c r="J158" s="2"/>
      <c r="K158" s="15"/>
    </row>
    <row r="159" ht="15.0" customHeight="1">
      <c r="A159" s="15"/>
      <c r="B159" s="11" t="str">
        <f t="array" ref="B159">IFERROR(INDEX('Patient Bills'!$B:$B,MATCH(A159,'Patient Bills'!$A:$A,0)),"")</f>
        <v/>
      </c>
      <c r="C159" s="15"/>
      <c r="D159" s="15"/>
      <c r="E159" s="15"/>
      <c r="F159" s="15"/>
      <c r="G159" s="20"/>
      <c r="H159" s="20"/>
      <c r="I159" s="12" t="str">
        <f t="shared" si="2"/>
        <v/>
      </c>
      <c r="J159" s="2"/>
      <c r="K159" s="15"/>
    </row>
    <row r="160" ht="15.0" customHeight="1">
      <c r="A160" s="15"/>
      <c r="B160" s="11" t="str">
        <f t="array" ref="B160">IFERROR(INDEX('Patient Bills'!$B:$B,MATCH(A160,'Patient Bills'!$A:$A,0)),"")</f>
        <v/>
      </c>
      <c r="C160" s="15"/>
      <c r="D160" s="15"/>
      <c r="E160" s="15"/>
      <c r="F160" s="15"/>
      <c r="G160" s="20"/>
      <c r="H160" s="20"/>
      <c r="I160" s="12" t="str">
        <f t="shared" si="2"/>
        <v/>
      </c>
      <c r="J160" s="2"/>
      <c r="K160" s="15"/>
    </row>
    <row r="161" ht="15.0" customHeight="1">
      <c r="A161" s="15"/>
      <c r="B161" s="11" t="str">
        <f t="array" ref="B161">IFERROR(INDEX('Patient Bills'!$B:$B,MATCH(A161,'Patient Bills'!$A:$A,0)),"")</f>
        <v/>
      </c>
      <c r="C161" s="15"/>
      <c r="D161" s="15"/>
      <c r="E161" s="15"/>
      <c r="F161" s="15"/>
      <c r="G161" s="20"/>
      <c r="H161" s="20"/>
      <c r="I161" s="12" t="str">
        <f t="shared" si="2"/>
        <v/>
      </c>
      <c r="J161" s="2"/>
      <c r="K161" s="15"/>
    </row>
    <row r="162" ht="15.0" customHeight="1">
      <c r="A162" s="15"/>
      <c r="B162" s="11" t="str">
        <f t="array" ref="B162">IFERROR(INDEX('Patient Bills'!$B:$B,MATCH(A162,'Patient Bills'!$A:$A,0)),"")</f>
        <v/>
      </c>
      <c r="C162" s="15"/>
      <c r="D162" s="15"/>
      <c r="E162" s="15"/>
      <c r="F162" s="15"/>
      <c r="G162" s="20"/>
      <c r="H162" s="20"/>
      <c r="I162" s="12" t="str">
        <f t="shared" si="2"/>
        <v/>
      </c>
      <c r="J162" s="2"/>
      <c r="K162" s="15"/>
    </row>
    <row r="163" ht="15.0" customHeight="1">
      <c r="A163" s="15"/>
      <c r="B163" s="11" t="str">
        <f t="array" ref="B163">IFERROR(INDEX('Patient Bills'!$B:$B,MATCH(A163,'Patient Bills'!$A:$A,0)),"")</f>
        <v/>
      </c>
      <c r="C163" s="15"/>
      <c r="D163" s="15"/>
      <c r="E163" s="15"/>
      <c r="F163" s="15"/>
      <c r="G163" s="20"/>
      <c r="H163" s="20"/>
      <c r="I163" s="12" t="str">
        <f t="shared" si="2"/>
        <v/>
      </c>
      <c r="J163" s="2"/>
      <c r="K163" s="15"/>
    </row>
    <row r="164" ht="15.0" customHeight="1">
      <c r="A164" s="15"/>
      <c r="B164" s="11" t="str">
        <f t="array" ref="B164">IFERROR(INDEX('Patient Bills'!$B:$B,MATCH(A164,'Patient Bills'!$A:$A,0)),"")</f>
        <v/>
      </c>
      <c r="C164" s="15"/>
      <c r="D164" s="15"/>
      <c r="E164" s="15"/>
      <c r="F164" s="15"/>
      <c r="G164" s="20"/>
      <c r="H164" s="20"/>
      <c r="I164" s="12" t="str">
        <f t="shared" si="2"/>
        <v/>
      </c>
      <c r="J164" s="2"/>
      <c r="K164" s="15"/>
    </row>
    <row r="165" ht="15.0" customHeight="1">
      <c r="A165" s="15"/>
      <c r="B165" s="11" t="str">
        <f t="array" ref="B165">IFERROR(INDEX('Patient Bills'!$B:$B,MATCH(A165,'Patient Bills'!$A:$A,0)),"")</f>
        <v/>
      </c>
      <c r="C165" s="15"/>
      <c r="D165" s="15"/>
      <c r="E165" s="15"/>
      <c r="F165" s="15"/>
      <c r="G165" s="20"/>
      <c r="H165" s="20"/>
      <c r="I165" s="12" t="str">
        <f t="shared" si="2"/>
        <v/>
      </c>
      <c r="J165" s="2"/>
      <c r="K165" s="15"/>
    </row>
    <row r="166" ht="15.0" customHeight="1">
      <c r="A166" s="15"/>
      <c r="B166" s="11" t="str">
        <f t="array" ref="B166">IFERROR(INDEX('Patient Bills'!$B:$B,MATCH(A166,'Patient Bills'!$A:$A,0)),"")</f>
        <v/>
      </c>
      <c r="C166" s="15"/>
      <c r="D166" s="15"/>
      <c r="E166" s="15"/>
      <c r="F166" s="15"/>
      <c r="G166" s="20"/>
      <c r="H166" s="20"/>
      <c r="I166" s="12" t="str">
        <f t="shared" si="2"/>
        <v/>
      </c>
      <c r="J166" s="2"/>
      <c r="K166" s="15"/>
    </row>
    <row r="167" ht="15.0" customHeight="1">
      <c r="A167" s="15"/>
      <c r="B167" s="11" t="str">
        <f t="array" ref="B167">IFERROR(INDEX('Patient Bills'!$B:$B,MATCH(A167,'Patient Bills'!$A:$A,0)),"")</f>
        <v/>
      </c>
      <c r="C167" s="15"/>
      <c r="D167" s="15"/>
      <c r="E167" s="15"/>
      <c r="F167" s="15"/>
      <c r="G167" s="20"/>
      <c r="H167" s="20"/>
      <c r="I167" s="12" t="str">
        <f t="shared" si="2"/>
        <v/>
      </c>
      <c r="J167" s="2"/>
      <c r="K167" s="15"/>
    </row>
    <row r="168" ht="15.0" customHeight="1">
      <c r="A168" s="15"/>
      <c r="B168" s="11" t="str">
        <f t="array" ref="B168">IFERROR(INDEX('Patient Bills'!$B:$B,MATCH(A168,'Patient Bills'!$A:$A,0)),"")</f>
        <v/>
      </c>
      <c r="C168" s="15"/>
      <c r="D168" s="15"/>
      <c r="E168" s="15"/>
      <c r="F168" s="15"/>
      <c r="G168" s="20"/>
      <c r="H168" s="20"/>
      <c r="I168" s="12" t="str">
        <f t="shared" si="2"/>
        <v/>
      </c>
      <c r="J168" s="2"/>
      <c r="K168" s="15"/>
    </row>
    <row r="169" ht="15.0" customHeight="1">
      <c r="A169" s="15"/>
      <c r="B169" s="11" t="str">
        <f t="array" ref="B169">IFERROR(INDEX('Patient Bills'!$B:$B,MATCH(A169,'Patient Bills'!$A:$A,0)),"")</f>
        <v/>
      </c>
      <c r="C169" s="15"/>
      <c r="D169" s="15"/>
      <c r="E169" s="15"/>
      <c r="F169" s="15"/>
      <c r="G169" s="20"/>
      <c r="H169" s="20"/>
      <c r="I169" s="12" t="str">
        <f t="shared" si="2"/>
        <v/>
      </c>
      <c r="J169" s="2"/>
      <c r="K169" s="15"/>
    </row>
    <row r="170" ht="15.0" customHeight="1">
      <c r="A170" s="15"/>
      <c r="B170" s="11" t="str">
        <f t="array" ref="B170">IFERROR(INDEX('Patient Bills'!$B:$B,MATCH(A170,'Patient Bills'!$A:$A,0)),"")</f>
        <v/>
      </c>
      <c r="C170" s="15"/>
      <c r="D170" s="15"/>
      <c r="E170" s="15"/>
      <c r="F170" s="15"/>
      <c r="G170" s="20"/>
      <c r="H170" s="20"/>
      <c r="I170" s="12" t="str">
        <f t="shared" si="2"/>
        <v/>
      </c>
      <c r="J170" s="2"/>
      <c r="K170" s="15"/>
    </row>
    <row r="171" ht="15.0" customHeight="1">
      <c r="A171" s="15"/>
      <c r="B171" s="11" t="str">
        <f t="array" ref="B171">IFERROR(INDEX('Patient Bills'!$B:$B,MATCH(A171,'Patient Bills'!$A:$A,0)),"")</f>
        <v/>
      </c>
      <c r="C171" s="15"/>
      <c r="D171" s="15"/>
      <c r="E171" s="15"/>
      <c r="F171" s="15"/>
      <c r="G171" s="20"/>
      <c r="H171" s="20"/>
      <c r="I171" s="12" t="str">
        <f t="shared" si="2"/>
        <v/>
      </c>
      <c r="J171" s="2"/>
      <c r="K171" s="15"/>
    </row>
    <row r="172" ht="15.0" customHeight="1">
      <c r="A172" s="15"/>
      <c r="B172" s="11" t="str">
        <f t="array" ref="B172">IFERROR(INDEX('Patient Bills'!$B:$B,MATCH(A172,'Patient Bills'!$A:$A,0)),"")</f>
        <v/>
      </c>
      <c r="C172" s="15"/>
      <c r="D172" s="15"/>
      <c r="E172" s="15"/>
      <c r="F172" s="15"/>
      <c r="G172" s="20"/>
      <c r="H172" s="20"/>
      <c r="I172" s="12" t="str">
        <f t="shared" si="2"/>
        <v/>
      </c>
      <c r="J172" s="2"/>
      <c r="K172" s="15"/>
    </row>
    <row r="173" ht="15.0" customHeight="1">
      <c r="A173" s="15"/>
      <c r="B173" s="11" t="str">
        <f t="array" ref="B173">IFERROR(INDEX('Patient Bills'!$B:$B,MATCH(A173,'Patient Bills'!$A:$A,0)),"")</f>
        <v/>
      </c>
      <c r="C173" s="15"/>
      <c r="D173" s="15"/>
      <c r="E173" s="15"/>
      <c r="F173" s="15"/>
      <c r="G173" s="20"/>
      <c r="H173" s="20"/>
      <c r="I173" s="12" t="str">
        <f t="shared" si="2"/>
        <v/>
      </c>
      <c r="J173" s="2"/>
      <c r="K173" s="15"/>
    </row>
    <row r="174" ht="15.0" customHeight="1">
      <c r="A174" s="15"/>
      <c r="B174" s="11" t="str">
        <f t="array" ref="B174">IFERROR(INDEX('Patient Bills'!$B:$B,MATCH(A174,'Patient Bills'!$A:$A,0)),"")</f>
        <v/>
      </c>
      <c r="C174" s="15"/>
      <c r="D174" s="15"/>
      <c r="E174" s="15"/>
      <c r="F174" s="15"/>
      <c r="G174" s="20"/>
      <c r="H174" s="20"/>
      <c r="I174" s="12" t="str">
        <f t="shared" si="2"/>
        <v/>
      </c>
      <c r="J174" s="2"/>
      <c r="K174" s="15"/>
    </row>
    <row r="175" ht="15.0" customHeight="1">
      <c r="A175" s="15"/>
      <c r="B175" s="11" t="str">
        <f t="array" ref="B175">IFERROR(INDEX('Patient Bills'!$B:$B,MATCH(A175,'Patient Bills'!$A:$A,0)),"")</f>
        <v/>
      </c>
      <c r="C175" s="15"/>
      <c r="D175" s="15"/>
      <c r="E175" s="15"/>
      <c r="F175" s="15"/>
      <c r="G175" s="20"/>
      <c r="H175" s="20"/>
      <c r="I175" s="12" t="str">
        <f t="shared" si="2"/>
        <v/>
      </c>
      <c r="J175" s="2"/>
      <c r="K175" s="15"/>
    </row>
    <row r="176" ht="15.0" customHeight="1">
      <c r="A176" s="15"/>
      <c r="B176" s="11" t="str">
        <f t="array" ref="B176">IFERROR(INDEX('Patient Bills'!$B:$B,MATCH(A176,'Patient Bills'!$A:$A,0)),"")</f>
        <v/>
      </c>
      <c r="C176" s="15"/>
      <c r="D176" s="15"/>
      <c r="E176" s="15"/>
      <c r="F176" s="15"/>
      <c r="G176" s="20"/>
      <c r="H176" s="20"/>
      <c r="I176" s="12" t="str">
        <f t="shared" si="2"/>
        <v/>
      </c>
      <c r="J176" s="2"/>
      <c r="K176" s="15"/>
    </row>
    <row r="177" ht="15.0" customHeight="1">
      <c r="A177" s="15"/>
      <c r="B177" s="11" t="str">
        <f t="array" ref="B177">IFERROR(INDEX('Patient Bills'!$B:$B,MATCH(A177,'Patient Bills'!$A:$A,0)),"")</f>
        <v/>
      </c>
      <c r="C177" s="15"/>
      <c r="D177" s="15"/>
      <c r="E177" s="15"/>
      <c r="F177" s="15"/>
      <c r="G177" s="20"/>
      <c r="H177" s="20"/>
      <c r="I177" s="12" t="str">
        <f t="shared" si="2"/>
        <v/>
      </c>
      <c r="J177" s="2"/>
      <c r="K177" s="15"/>
    </row>
    <row r="178" ht="15.0" customHeight="1">
      <c r="A178" s="15"/>
      <c r="B178" s="11" t="str">
        <f t="array" ref="B178">IFERROR(INDEX('Patient Bills'!$B:$B,MATCH(A178,'Patient Bills'!$A:$A,0)),"")</f>
        <v/>
      </c>
      <c r="C178" s="15"/>
      <c r="D178" s="15"/>
      <c r="E178" s="15"/>
      <c r="F178" s="15"/>
      <c r="G178" s="20"/>
      <c r="H178" s="20"/>
      <c r="I178" s="12" t="str">
        <f t="shared" si="2"/>
        <v/>
      </c>
      <c r="J178" s="2"/>
      <c r="K178" s="15"/>
    </row>
    <row r="179" ht="15.0" customHeight="1">
      <c r="A179" s="15"/>
      <c r="B179" s="11" t="str">
        <f t="array" ref="B179">IFERROR(INDEX('Patient Bills'!$B:$B,MATCH(A179,'Patient Bills'!$A:$A,0)),"")</f>
        <v/>
      </c>
      <c r="C179" s="15"/>
      <c r="D179" s="15"/>
      <c r="E179" s="15"/>
      <c r="F179" s="15"/>
      <c r="G179" s="20"/>
      <c r="H179" s="20"/>
      <c r="I179" s="12" t="str">
        <f t="shared" si="2"/>
        <v/>
      </c>
      <c r="J179" s="2"/>
      <c r="K179" s="15"/>
    </row>
    <row r="180" ht="15.0" customHeight="1">
      <c r="A180" s="15"/>
      <c r="B180" s="11" t="str">
        <f t="array" ref="B180">IFERROR(INDEX('Patient Bills'!$B:$B,MATCH(A180,'Patient Bills'!$A:$A,0)),"")</f>
        <v/>
      </c>
      <c r="C180" s="15"/>
      <c r="D180" s="15"/>
      <c r="E180" s="15"/>
      <c r="F180" s="15"/>
      <c r="G180" s="20"/>
      <c r="H180" s="20"/>
      <c r="I180" s="12" t="str">
        <f t="shared" si="2"/>
        <v/>
      </c>
      <c r="J180" s="2"/>
      <c r="K180" s="15"/>
    </row>
    <row r="181" ht="15.0" customHeight="1">
      <c r="A181" s="15"/>
      <c r="B181" s="11" t="str">
        <f t="array" ref="B181">IFERROR(INDEX('Patient Bills'!$B:$B,MATCH(A181,'Patient Bills'!$A:$A,0)),"")</f>
        <v/>
      </c>
      <c r="C181" s="15"/>
      <c r="D181" s="15"/>
      <c r="E181" s="15"/>
      <c r="F181" s="15"/>
      <c r="G181" s="20"/>
      <c r="H181" s="20"/>
      <c r="I181" s="12" t="str">
        <f t="shared" si="2"/>
        <v/>
      </c>
      <c r="J181" s="2"/>
      <c r="K181" s="15"/>
    </row>
    <row r="182" ht="15.0" customHeight="1">
      <c r="A182" s="15"/>
      <c r="B182" s="11" t="str">
        <f t="array" ref="B182">IFERROR(INDEX('Patient Bills'!$B:$B,MATCH(A182,'Patient Bills'!$A:$A,0)),"")</f>
        <v/>
      </c>
      <c r="C182" s="15"/>
      <c r="D182" s="15"/>
      <c r="E182" s="15"/>
      <c r="F182" s="15"/>
      <c r="G182" s="20"/>
      <c r="H182" s="20"/>
      <c r="I182" s="12" t="str">
        <f t="shared" si="2"/>
        <v/>
      </c>
      <c r="J182" s="2"/>
      <c r="K182" s="15"/>
    </row>
    <row r="183" ht="15.0" customHeight="1">
      <c r="A183" s="15"/>
      <c r="B183" s="11" t="str">
        <f t="array" ref="B183">IFERROR(INDEX('Patient Bills'!$B:$B,MATCH(A183,'Patient Bills'!$A:$A,0)),"")</f>
        <v/>
      </c>
      <c r="C183" s="15"/>
      <c r="D183" s="15"/>
      <c r="E183" s="15"/>
      <c r="F183" s="15"/>
      <c r="G183" s="20"/>
      <c r="H183" s="20"/>
      <c r="I183" s="12" t="str">
        <f t="shared" si="2"/>
        <v/>
      </c>
      <c r="J183" s="2"/>
      <c r="K183" s="15"/>
    </row>
    <row r="184" ht="15.0" customHeight="1">
      <c r="A184" s="15"/>
      <c r="B184" s="11" t="str">
        <f t="array" ref="B184">IFERROR(INDEX('Patient Bills'!$B:$B,MATCH(A184,'Patient Bills'!$A:$A,0)),"")</f>
        <v/>
      </c>
      <c r="C184" s="15"/>
      <c r="D184" s="15"/>
      <c r="E184" s="15"/>
      <c r="F184" s="15"/>
      <c r="G184" s="20"/>
      <c r="H184" s="20"/>
      <c r="I184" s="12" t="str">
        <f t="shared" si="2"/>
        <v/>
      </c>
      <c r="J184" s="2"/>
      <c r="K184" s="15"/>
    </row>
    <row r="185" ht="15.0" customHeight="1">
      <c r="A185" s="15"/>
      <c r="B185" s="11" t="str">
        <f t="array" ref="B185">IFERROR(INDEX('Patient Bills'!$B:$B,MATCH(A185,'Patient Bills'!$A:$A,0)),"")</f>
        <v/>
      </c>
      <c r="C185" s="15"/>
      <c r="D185" s="15"/>
      <c r="E185" s="15"/>
      <c r="F185" s="15"/>
      <c r="G185" s="20"/>
      <c r="H185" s="20"/>
      <c r="I185" s="12" t="str">
        <f t="shared" si="2"/>
        <v/>
      </c>
      <c r="J185" s="2"/>
      <c r="K185" s="15"/>
    </row>
    <row r="186" ht="15.0" customHeight="1">
      <c r="A186" s="15"/>
      <c r="B186" s="11" t="str">
        <f t="array" ref="B186">IFERROR(INDEX('Patient Bills'!$B:$B,MATCH(A186,'Patient Bills'!$A:$A,0)),"")</f>
        <v/>
      </c>
      <c r="C186" s="15"/>
      <c r="D186" s="15"/>
      <c r="E186" s="15"/>
      <c r="F186" s="15"/>
      <c r="G186" s="20"/>
      <c r="H186" s="20"/>
      <c r="I186" s="12" t="str">
        <f t="shared" si="2"/>
        <v/>
      </c>
      <c r="J186" s="2"/>
      <c r="K186" s="15"/>
    </row>
    <row r="187" ht="15.0" customHeight="1">
      <c r="A187" s="15"/>
      <c r="B187" s="11" t="str">
        <f t="array" ref="B187">IFERROR(INDEX('Patient Bills'!$B:$B,MATCH(A187,'Patient Bills'!$A:$A,0)),"")</f>
        <v/>
      </c>
      <c r="C187" s="15"/>
      <c r="D187" s="15"/>
      <c r="E187" s="15"/>
      <c r="F187" s="15"/>
      <c r="G187" s="20"/>
      <c r="H187" s="20"/>
      <c r="I187" s="12" t="str">
        <f t="shared" si="2"/>
        <v/>
      </c>
      <c r="J187" s="2"/>
      <c r="K187" s="15"/>
    </row>
    <row r="188" ht="15.0" customHeight="1">
      <c r="A188" s="15"/>
      <c r="B188" s="11" t="str">
        <f t="array" ref="B188">IFERROR(INDEX('Patient Bills'!$B:$B,MATCH(A188,'Patient Bills'!$A:$A,0)),"")</f>
        <v/>
      </c>
      <c r="C188" s="15"/>
      <c r="D188" s="15"/>
      <c r="E188" s="15"/>
      <c r="F188" s="15"/>
      <c r="G188" s="20"/>
      <c r="H188" s="20"/>
      <c r="I188" s="12" t="str">
        <f t="shared" si="2"/>
        <v/>
      </c>
      <c r="J188" s="2"/>
      <c r="K188" s="15"/>
    </row>
    <row r="189" ht="15.0" customHeight="1">
      <c r="A189" s="15"/>
      <c r="B189" s="11" t="str">
        <f t="array" ref="B189">IFERROR(INDEX('Patient Bills'!$B:$B,MATCH(A189,'Patient Bills'!$A:$A,0)),"")</f>
        <v/>
      </c>
      <c r="C189" s="15"/>
      <c r="D189" s="15"/>
      <c r="E189" s="15"/>
      <c r="F189" s="15"/>
      <c r="G189" s="20"/>
      <c r="H189" s="20"/>
      <c r="I189" s="12" t="str">
        <f t="shared" si="2"/>
        <v/>
      </c>
      <c r="J189" s="2"/>
      <c r="K189" s="15"/>
    </row>
    <row r="190" ht="15.0" customHeight="1">
      <c r="A190" s="15"/>
      <c r="B190" s="11" t="str">
        <f t="array" ref="B190">IFERROR(INDEX('Patient Bills'!$B:$B,MATCH(A190,'Patient Bills'!$A:$A,0)),"")</f>
        <v/>
      </c>
      <c r="C190" s="15"/>
      <c r="D190" s="15"/>
      <c r="E190" s="15"/>
      <c r="F190" s="15"/>
      <c r="G190" s="20"/>
      <c r="H190" s="20"/>
      <c r="I190" s="12" t="str">
        <f t="shared" si="2"/>
        <v/>
      </c>
      <c r="J190" s="2"/>
      <c r="K190" s="15"/>
    </row>
    <row r="191" ht="15.0" customHeight="1">
      <c r="A191" s="15"/>
      <c r="B191" s="11" t="str">
        <f t="array" ref="B191">IFERROR(INDEX('Patient Bills'!$B:$B,MATCH(A191,'Patient Bills'!$A:$A,0)),"")</f>
        <v/>
      </c>
      <c r="C191" s="15"/>
      <c r="D191" s="15"/>
      <c r="E191" s="15"/>
      <c r="F191" s="15"/>
      <c r="G191" s="20"/>
      <c r="H191" s="20"/>
      <c r="I191" s="12" t="str">
        <f t="shared" si="2"/>
        <v/>
      </c>
      <c r="J191" s="2"/>
      <c r="K191" s="15"/>
    </row>
    <row r="192" ht="15.0" customHeight="1">
      <c r="A192" s="15"/>
      <c r="B192" s="11" t="str">
        <f t="array" ref="B192">IFERROR(INDEX('Patient Bills'!$B:$B,MATCH(A192,'Patient Bills'!$A:$A,0)),"")</f>
        <v/>
      </c>
      <c r="C192" s="15"/>
      <c r="D192" s="15"/>
      <c r="E192" s="15"/>
      <c r="F192" s="15"/>
      <c r="G192" s="20"/>
      <c r="H192" s="20"/>
      <c r="I192" s="12" t="str">
        <f t="shared" si="2"/>
        <v/>
      </c>
      <c r="J192" s="2"/>
      <c r="K192" s="15"/>
    </row>
    <row r="193" ht="15.0" customHeight="1">
      <c r="A193" s="15"/>
      <c r="B193" s="11" t="str">
        <f t="array" ref="B193">IFERROR(INDEX('Patient Bills'!$B:$B,MATCH(A193,'Patient Bills'!$A:$A,0)),"")</f>
        <v/>
      </c>
      <c r="C193" s="15"/>
      <c r="D193" s="15"/>
      <c r="E193" s="15"/>
      <c r="F193" s="15"/>
      <c r="G193" s="20"/>
      <c r="H193" s="20"/>
      <c r="I193" s="12" t="str">
        <f t="shared" si="2"/>
        <v/>
      </c>
      <c r="J193" s="2"/>
      <c r="K193" s="15"/>
    </row>
    <row r="194" ht="15.0" customHeight="1">
      <c r="A194" s="15"/>
      <c r="B194" s="11" t="str">
        <f t="array" ref="B194">IFERROR(INDEX('Patient Bills'!$B:$B,MATCH(A194,'Patient Bills'!$A:$A,0)),"")</f>
        <v/>
      </c>
      <c r="C194" s="15"/>
      <c r="D194" s="15"/>
      <c r="E194" s="15"/>
      <c r="F194" s="15"/>
      <c r="G194" s="20"/>
      <c r="H194" s="20"/>
      <c r="I194" s="12" t="str">
        <f t="shared" si="2"/>
        <v/>
      </c>
      <c r="J194" s="2"/>
      <c r="K194" s="15"/>
    </row>
    <row r="195" ht="15.0" customHeight="1">
      <c r="A195" s="15"/>
      <c r="B195" s="11" t="str">
        <f t="array" ref="B195">IFERROR(INDEX('Patient Bills'!$B:$B,MATCH(A195,'Patient Bills'!$A:$A,0)),"")</f>
        <v/>
      </c>
      <c r="C195" s="15"/>
      <c r="D195" s="15"/>
      <c r="E195" s="15"/>
      <c r="F195" s="15"/>
      <c r="G195" s="20"/>
      <c r="H195" s="20"/>
      <c r="I195" s="12" t="str">
        <f t="shared" si="2"/>
        <v/>
      </c>
      <c r="J195" s="2"/>
      <c r="K195" s="15"/>
    </row>
    <row r="196" ht="15.0" customHeight="1">
      <c r="A196" s="15"/>
      <c r="B196" s="11" t="str">
        <f t="array" ref="B196">IFERROR(INDEX('Patient Bills'!$B:$B,MATCH(A196,'Patient Bills'!$A:$A,0)),"")</f>
        <v/>
      </c>
      <c r="C196" s="15"/>
      <c r="D196" s="15"/>
      <c r="E196" s="15"/>
      <c r="F196" s="15"/>
      <c r="G196" s="20"/>
      <c r="H196" s="20"/>
      <c r="I196" s="12" t="str">
        <f t="shared" si="2"/>
        <v/>
      </c>
      <c r="J196" s="2"/>
      <c r="K196" s="15"/>
    </row>
    <row r="197" ht="15.0" customHeight="1">
      <c r="A197" s="15"/>
      <c r="B197" s="11" t="str">
        <f t="array" ref="B197">IFERROR(INDEX('Patient Bills'!$B:$B,MATCH(A197,'Patient Bills'!$A:$A,0)),"")</f>
        <v/>
      </c>
      <c r="C197" s="15"/>
      <c r="D197" s="15"/>
      <c r="E197" s="15"/>
      <c r="F197" s="15"/>
      <c r="G197" s="20"/>
      <c r="H197" s="20"/>
      <c r="I197" s="12" t="str">
        <f t="shared" si="2"/>
        <v/>
      </c>
      <c r="J197" s="2"/>
      <c r="K197" s="15"/>
    </row>
    <row r="198" ht="15.0" customHeight="1">
      <c r="A198" s="15"/>
      <c r="B198" s="11" t="str">
        <f t="array" ref="B198">IFERROR(INDEX('Patient Bills'!$B:$B,MATCH(A198,'Patient Bills'!$A:$A,0)),"")</f>
        <v/>
      </c>
      <c r="C198" s="15"/>
      <c r="D198" s="15"/>
      <c r="E198" s="15"/>
      <c r="F198" s="15"/>
      <c r="G198" s="20"/>
      <c r="H198" s="20"/>
      <c r="I198" s="12" t="str">
        <f t="shared" si="2"/>
        <v/>
      </c>
      <c r="J198" s="2"/>
      <c r="K198" s="15"/>
    </row>
    <row r="199" ht="15.0" customHeight="1">
      <c r="A199" s="15"/>
      <c r="B199" s="11" t="str">
        <f t="array" ref="B199">IFERROR(INDEX('Patient Bills'!$B:$B,MATCH(A199,'Patient Bills'!$A:$A,0)),"")</f>
        <v/>
      </c>
      <c r="C199" s="15"/>
      <c r="D199" s="15"/>
      <c r="E199" s="15"/>
      <c r="F199" s="15"/>
      <c r="G199" s="20"/>
      <c r="H199" s="20"/>
      <c r="I199" s="12" t="str">
        <f t="shared" si="2"/>
        <v/>
      </c>
      <c r="J199" s="2"/>
      <c r="K199" s="15"/>
    </row>
    <row r="200" ht="15.0" customHeight="1">
      <c r="A200" s="15"/>
      <c r="B200" s="11" t="str">
        <f t="array" ref="B200">IFERROR(INDEX('Patient Bills'!$B:$B,MATCH(A200,'Patient Bills'!$A:$A,0)),"")</f>
        <v/>
      </c>
      <c r="C200" s="15"/>
      <c r="D200" s="15"/>
      <c r="E200" s="15"/>
      <c r="F200" s="15"/>
      <c r="G200" s="20"/>
      <c r="H200" s="20"/>
      <c r="I200" s="12" t="str">
        <f t="shared" si="2"/>
        <v/>
      </c>
      <c r="J200" s="2"/>
      <c r="K200" s="15"/>
    </row>
    <row r="201" ht="15.0" customHeight="1">
      <c r="A201" s="15"/>
      <c r="B201" s="11" t="str">
        <f t="array" ref="B201">IFERROR(INDEX('Patient Bills'!$B:$B,MATCH(A201,'Patient Bills'!$A:$A,0)),"")</f>
        <v/>
      </c>
      <c r="C201" s="15"/>
      <c r="D201" s="15"/>
      <c r="E201" s="15"/>
      <c r="F201" s="15"/>
      <c r="G201" s="20"/>
      <c r="H201" s="20"/>
      <c r="I201" s="12" t="str">
        <f t="shared" si="2"/>
        <v/>
      </c>
      <c r="J201" s="2"/>
      <c r="K201" s="15"/>
    </row>
    <row r="202" ht="15.0" customHeight="1">
      <c r="A202" s="15"/>
      <c r="B202" s="11" t="str">
        <f t="array" ref="B202">IFERROR(INDEX('Patient Bills'!$B:$B,MATCH(A202,'Patient Bills'!$A:$A,0)),"")</f>
        <v/>
      </c>
      <c r="C202" s="15"/>
      <c r="D202" s="15"/>
      <c r="E202" s="15"/>
      <c r="F202" s="15"/>
      <c r="G202" s="20"/>
      <c r="H202" s="20"/>
      <c r="I202" s="12" t="str">
        <f t="shared" si="2"/>
        <v/>
      </c>
      <c r="J202" s="2"/>
      <c r="K202" s="15"/>
    </row>
    <row r="203" ht="15.0" customHeight="1">
      <c r="A203" s="15"/>
      <c r="B203" s="11" t="str">
        <f t="array" ref="B203">IFERROR(INDEX('Patient Bills'!$B:$B,MATCH(A203,'Patient Bills'!$A:$A,0)),"")</f>
        <v/>
      </c>
      <c r="C203" s="15"/>
      <c r="D203" s="15"/>
      <c r="E203" s="15"/>
      <c r="F203" s="15"/>
      <c r="G203" s="20"/>
      <c r="H203" s="20"/>
      <c r="I203" s="12" t="str">
        <f t="shared" si="2"/>
        <v/>
      </c>
      <c r="J203" s="2"/>
      <c r="K203" s="15"/>
    </row>
    <row r="204" ht="15.0" customHeight="1">
      <c r="A204" s="15"/>
      <c r="B204" s="11" t="str">
        <f t="array" ref="B204">IFERROR(INDEX('Patient Bills'!$B:$B,MATCH(A204,'Patient Bills'!$A:$A,0)),"")</f>
        <v/>
      </c>
      <c r="C204" s="15"/>
      <c r="D204" s="15"/>
      <c r="E204" s="15"/>
      <c r="F204" s="15"/>
      <c r="G204" s="20"/>
      <c r="H204" s="20"/>
      <c r="I204" s="12" t="str">
        <f t="shared" si="2"/>
        <v/>
      </c>
      <c r="J204" s="2"/>
      <c r="K204" s="15"/>
    </row>
    <row r="205" ht="15.0" customHeight="1">
      <c r="A205" s="15"/>
      <c r="B205" s="11" t="str">
        <f t="array" ref="B205">IFERROR(INDEX('Patient Bills'!$B:$B,MATCH(A205,'Patient Bills'!$A:$A,0)),"")</f>
        <v/>
      </c>
      <c r="C205" s="15"/>
      <c r="D205" s="15"/>
      <c r="E205" s="15"/>
      <c r="F205" s="15"/>
      <c r="G205" s="20"/>
      <c r="H205" s="20"/>
      <c r="I205" s="12" t="str">
        <f t="shared" si="2"/>
        <v/>
      </c>
      <c r="J205" s="2"/>
      <c r="K205" s="15"/>
    </row>
    <row r="206" ht="15.0" customHeight="1">
      <c r="A206" s="15"/>
      <c r="B206" s="11" t="str">
        <f t="array" ref="B206">IFERROR(INDEX('Patient Bills'!$B:$B,MATCH(A206,'Patient Bills'!$A:$A,0)),"")</f>
        <v/>
      </c>
      <c r="C206" s="15"/>
      <c r="D206" s="15"/>
      <c r="E206" s="15"/>
      <c r="F206" s="15"/>
      <c r="G206" s="20"/>
      <c r="H206" s="20"/>
      <c r="I206" s="12" t="str">
        <f t="shared" si="2"/>
        <v/>
      </c>
      <c r="J206" s="2"/>
      <c r="K206" s="15"/>
    </row>
    <row r="207" ht="15.0" customHeight="1">
      <c r="A207" s="15"/>
      <c r="B207" s="11" t="str">
        <f t="array" ref="B207">IFERROR(INDEX('Patient Bills'!$B:$B,MATCH(A207,'Patient Bills'!$A:$A,0)),"")</f>
        <v/>
      </c>
      <c r="C207" s="15"/>
      <c r="D207" s="15"/>
      <c r="E207" s="15"/>
      <c r="F207" s="15"/>
      <c r="G207" s="20"/>
      <c r="H207" s="20"/>
      <c r="I207" s="12" t="str">
        <f t="shared" si="2"/>
        <v/>
      </c>
      <c r="J207" s="2"/>
      <c r="K207" s="15"/>
    </row>
    <row r="208" ht="15.0" customHeight="1">
      <c r="A208" s="15"/>
      <c r="B208" s="11" t="str">
        <f t="array" ref="B208">IFERROR(INDEX('Patient Bills'!$B:$B,MATCH(A208,'Patient Bills'!$A:$A,0)),"")</f>
        <v/>
      </c>
      <c r="C208" s="15"/>
      <c r="D208" s="15"/>
      <c r="E208" s="15"/>
      <c r="F208" s="15"/>
      <c r="G208" s="20"/>
      <c r="H208" s="20"/>
      <c r="I208" s="12" t="str">
        <f t="shared" si="2"/>
        <v/>
      </c>
      <c r="J208" s="2"/>
      <c r="K208" s="15"/>
    </row>
    <row r="209" ht="15.0" customHeight="1">
      <c r="A209" s="15"/>
      <c r="B209" s="11" t="str">
        <f t="array" ref="B209">IFERROR(INDEX('Patient Bills'!$B:$B,MATCH(A209,'Patient Bills'!$A:$A,0)),"")</f>
        <v/>
      </c>
      <c r="C209" s="15"/>
      <c r="D209" s="15"/>
      <c r="E209" s="15"/>
      <c r="F209" s="15"/>
      <c r="G209" s="20"/>
      <c r="H209" s="20"/>
      <c r="I209" s="12" t="str">
        <f t="shared" si="2"/>
        <v/>
      </c>
      <c r="J209" s="2"/>
      <c r="K209" s="15"/>
    </row>
    <row r="210" ht="15.0" customHeight="1">
      <c r="A210" s="15"/>
      <c r="B210" s="11" t="str">
        <f t="array" ref="B210">IFERROR(INDEX('Patient Bills'!$B:$B,MATCH(A210,'Patient Bills'!$A:$A,0)),"")</f>
        <v/>
      </c>
      <c r="C210" s="15"/>
      <c r="D210" s="15"/>
      <c r="E210" s="15"/>
      <c r="F210" s="15"/>
      <c r="G210" s="20"/>
      <c r="H210" s="20"/>
      <c r="I210" s="12" t="str">
        <f t="shared" si="2"/>
        <v/>
      </c>
      <c r="J210" s="2"/>
      <c r="K210" s="15"/>
    </row>
    <row r="211" ht="15.0" customHeight="1">
      <c r="A211" s="15"/>
      <c r="B211" s="11" t="str">
        <f t="array" ref="B211">IFERROR(INDEX('Patient Bills'!$B:$B,MATCH(A211,'Patient Bills'!$A:$A,0)),"")</f>
        <v/>
      </c>
      <c r="C211" s="15"/>
      <c r="D211" s="15"/>
      <c r="E211" s="15"/>
      <c r="F211" s="15"/>
      <c r="G211" s="20"/>
      <c r="H211" s="20"/>
      <c r="I211" s="12" t="str">
        <f t="shared" si="2"/>
        <v/>
      </c>
      <c r="J211" s="2"/>
      <c r="K211" s="15"/>
    </row>
    <row r="212" ht="15.0" customHeight="1">
      <c r="A212" s="15"/>
      <c r="B212" s="11" t="str">
        <f t="array" ref="B212">IFERROR(INDEX('Patient Bills'!$B:$B,MATCH(A212,'Patient Bills'!$A:$A,0)),"")</f>
        <v/>
      </c>
      <c r="C212" s="15"/>
      <c r="D212" s="15"/>
      <c r="E212" s="15"/>
      <c r="F212" s="15"/>
      <c r="G212" s="20"/>
      <c r="H212" s="20"/>
      <c r="I212" s="12" t="str">
        <f t="shared" si="2"/>
        <v/>
      </c>
      <c r="J212" s="2"/>
      <c r="K212" s="15"/>
    </row>
    <row r="213" ht="15.0" customHeight="1">
      <c r="A213" s="15"/>
      <c r="B213" s="11" t="str">
        <f t="array" ref="B213">IFERROR(INDEX('Patient Bills'!$B:$B,MATCH(A213,'Patient Bills'!$A:$A,0)),"")</f>
        <v/>
      </c>
      <c r="C213" s="15"/>
      <c r="D213" s="15"/>
      <c r="E213" s="15"/>
      <c r="F213" s="15"/>
      <c r="G213" s="20"/>
      <c r="H213" s="20"/>
      <c r="I213" s="12" t="str">
        <f t="shared" si="2"/>
        <v/>
      </c>
      <c r="J213" s="2"/>
      <c r="K213" s="15"/>
    </row>
    <row r="214" ht="15.0" customHeight="1">
      <c r="A214" s="15"/>
      <c r="B214" s="11" t="str">
        <f t="array" ref="B214">IFERROR(INDEX('Patient Bills'!$B:$B,MATCH(A214,'Patient Bills'!$A:$A,0)),"")</f>
        <v/>
      </c>
      <c r="C214" s="15"/>
      <c r="D214" s="15"/>
      <c r="E214" s="15"/>
      <c r="F214" s="15"/>
      <c r="G214" s="20"/>
      <c r="H214" s="20"/>
      <c r="I214" s="12" t="str">
        <f t="shared" si="2"/>
        <v/>
      </c>
      <c r="J214" s="2"/>
      <c r="K214" s="15"/>
    </row>
    <row r="215" ht="15.0" customHeight="1">
      <c r="A215" s="15"/>
      <c r="B215" s="11" t="str">
        <f t="array" ref="B215">IFERROR(INDEX('Patient Bills'!$B:$B,MATCH(A215,'Patient Bills'!$A:$A,0)),"")</f>
        <v/>
      </c>
      <c r="C215" s="15"/>
      <c r="D215" s="15"/>
      <c r="E215" s="15"/>
      <c r="F215" s="15"/>
      <c r="G215" s="20"/>
      <c r="H215" s="20"/>
      <c r="I215" s="12" t="str">
        <f t="shared" si="2"/>
        <v/>
      </c>
      <c r="J215" s="2"/>
      <c r="K215" s="15"/>
    </row>
    <row r="216" ht="15.0" customHeight="1">
      <c r="A216" s="15"/>
      <c r="B216" s="11" t="str">
        <f t="array" ref="B216">IFERROR(INDEX('Patient Bills'!$B:$B,MATCH(A216,'Patient Bills'!$A:$A,0)),"")</f>
        <v/>
      </c>
      <c r="C216" s="15"/>
      <c r="D216" s="15"/>
      <c r="E216" s="15"/>
      <c r="F216" s="15"/>
      <c r="G216" s="20"/>
      <c r="H216" s="20"/>
      <c r="I216" s="12" t="str">
        <f t="shared" si="2"/>
        <v/>
      </c>
      <c r="J216" s="2"/>
      <c r="K216" s="15"/>
    </row>
    <row r="217" ht="15.0" customHeight="1">
      <c r="A217" s="15"/>
      <c r="B217" s="11" t="str">
        <f t="array" ref="B217">IFERROR(INDEX('Patient Bills'!$B:$B,MATCH(A217,'Patient Bills'!$A:$A,0)),"")</f>
        <v/>
      </c>
      <c r="C217" s="15"/>
      <c r="D217" s="15"/>
      <c r="E217" s="15"/>
      <c r="F217" s="15"/>
      <c r="G217" s="20"/>
      <c r="H217" s="20"/>
      <c r="I217" s="12" t="str">
        <f t="shared" si="2"/>
        <v/>
      </c>
      <c r="J217" s="2"/>
      <c r="K217" s="15"/>
    </row>
    <row r="218" ht="15.0" customHeight="1">
      <c r="A218" s="15"/>
      <c r="B218" s="11" t="str">
        <f t="array" ref="B218">IFERROR(INDEX('Patient Bills'!$B:$B,MATCH(A218,'Patient Bills'!$A:$A,0)),"")</f>
        <v/>
      </c>
      <c r="C218" s="15"/>
      <c r="D218" s="15"/>
      <c r="E218" s="15"/>
      <c r="F218" s="15"/>
      <c r="G218" s="20"/>
      <c r="H218" s="20"/>
      <c r="I218" s="12" t="str">
        <f t="shared" si="2"/>
        <v/>
      </c>
      <c r="J218" s="2"/>
      <c r="K218" s="15"/>
    </row>
    <row r="219" ht="15.0" customHeight="1">
      <c r="A219" s="15"/>
      <c r="B219" s="11" t="str">
        <f t="array" ref="B219">IFERROR(INDEX('Patient Bills'!$B:$B,MATCH(A219,'Patient Bills'!$A:$A,0)),"")</f>
        <v/>
      </c>
      <c r="C219" s="15"/>
      <c r="D219" s="15"/>
      <c r="E219" s="15"/>
      <c r="F219" s="15"/>
      <c r="G219" s="20"/>
      <c r="H219" s="20"/>
      <c r="I219" s="12" t="str">
        <f t="shared" si="2"/>
        <v/>
      </c>
      <c r="J219" s="2"/>
      <c r="K219" s="15"/>
    </row>
    <row r="220" ht="15.0" customHeight="1">
      <c r="A220" s="15"/>
      <c r="B220" s="11" t="str">
        <f t="array" ref="B220">IFERROR(INDEX('Patient Bills'!$B:$B,MATCH(A220,'Patient Bills'!$A:$A,0)),"")</f>
        <v/>
      </c>
      <c r="C220" s="15"/>
      <c r="D220" s="15"/>
      <c r="E220" s="15"/>
      <c r="F220" s="15"/>
      <c r="G220" s="20"/>
      <c r="H220" s="20"/>
      <c r="I220" s="12" t="str">
        <f t="shared" si="2"/>
        <v/>
      </c>
      <c r="J220" s="2"/>
      <c r="K220" s="15"/>
    </row>
    <row r="221" ht="15.0" customHeight="1">
      <c r="A221" s="15"/>
      <c r="B221" s="11" t="str">
        <f t="array" ref="B221">IFERROR(INDEX('Patient Bills'!$B:$B,MATCH(A221,'Patient Bills'!$A:$A,0)),"")</f>
        <v/>
      </c>
      <c r="C221" s="15"/>
      <c r="D221" s="15"/>
      <c r="E221" s="15"/>
      <c r="F221" s="15"/>
      <c r="G221" s="20"/>
      <c r="H221" s="20"/>
      <c r="I221" s="12" t="str">
        <f t="shared" si="2"/>
        <v/>
      </c>
      <c r="J221" s="2"/>
      <c r="K221" s="15"/>
    </row>
    <row r="222" ht="15.0" customHeight="1">
      <c r="A222" s="15"/>
      <c r="B222" s="11" t="str">
        <f t="array" ref="B222">IFERROR(INDEX('Patient Bills'!$B:$B,MATCH(A222,'Patient Bills'!$A:$A,0)),"")</f>
        <v/>
      </c>
      <c r="C222" s="15"/>
      <c r="D222" s="15"/>
      <c r="E222" s="15"/>
      <c r="F222" s="15"/>
      <c r="G222" s="20"/>
      <c r="H222" s="20"/>
      <c r="I222" s="12" t="str">
        <f t="shared" si="2"/>
        <v/>
      </c>
      <c r="J222" s="2"/>
      <c r="K222" s="15"/>
    </row>
    <row r="223" ht="15.0" customHeight="1">
      <c r="A223" s="15"/>
      <c r="B223" s="11" t="str">
        <f t="array" ref="B223">IFERROR(INDEX('Patient Bills'!$B:$B,MATCH(A223,'Patient Bills'!$A:$A,0)),"")</f>
        <v/>
      </c>
      <c r="C223" s="15"/>
      <c r="D223" s="15"/>
      <c r="E223" s="15"/>
      <c r="F223" s="15"/>
      <c r="G223" s="20"/>
      <c r="H223" s="20"/>
      <c r="I223" s="12" t="str">
        <f t="shared" si="2"/>
        <v/>
      </c>
      <c r="J223" s="2"/>
      <c r="K223" s="15"/>
    </row>
    <row r="224" ht="15.0" customHeight="1">
      <c r="A224" s="15"/>
      <c r="B224" s="11" t="str">
        <f t="array" ref="B224">IFERROR(INDEX('Patient Bills'!$B:$B,MATCH(A224,'Patient Bills'!$A:$A,0)),"")</f>
        <v/>
      </c>
      <c r="C224" s="15"/>
      <c r="D224" s="15"/>
      <c r="E224" s="15"/>
      <c r="F224" s="15"/>
      <c r="G224" s="20"/>
      <c r="H224" s="20"/>
      <c r="I224" s="12" t="str">
        <f t="shared" si="2"/>
        <v/>
      </c>
      <c r="J224" s="2"/>
      <c r="K224" s="15"/>
    </row>
    <row r="225" ht="15.0" customHeight="1">
      <c r="A225" s="15"/>
      <c r="B225" s="11" t="str">
        <f t="array" ref="B225">IFERROR(INDEX('Patient Bills'!$B:$B,MATCH(A225,'Patient Bills'!$A:$A,0)),"")</f>
        <v/>
      </c>
      <c r="C225" s="15"/>
      <c r="D225" s="15"/>
      <c r="E225" s="15"/>
      <c r="F225" s="15"/>
      <c r="G225" s="20"/>
      <c r="H225" s="20"/>
      <c r="I225" s="12" t="str">
        <f t="shared" si="2"/>
        <v/>
      </c>
      <c r="J225" s="2"/>
      <c r="K225" s="15"/>
    </row>
    <row r="226" ht="15.0" customHeight="1">
      <c r="A226" s="15"/>
      <c r="B226" s="11" t="str">
        <f t="array" ref="B226">IFERROR(INDEX('Patient Bills'!$B:$B,MATCH(A226,'Patient Bills'!$A:$A,0)),"")</f>
        <v/>
      </c>
      <c r="C226" s="15"/>
      <c r="D226" s="15"/>
      <c r="E226" s="15"/>
      <c r="F226" s="15"/>
      <c r="G226" s="20"/>
      <c r="H226" s="20"/>
      <c r="I226" s="12" t="str">
        <f t="shared" si="2"/>
        <v/>
      </c>
      <c r="J226" s="2"/>
      <c r="K226" s="15"/>
    </row>
    <row r="227" ht="15.0" customHeight="1">
      <c r="A227" s="15"/>
      <c r="B227" s="11" t="str">
        <f t="array" ref="B227">IFERROR(INDEX('Patient Bills'!$B:$B,MATCH(A227,'Patient Bills'!$A:$A,0)),"")</f>
        <v/>
      </c>
      <c r="C227" s="15"/>
      <c r="D227" s="15"/>
      <c r="E227" s="15"/>
      <c r="F227" s="15"/>
      <c r="G227" s="20"/>
      <c r="H227" s="20"/>
      <c r="I227" s="12" t="str">
        <f t="shared" si="2"/>
        <v/>
      </c>
      <c r="J227" s="2"/>
      <c r="K227" s="15"/>
    </row>
    <row r="228" ht="15.0" customHeight="1">
      <c r="A228" s="15"/>
      <c r="B228" s="11" t="str">
        <f t="array" ref="B228">IFERROR(INDEX('Patient Bills'!$B:$B,MATCH(A228,'Patient Bills'!$A:$A,0)),"")</f>
        <v/>
      </c>
      <c r="C228" s="15"/>
      <c r="D228" s="15"/>
      <c r="E228" s="15"/>
      <c r="F228" s="15"/>
      <c r="G228" s="20"/>
      <c r="H228" s="20"/>
      <c r="I228" s="12" t="str">
        <f t="shared" si="2"/>
        <v/>
      </c>
      <c r="J228" s="2"/>
      <c r="K228" s="15"/>
    </row>
    <row r="229" ht="15.0" customHeight="1">
      <c r="A229" s="15"/>
      <c r="B229" s="11" t="str">
        <f t="array" ref="B229">IFERROR(INDEX('Patient Bills'!$B:$B,MATCH(A229,'Patient Bills'!$A:$A,0)),"")</f>
        <v/>
      </c>
      <c r="C229" s="15"/>
      <c r="D229" s="15"/>
      <c r="E229" s="15"/>
      <c r="F229" s="15"/>
      <c r="G229" s="20"/>
      <c r="H229" s="20"/>
      <c r="I229" s="12" t="str">
        <f t="shared" si="2"/>
        <v/>
      </c>
      <c r="J229" s="2"/>
      <c r="K229" s="15"/>
    </row>
    <row r="230" ht="15.0" customHeight="1">
      <c r="A230" s="15"/>
      <c r="B230" s="11" t="str">
        <f t="array" ref="B230">IFERROR(INDEX('Patient Bills'!$B:$B,MATCH(A230,'Patient Bills'!$A:$A,0)),"")</f>
        <v/>
      </c>
      <c r="C230" s="15"/>
      <c r="D230" s="15"/>
      <c r="E230" s="15"/>
      <c r="F230" s="15"/>
      <c r="G230" s="20"/>
      <c r="H230" s="20"/>
      <c r="I230" s="12" t="str">
        <f t="shared" si="2"/>
        <v/>
      </c>
      <c r="J230" s="2"/>
      <c r="K230" s="15"/>
    </row>
    <row r="231" ht="15.0" customHeight="1">
      <c r="A231" s="15"/>
      <c r="B231" s="11" t="str">
        <f t="array" ref="B231">IFERROR(INDEX('Patient Bills'!$B:$B,MATCH(A231,'Patient Bills'!$A:$A,0)),"")</f>
        <v/>
      </c>
      <c r="C231" s="15"/>
      <c r="D231" s="15"/>
      <c r="E231" s="15"/>
      <c r="F231" s="15"/>
      <c r="G231" s="20"/>
      <c r="H231" s="20"/>
      <c r="I231" s="12" t="str">
        <f t="shared" si="2"/>
        <v/>
      </c>
      <c r="J231" s="2"/>
      <c r="K231" s="15"/>
    </row>
    <row r="232" ht="15.0" customHeight="1">
      <c r="A232" s="15"/>
      <c r="B232" s="11" t="str">
        <f t="array" ref="B232">IFERROR(INDEX('Patient Bills'!$B:$B,MATCH(A232,'Patient Bills'!$A:$A,0)),"")</f>
        <v/>
      </c>
      <c r="C232" s="15"/>
      <c r="D232" s="15"/>
      <c r="E232" s="15"/>
      <c r="F232" s="15"/>
      <c r="G232" s="20"/>
      <c r="H232" s="20"/>
      <c r="I232" s="12" t="str">
        <f t="shared" si="2"/>
        <v/>
      </c>
      <c r="J232" s="2"/>
      <c r="K232" s="15"/>
    </row>
    <row r="233" ht="15.0" customHeight="1">
      <c r="A233" s="15"/>
      <c r="B233" s="11" t="str">
        <f t="array" ref="B233">IFERROR(INDEX('Patient Bills'!$B:$B,MATCH(A233,'Patient Bills'!$A:$A,0)),"")</f>
        <v/>
      </c>
      <c r="C233" s="15"/>
      <c r="D233" s="15"/>
      <c r="E233" s="15"/>
      <c r="F233" s="15"/>
      <c r="G233" s="20"/>
      <c r="H233" s="20"/>
      <c r="I233" s="12" t="str">
        <f t="shared" si="2"/>
        <v/>
      </c>
      <c r="J233" s="2"/>
      <c r="K233" s="15"/>
    </row>
    <row r="234" ht="15.0" customHeight="1">
      <c r="A234" s="15"/>
      <c r="B234" s="11" t="str">
        <f t="array" ref="B234">IFERROR(INDEX('Patient Bills'!$B:$B,MATCH(A234,'Patient Bills'!$A:$A,0)),"")</f>
        <v/>
      </c>
      <c r="C234" s="15"/>
      <c r="D234" s="15"/>
      <c r="E234" s="15"/>
      <c r="F234" s="15"/>
      <c r="G234" s="20"/>
      <c r="H234" s="20"/>
      <c r="I234" s="12" t="str">
        <f t="shared" si="2"/>
        <v/>
      </c>
      <c r="J234" s="2"/>
      <c r="K234" s="15"/>
    </row>
    <row r="235" ht="15.0" customHeight="1">
      <c r="A235" s="15"/>
      <c r="B235" s="11" t="str">
        <f t="array" ref="B235">IFERROR(INDEX('Patient Bills'!$B:$B,MATCH(A235,'Patient Bills'!$A:$A,0)),"")</f>
        <v/>
      </c>
      <c r="C235" s="15"/>
      <c r="D235" s="15"/>
      <c r="E235" s="15"/>
      <c r="F235" s="15"/>
      <c r="G235" s="20"/>
      <c r="H235" s="20"/>
      <c r="I235" s="12" t="str">
        <f t="shared" si="2"/>
        <v/>
      </c>
      <c r="J235" s="2"/>
      <c r="K235" s="15"/>
    </row>
    <row r="236" ht="15.0" customHeight="1">
      <c r="A236" s="15"/>
      <c r="B236" s="11" t="str">
        <f t="array" ref="B236">IFERROR(INDEX('Patient Bills'!$B:$B,MATCH(A236,'Patient Bills'!$A:$A,0)),"")</f>
        <v/>
      </c>
      <c r="C236" s="15"/>
      <c r="D236" s="15"/>
      <c r="E236" s="15"/>
      <c r="F236" s="15"/>
      <c r="G236" s="20"/>
      <c r="H236" s="20"/>
      <c r="I236" s="12" t="str">
        <f t="shared" si="2"/>
        <v/>
      </c>
      <c r="J236" s="2"/>
      <c r="K236" s="15"/>
    </row>
    <row r="237" ht="15.0" customHeight="1">
      <c r="A237" s="15"/>
      <c r="B237" s="11" t="str">
        <f t="array" ref="B237">IFERROR(INDEX('Patient Bills'!$B:$B,MATCH(A237,'Patient Bills'!$A:$A,0)),"")</f>
        <v/>
      </c>
      <c r="C237" s="15"/>
      <c r="D237" s="15"/>
      <c r="E237" s="15"/>
      <c r="F237" s="15"/>
      <c r="G237" s="20"/>
      <c r="H237" s="20"/>
      <c r="I237" s="12" t="str">
        <f t="shared" si="2"/>
        <v/>
      </c>
      <c r="J237" s="2"/>
      <c r="K237" s="15"/>
    </row>
    <row r="238" ht="15.0" customHeight="1">
      <c r="A238" s="15"/>
      <c r="B238" s="11" t="str">
        <f t="array" ref="B238">IFERROR(INDEX('Patient Bills'!$B:$B,MATCH(A238,'Patient Bills'!$A:$A,0)),"")</f>
        <v/>
      </c>
      <c r="C238" s="15"/>
      <c r="D238" s="15"/>
      <c r="E238" s="15"/>
      <c r="F238" s="15"/>
      <c r="G238" s="20"/>
      <c r="H238" s="20"/>
      <c r="I238" s="12" t="str">
        <f t="shared" si="2"/>
        <v/>
      </c>
      <c r="J238" s="2"/>
      <c r="K238" s="15"/>
    </row>
    <row r="239" ht="15.0" customHeight="1">
      <c r="A239" s="15"/>
      <c r="B239" s="11" t="str">
        <f t="array" ref="B239">IFERROR(INDEX('Patient Bills'!$B:$B,MATCH(A239,'Patient Bills'!$A:$A,0)),"")</f>
        <v/>
      </c>
      <c r="C239" s="15"/>
      <c r="D239" s="15"/>
      <c r="E239" s="15"/>
      <c r="F239" s="15"/>
      <c r="G239" s="20"/>
      <c r="H239" s="20"/>
      <c r="I239" s="12" t="str">
        <f t="shared" si="2"/>
        <v/>
      </c>
      <c r="J239" s="2"/>
      <c r="K239" s="15"/>
    </row>
    <row r="240" ht="15.0" customHeight="1">
      <c r="A240" s="15"/>
      <c r="B240" s="11" t="str">
        <f t="array" ref="B240">IFERROR(INDEX('Patient Bills'!$B:$B,MATCH(A240,'Patient Bills'!$A:$A,0)),"")</f>
        <v/>
      </c>
      <c r="C240" s="15"/>
      <c r="D240" s="15"/>
      <c r="E240" s="15"/>
      <c r="F240" s="15"/>
      <c r="G240" s="20"/>
      <c r="H240" s="20"/>
      <c r="I240" s="12" t="str">
        <f t="shared" si="2"/>
        <v/>
      </c>
      <c r="J240" s="2"/>
      <c r="K240" s="15"/>
    </row>
    <row r="241" ht="15.0" customHeight="1">
      <c r="A241" s="15"/>
      <c r="B241" s="11" t="str">
        <f t="array" ref="B241">IFERROR(INDEX('Patient Bills'!$B:$B,MATCH(A241,'Patient Bills'!$A:$A,0)),"")</f>
        <v/>
      </c>
      <c r="C241" s="15"/>
      <c r="D241" s="15"/>
      <c r="E241" s="15"/>
      <c r="F241" s="15"/>
      <c r="G241" s="20"/>
      <c r="H241" s="20"/>
      <c r="I241" s="12" t="str">
        <f t="shared" si="2"/>
        <v/>
      </c>
      <c r="J241" s="2"/>
      <c r="K241" s="15"/>
    </row>
    <row r="242" ht="15.0" customHeight="1">
      <c r="A242" s="15"/>
      <c r="B242" s="11" t="str">
        <f t="array" ref="B242">IFERROR(INDEX('Patient Bills'!$B:$B,MATCH(A242,'Patient Bills'!$A:$A,0)),"")</f>
        <v/>
      </c>
      <c r="C242" s="15"/>
      <c r="D242" s="15"/>
      <c r="E242" s="15"/>
      <c r="F242" s="15"/>
      <c r="G242" s="20"/>
      <c r="H242" s="20"/>
      <c r="I242" s="12" t="str">
        <f t="shared" si="2"/>
        <v/>
      </c>
      <c r="J242" s="2"/>
      <c r="K242" s="15"/>
    </row>
    <row r="243" ht="15.0" customHeight="1">
      <c r="A243" s="15"/>
      <c r="B243" s="11" t="str">
        <f t="array" ref="B243">IFERROR(INDEX('Patient Bills'!$B:$B,MATCH(A243,'Patient Bills'!$A:$A,0)),"")</f>
        <v/>
      </c>
      <c r="C243" s="15"/>
      <c r="D243" s="15"/>
      <c r="E243" s="15"/>
      <c r="F243" s="15"/>
      <c r="G243" s="20"/>
      <c r="H243" s="20"/>
      <c r="I243" s="12" t="str">
        <f t="shared" si="2"/>
        <v/>
      </c>
      <c r="J243" s="2"/>
      <c r="K243" s="15"/>
    </row>
    <row r="244" ht="15.0" customHeight="1">
      <c r="A244" s="15"/>
      <c r="B244" s="11" t="str">
        <f t="array" ref="B244">IFERROR(INDEX('Patient Bills'!$B:$B,MATCH(A244,'Patient Bills'!$A:$A,0)),"")</f>
        <v/>
      </c>
      <c r="C244" s="15"/>
      <c r="D244" s="15"/>
      <c r="E244" s="15"/>
      <c r="F244" s="15"/>
      <c r="G244" s="20"/>
      <c r="H244" s="20"/>
      <c r="I244" s="12" t="str">
        <f t="shared" si="2"/>
        <v/>
      </c>
      <c r="J244" s="2"/>
      <c r="K244" s="15"/>
    </row>
    <row r="245" ht="15.0" customHeight="1">
      <c r="A245" s="15"/>
      <c r="B245" s="11" t="str">
        <f t="array" ref="B245">IFERROR(INDEX('Patient Bills'!$B:$B,MATCH(A245,'Patient Bills'!$A:$A,0)),"")</f>
        <v/>
      </c>
      <c r="C245" s="15"/>
      <c r="D245" s="15"/>
      <c r="E245" s="15"/>
      <c r="F245" s="15"/>
      <c r="G245" s="20"/>
      <c r="H245" s="20"/>
      <c r="I245" s="12" t="str">
        <f t="shared" si="2"/>
        <v/>
      </c>
      <c r="J245" s="2"/>
      <c r="K245" s="15"/>
    </row>
    <row r="246" ht="15.0" customHeight="1">
      <c r="A246" s="15"/>
      <c r="B246" s="11" t="str">
        <f t="array" ref="B246">IFERROR(INDEX('Patient Bills'!$B:$B,MATCH(A246,'Patient Bills'!$A:$A,0)),"")</f>
        <v/>
      </c>
      <c r="C246" s="15"/>
      <c r="D246" s="15"/>
      <c r="E246" s="15"/>
      <c r="F246" s="15"/>
      <c r="G246" s="20"/>
      <c r="H246" s="20"/>
      <c r="I246" s="12" t="str">
        <f t="shared" si="2"/>
        <v/>
      </c>
      <c r="J246" s="2"/>
      <c r="K246" s="15"/>
    </row>
    <row r="247" ht="15.0" customHeight="1">
      <c r="A247" s="15"/>
      <c r="B247" s="11" t="str">
        <f t="array" ref="B247">IFERROR(INDEX('Patient Bills'!$B:$B,MATCH(A247,'Patient Bills'!$A:$A,0)),"")</f>
        <v/>
      </c>
      <c r="C247" s="15"/>
      <c r="D247" s="15"/>
      <c r="E247" s="15"/>
      <c r="F247" s="15"/>
      <c r="G247" s="20"/>
      <c r="H247" s="20"/>
      <c r="I247" s="12" t="str">
        <f t="shared" si="2"/>
        <v/>
      </c>
      <c r="J247" s="2"/>
      <c r="K247" s="15"/>
    </row>
    <row r="248" ht="15.0" customHeight="1">
      <c r="A248" s="15"/>
      <c r="B248" s="11" t="str">
        <f t="array" ref="B248">IFERROR(INDEX('Patient Bills'!$B:$B,MATCH(A248,'Patient Bills'!$A:$A,0)),"")</f>
        <v/>
      </c>
      <c r="C248" s="15"/>
      <c r="D248" s="15"/>
      <c r="E248" s="15"/>
      <c r="F248" s="15"/>
      <c r="G248" s="20"/>
      <c r="H248" s="20"/>
      <c r="I248" s="12" t="str">
        <f t="shared" si="2"/>
        <v/>
      </c>
      <c r="J248" s="2"/>
      <c r="K248" s="15"/>
    </row>
    <row r="249" ht="15.0" customHeight="1">
      <c r="A249" s="15"/>
      <c r="B249" s="11" t="str">
        <f t="array" ref="B249">IFERROR(INDEX('Patient Bills'!$B:$B,MATCH(A249,'Patient Bills'!$A:$A,0)),"")</f>
        <v/>
      </c>
      <c r="C249" s="15"/>
      <c r="D249" s="15"/>
      <c r="E249" s="15"/>
      <c r="F249" s="15"/>
      <c r="G249" s="20"/>
      <c r="H249" s="20"/>
      <c r="I249" s="12" t="str">
        <f t="shared" si="2"/>
        <v/>
      </c>
      <c r="J249" s="2"/>
      <c r="K249" s="15"/>
    </row>
    <row r="250" ht="15.0" customHeight="1">
      <c r="A250" s="15"/>
      <c r="B250" s="11" t="str">
        <f t="array" ref="B250">IFERROR(INDEX('Patient Bills'!$B:$B,MATCH(A250,'Patient Bills'!$A:$A,0)),"")</f>
        <v/>
      </c>
      <c r="C250" s="15"/>
      <c r="D250" s="15"/>
      <c r="E250" s="15"/>
      <c r="F250" s="15"/>
      <c r="G250" s="20"/>
      <c r="H250" s="20"/>
      <c r="I250" s="12" t="str">
        <f t="shared" si="2"/>
        <v/>
      </c>
      <c r="J250" s="2"/>
      <c r="K250" s="15"/>
    </row>
    <row r="251" ht="15.0" customHeight="1">
      <c r="A251" s="15"/>
      <c r="B251" s="11" t="str">
        <f t="array" ref="B251">IFERROR(INDEX('Patient Bills'!$B:$B,MATCH(A251,'Patient Bills'!$A:$A,0)),"")</f>
        <v/>
      </c>
      <c r="C251" s="15"/>
      <c r="D251" s="15"/>
      <c r="E251" s="15"/>
      <c r="F251" s="15"/>
      <c r="G251" s="20"/>
      <c r="H251" s="20"/>
      <c r="I251" s="12" t="str">
        <f t="shared" si="2"/>
        <v/>
      </c>
      <c r="J251" s="2"/>
      <c r="K251" s="15"/>
    </row>
    <row r="252" ht="15.0" customHeight="1">
      <c r="A252" s="15"/>
      <c r="B252" s="11" t="str">
        <f t="array" ref="B252">IFERROR(INDEX('Patient Bills'!$B:$B,MATCH(A252,'Patient Bills'!$A:$A,0)),"")</f>
        <v/>
      </c>
      <c r="C252" s="15"/>
      <c r="D252" s="15"/>
      <c r="E252" s="15"/>
      <c r="F252" s="15"/>
      <c r="G252" s="20"/>
      <c r="H252" s="20"/>
      <c r="I252" s="12" t="str">
        <f t="shared" si="2"/>
        <v/>
      </c>
      <c r="J252" s="2"/>
      <c r="K252" s="15"/>
    </row>
    <row r="253" ht="15.0" customHeight="1">
      <c r="A253" s="15"/>
      <c r="B253" s="11" t="str">
        <f t="array" ref="B253">IFERROR(INDEX('Patient Bills'!$B:$B,MATCH(A253,'Patient Bills'!$A:$A,0)),"")</f>
        <v/>
      </c>
      <c r="C253" s="15"/>
      <c r="D253" s="15"/>
      <c r="E253" s="15"/>
      <c r="F253" s="15"/>
      <c r="G253" s="20"/>
      <c r="H253" s="20"/>
      <c r="I253" s="12" t="str">
        <f t="shared" si="2"/>
        <v/>
      </c>
      <c r="J253" s="2"/>
      <c r="K253" s="15"/>
    </row>
    <row r="254" ht="15.0" customHeight="1">
      <c r="A254" s="15"/>
      <c r="B254" s="11" t="str">
        <f t="array" ref="B254">IFERROR(INDEX('Patient Bills'!$B:$B,MATCH(A254,'Patient Bills'!$A:$A,0)),"")</f>
        <v/>
      </c>
      <c r="C254" s="15"/>
      <c r="D254" s="15"/>
      <c r="E254" s="15"/>
      <c r="F254" s="15"/>
      <c r="G254" s="20"/>
      <c r="H254" s="20"/>
      <c r="I254" s="12" t="str">
        <f t="shared" si="2"/>
        <v/>
      </c>
      <c r="J254" s="2"/>
      <c r="K254" s="15"/>
    </row>
    <row r="255" ht="15.0" customHeight="1">
      <c r="A255" s="15"/>
      <c r="B255" s="11" t="str">
        <f t="array" ref="B255">IFERROR(INDEX('Patient Bills'!$B:$B,MATCH(A255,'Patient Bills'!$A:$A,0)),"")</f>
        <v/>
      </c>
      <c r="C255" s="15"/>
      <c r="D255" s="15"/>
      <c r="E255" s="15"/>
      <c r="F255" s="15"/>
      <c r="G255" s="20"/>
      <c r="H255" s="20"/>
      <c r="I255" s="12" t="str">
        <f t="shared" si="2"/>
        <v/>
      </c>
      <c r="J255" s="2"/>
      <c r="K255" s="15"/>
    </row>
    <row r="256" ht="15.0" customHeight="1">
      <c r="A256" s="15"/>
      <c r="B256" s="11" t="str">
        <f t="array" ref="B256">IFERROR(INDEX('Patient Bills'!$B:$B,MATCH(A256,'Patient Bills'!$A:$A,0)),"")</f>
        <v/>
      </c>
      <c r="C256" s="15"/>
      <c r="D256" s="15"/>
      <c r="E256" s="15"/>
      <c r="F256" s="15"/>
      <c r="G256" s="20"/>
      <c r="H256" s="20"/>
      <c r="I256" s="12" t="str">
        <f t="shared" si="2"/>
        <v/>
      </c>
      <c r="J256" s="2"/>
      <c r="K256" s="15"/>
    </row>
    <row r="257" ht="15.0" customHeight="1">
      <c r="A257" s="15"/>
      <c r="B257" s="11" t="str">
        <f t="array" ref="B257">IFERROR(INDEX('Patient Bills'!$B:$B,MATCH(A257,'Patient Bills'!$A:$A,0)),"")</f>
        <v/>
      </c>
      <c r="C257" s="15"/>
      <c r="D257" s="15"/>
      <c r="E257" s="15"/>
      <c r="F257" s="15"/>
      <c r="G257" s="20"/>
      <c r="H257" s="20"/>
      <c r="I257" s="12" t="str">
        <f t="shared" si="2"/>
        <v/>
      </c>
      <c r="J257" s="2"/>
      <c r="K257" s="15"/>
    </row>
    <row r="258" ht="15.0" customHeight="1">
      <c r="A258" s="15"/>
      <c r="B258" s="11" t="str">
        <f t="array" ref="B258">IFERROR(INDEX('Patient Bills'!$B:$B,MATCH(A258,'Patient Bills'!$A:$A,0)),"")</f>
        <v/>
      </c>
      <c r="C258" s="15"/>
      <c r="D258" s="15"/>
      <c r="E258" s="15"/>
      <c r="F258" s="15"/>
      <c r="G258" s="20"/>
      <c r="H258" s="20"/>
      <c r="I258" s="12" t="str">
        <f t="shared" si="2"/>
        <v/>
      </c>
      <c r="J258" s="2"/>
      <c r="K258" s="15"/>
    </row>
    <row r="259" ht="15.0" customHeight="1">
      <c r="A259" s="15"/>
      <c r="B259" s="11" t="str">
        <f t="array" ref="B259">IFERROR(INDEX('Patient Bills'!$B:$B,MATCH(A259,'Patient Bills'!$A:$A,0)),"")</f>
        <v/>
      </c>
      <c r="C259" s="15"/>
      <c r="D259" s="15"/>
      <c r="E259" s="15"/>
      <c r="F259" s="15"/>
      <c r="G259" s="20"/>
      <c r="H259" s="20"/>
      <c r="I259" s="12" t="str">
        <f t="shared" si="2"/>
        <v/>
      </c>
      <c r="J259" s="2"/>
      <c r="K259" s="15"/>
    </row>
    <row r="260" ht="15.0" customHeight="1">
      <c r="A260" s="15"/>
      <c r="B260" s="11" t="str">
        <f t="array" ref="B260">IFERROR(INDEX('Patient Bills'!$B:$B,MATCH(A260,'Patient Bills'!$A:$A,0)),"")</f>
        <v/>
      </c>
      <c r="C260" s="15"/>
      <c r="D260" s="15"/>
      <c r="E260" s="15"/>
      <c r="F260" s="15"/>
      <c r="G260" s="20"/>
      <c r="H260" s="20"/>
      <c r="I260" s="12" t="str">
        <f t="shared" si="2"/>
        <v/>
      </c>
      <c r="J260" s="2"/>
      <c r="K260" s="15"/>
    </row>
    <row r="261" ht="15.0" customHeight="1">
      <c r="A261" s="15"/>
      <c r="B261" s="11" t="str">
        <f t="array" ref="B261">IFERROR(INDEX('Patient Bills'!$B:$B,MATCH(A261,'Patient Bills'!$A:$A,0)),"")</f>
        <v/>
      </c>
      <c r="C261" s="15"/>
      <c r="D261" s="15"/>
      <c r="E261" s="15"/>
      <c r="F261" s="15"/>
      <c r="G261" s="20"/>
      <c r="H261" s="20"/>
      <c r="I261" s="12" t="str">
        <f t="shared" si="2"/>
        <v/>
      </c>
      <c r="J261" s="2"/>
      <c r="K261" s="15"/>
    </row>
    <row r="262" ht="15.0" customHeight="1">
      <c r="A262" s="15"/>
      <c r="B262" s="11" t="str">
        <f t="array" ref="B262">IFERROR(INDEX('Patient Bills'!$B:$B,MATCH(A262,'Patient Bills'!$A:$A,0)),"")</f>
        <v/>
      </c>
      <c r="C262" s="15"/>
      <c r="D262" s="15"/>
      <c r="E262" s="15"/>
      <c r="F262" s="15"/>
      <c r="G262" s="20"/>
      <c r="H262" s="20"/>
      <c r="I262" s="12" t="str">
        <f t="shared" si="2"/>
        <v/>
      </c>
      <c r="J262" s="2"/>
      <c r="K262" s="15"/>
    </row>
    <row r="263" ht="15.0" customHeight="1">
      <c r="A263" s="15"/>
      <c r="B263" s="11" t="str">
        <f t="array" ref="B263">IFERROR(INDEX('Patient Bills'!$B:$B,MATCH(A263,'Patient Bills'!$A:$A,0)),"")</f>
        <v/>
      </c>
      <c r="C263" s="15"/>
      <c r="D263" s="15"/>
      <c r="E263" s="15"/>
      <c r="F263" s="15"/>
      <c r="G263" s="20"/>
      <c r="H263" s="20"/>
      <c r="I263" s="12" t="str">
        <f t="shared" si="2"/>
        <v/>
      </c>
      <c r="J263" s="2"/>
      <c r="K263" s="15"/>
    </row>
    <row r="264" ht="15.0" customHeight="1">
      <c r="A264" s="15"/>
      <c r="B264" s="11" t="str">
        <f t="array" ref="B264">IFERROR(INDEX('Patient Bills'!$B:$B,MATCH(A264,'Patient Bills'!$A:$A,0)),"")</f>
        <v/>
      </c>
      <c r="C264" s="15"/>
      <c r="D264" s="15"/>
      <c r="E264" s="15"/>
      <c r="F264" s="15"/>
      <c r="G264" s="20"/>
      <c r="H264" s="20"/>
      <c r="I264" s="12" t="str">
        <f t="shared" si="2"/>
        <v/>
      </c>
      <c r="J264" s="2"/>
      <c r="K264" s="15"/>
    </row>
    <row r="265" ht="15.0" customHeight="1">
      <c r="A265" s="15"/>
      <c r="B265" s="11" t="str">
        <f t="array" ref="B265">IFERROR(INDEX('Patient Bills'!$B:$B,MATCH(A265,'Patient Bills'!$A:$A,0)),"")</f>
        <v/>
      </c>
      <c r="C265" s="15"/>
      <c r="D265" s="15"/>
      <c r="E265" s="15"/>
      <c r="F265" s="15"/>
      <c r="G265" s="20"/>
      <c r="H265" s="20"/>
      <c r="I265" s="12" t="str">
        <f t="shared" si="2"/>
        <v/>
      </c>
      <c r="J265" s="2"/>
      <c r="K265" s="15"/>
    </row>
    <row r="266" ht="15.0" customHeight="1">
      <c r="A266" s="15"/>
      <c r="B266" s="11" t="str">
        <f t="array" ref="B266">IFERROR(INDEX('Patient Bills'!$B:$B,MATCH(A266,'Patient Bills'!$A:$A,0)),"")</f>
        <v/>
      </c>
      <c r="C266" s="15"/>
      <c r="D266" s="15"/>
      <c r="E266" s="15"/>
      <c r="F266" s="15"/>
      <c r="G266" s="20"/>
      <c r="H266" s="20"/>
      <c r="I266" s="12" t="str">
        <f t="shared" si="2"/>
        <v/>
      </c>
      <c r="J266" s="2"/>
      <c r="K266" s="15"/>
    </row>
    <row r="267" ht="15.0" customHeight="1">
      <c r="A267" s="15"/>
      <c r="B267" s="11" t="str">
        <f t="array" ref="B267">IFERROR(INDEX('Patient Bills'!$B:$B,MATCH(A267,'Patient Bills'!$A:$A,0)),"")</f>
        <v/>
      </c>
      <c r="C267" s="15"/>
      <c r="D267" s="15"/>
      <c r="E267" s="15"/>
      <c r="F267" s="15"/>
      <c r="G267" s="20"/>
      <c r="H267" s="20"/>
      <c r="I267" s="12" t="str">
        <f t="shared" si="2"/>
        <v/>
      </c>
      <c r="J267" s="2"/>
      <c r="K267" s="15"/>
    </row>
    <row r="268" ht="15.0" customHeight="1">
      <c r="A268" s="15"/>
      <c r="B268" s="11" t="str">
        <f t="array" ref="B268">IFERROR(INDEX('Patient Bills'!$B:$B,MATCH(A268,'Patient Bills'!$A:$A,0)),"")</f>
        <v/>
      </c>
      <c r="C268" s="15"/>
      <c r="D268" s="15"/>
      <c r="E268" s="15"/>
      <c r="F268" s="15"/>
      <c r="G268" s="20"/>
      <c r="H268" s="20"/>
      <c r="I268" s="12" t="str">
        <f t="shared" si="2"/>
        <v/>
      </c>
      <c r="J268" s="2"/>
      <c r="K268" s="15"/>
    </row>
    <row r="269" ht="15.0" customHeight="1">
      <c r="A269" s="15"/>
      <c r="B269" s="11" t="str">
        <f t="array" ref="B269">IFERROR(INDEX('Patient Bills'!$B:$B,MATCH(A269,'Patient Bills'!$A:$A,0)),"")</f>
        <v/>
      </c>
      <c r="C269" s="15"/>
      <c r="D269" s="15"/>
      <c r="E269" s="15"/>
      <c r="F269" s="15"/>
      <c r="G269" s="20"/>
      <c r="H269" s="20"/>
      <c r="I269" s="12" t="str">
        <f t="shared" si="2"/>
        <v/>
      </c>
      <c r="J269" s="2"/>
      <c r="K269" s="15"/>
    </row>
    <row r="270" ht="15.0" customHeight="1">
      <c r="A270" s="15"/>
      <c r="B270" s="11" t="str">
        <f t="array" ref="B270">IFERROR(INDEX('Patient Bills'!$B:$B,MATCH(A270,'Patient Bills'!$A:$A,0)),"")</f>
        <v/>
      </c>
      <c r="C270" s="15"/>
      <c r="D270" s="15"/>
      <c r="E270" s="15"/>
      <c r="F270" s="15"/>
      <c r="G270" s="20"/>
      <c r="H270" s="20"/>
      <c r="I270" s="12" t="str">
        <f t="shared" si="2"/>
        <v/>
      </c>
      <c r="J270" s="2"/>
      <c r="K270" s="15"/>
    </row>
    <row r="271" ht="15.0" customHeight="1">
      <c r="A271" s="15"/>
      <c r="B271" s="11" t="str">
        <f t="array" ref="B271">IFERROR(INDEX('Patient Bills'!$B:$B,MATCH(A271,'Patient Bills'!$A:$A,0)),"")</f>
        <v/>
      </c>
      <c r="C271" s="15"/>
      <c r="D271" s="15"/>
      <c r="E271" s="15"/>
      <c r="F271" s="15"/>
      <c r="G271" s="20"/>
      <c r="H271" s="20"/>
      <c r="I271" s="12" t="str">
        <f t="shared" si="2"/>
        <v/>
      </c>
      <c r="J271" s="2"/>
      <c r="K271" s="15"/>
    </row>
    <row r="272" ht="15.0" customHeight="1">
      <c r="A272" s="15"/>
      <c r="B272" s="11" t="str">
        <f t="array" ref="B272">IFERROR(INDEX('Patient Bills'!$B:$B,MATCH(A272,'Patient Bills'!$A:$A,0)),"")</f>
        <v/>
      </c>
      <c r="C272" s="15"/>
      <c r="D272" s="15"/>
      <c r="E272" s="15"/>
      <c r="F272" s="15"/>
      <c r="G272" s="20"/>
      <c r="H272" s="20"/>
      <c r="I272" s="12" t="str">
        <f t="shared" si="2"/>
        <v/>
      </c>
      <c r="J272" s="2"/>
      <c r="K272" s="15"/>
    </row>
    <row r="273" ht="15.0" customHeight="1">
      <c r="A273" s="15"/>
      <c r="B273" s="11" t="str">
        <f t="array" ref="B273">IFERROR(INDEX('Patient Bills'!$B:$B,MATCH(A273,'Patient Bills'!$A:$A,0)),"")</f>
        <v/>
      </c>
      <c r="C273" s="15"/>
      <c r="D273" s="15"/>
      <c r="E273" s="15"/>
      <c r="F273" s="15"/>
      <c r="G273" s="20"/>
      <c r="H273" s="20"/>
      <c r="I273" s="12" t="str">
        <f t="shared" si="2"/>
        <v/>
      </c>
      <c r="J273" s="2"/>
      <c r="K273" s="15"/>
    </row>
    <row r="274" ht="15.0" customHeight="1">
      <c r="A274" s="15"/>
      <c r="B274" s="11" t="str">
        <f t="array" ref="B274">IFERROR(INDEX('Patient Bills'!$B:$B,MATCH(A274,'Patient Bills'!$A:$A,0)),"")</f>
        <v/>
      </c>
      <c r="C274" s="15"/>
      <c r="D274" s="15"/>
      <c r="E274" s="15"/>
      <c r="F274" s="15"/>
      <c r="G274" s="20"/>
      <c r="H274" s="20"/>
      <c r="I274" s="12" t="str">
        <f t="shared" si="2"/>
        <v/>
      </c>
      <c r="J274" s="2"/>
      <c r="K274" s="15"/>
    </row>
    <row r="275" ht="15.0" customHeight="1">
      <c r="A275" s="15"/>
      <c r="B275" s="11" t="str">
        <f t="array" ref="B275">IFERROR(INDEX('Patient Bills'!$B:$B,MATCH(A275,'Patient Bills'!$A:$A,0)),"")</f>
        <v/>
      </c>
      <c r="C275" s="15"/>
      <c r="D275" s="15"/>
      <c r="E275" s="15"/>
      <c r="F275" s="15"/>
      <c r="G275" s="20"/>
      <c r="H275" s="20"/>
      <c r="I275" s="12" t="str">
        <f t="shared" si="2"/>
        <v/>
      </c>
      <c r="J275" s="2"/>
      <c r="K275" s="15"/>
    </row>
    <row r="276" ht="15.0" customHeight="1">
      <c r="A276" s="15"/>
      <c r="B276" s="11" t="str">
        <f t="array" ref="B276">IFERROR(INDEX('Patient Bills'!$B:$B,MATCH(A276,'Patient Bills'!$A:$A,0)),"")</f>
        <v/>
      </c>
      <c r="C276" s="15"/>
      <c r="D276" s="15"/>
      <c r="E276" s="15"/>
      <c r="F276" s="15"/>
      <c r="G276" s="20"/>
      <c r="H276" s="20"/>
      <c r="I276" s="12" t="str">
        <f t="shared" si="2"/>
        <v/>
      </c>
      <c r="J276" s="2"/>
      <c r="K276" s="15"/>
    </row>
    <row r="277" ht="15.0" customHeight="1">
      <c r="A277" s="15"/>
      <c r="B277" s="11" t="str">
        <f t="array" ref="B277">IFERROR(INDEX('Patient Bills'!$B:$B,MATCH(A277,'Patient Bills'!$A:$A,0)),"")</f>
        <v/>
      </c>
      <c r="C277" s="15"/>
      <c r="D277" s="15"/>
      <c r="E277" s="15"/>
      <c r="F277" s="15"/>
      <c r="G277" s="20"/>
      <c r="H277" s="20"/>
      <c r="I277" s="12" t="str">
        <f t="shared" si="2"/>
        <v/>
      </c>
      <c r="J277" s="2"/>
      <c r="K277" s="15"/>
    </row>
    <row r="278" ht="15.0" customHeight="1">
      <c r="A278" s="15"/>
      <c r="B278" s="11" t="str">
        <f t="array" ref="B278">IFERROR(INDEX('Patient Bills'!$B:$B,MATCH(A278,'Patient Bills'!$A:$A,0)),"")</f>
        <v/>
      </c>
      <c r="C278" s="15"/>
      <c r="D278" s="15"/>
      <c r="E278" s="15"/>
      <c r="F278" s="15"/>
      <c r="G278" s="20"/>
      <c r="H278" s="20"/>
      <c r="I278" s="12" t="str">
        <f t="shared" si="2"/>
        <v/>
      </c>
      <c r="J278" s="2"/>
      <c r="K278" s="15"/>
    </row>
    <row r="279" ht="15.0" customHeight="1">
      <c r="A279" s="15"/>
      <c r="B279" s="11" t="str">
        <f t="array" ref="B279">IFERROR(INDEX('Patient Bills'!$B:$B,MATCH(A279,'Patient Bills'!$A:$A,0)),"")</f>
        <v/>
      </c>
      <c r="C279" s="15"/>
      <c r="D279" s="15"/>
      <c r="E279" s="15"/>
      <c r="F279" s="15"/>
      <c r="G279" s="20"/>
      <c r="H279" s="20"/>
      <c r="I279" s="12" t="str">
        <f t="shared" si="2"/>
        <v/>
      </c>
      <c r="J279" s="2"/>
      <c r="K279" s="15"/>
    </row>
    <row r="280" ht="15.0" customHeight="1">
      <c r="A280" s="15"/>
      <c r="B280" s="11" t="str">
        <f t="array" ref="B280">IFERROR(INDEX('Patient Bills'!$B:$B,MATCH(A280,'Patient Bills'!$A:$A,0)),"")</f>
        <v/>
      </c>
      <c r="C280" s="15"/>
      <c r="D280" s="15"/>
      <c r="E280" s="15"/>
      <c r="F280" s="15"/>
      <c r="G280" s="20"/>
      <c r="H280" s="20"/>
      <c r="I280" s="12" t="str">
        <f t="shared" si="2"/>
        <v/>
      </c>
      <c r="J280" s="2"/>
      <c r="K280" s="15"/>
    </row>
    <row r="281" ht="15.0" customHeight="1">
      <c r="A281" s="15"/>
      <c r="B281" s="11" t="str">
        <f t="array" ref="B281">IFERROR(INDEX('Patient Bills'!$B:$B,MATCH(A281,'Patient Bills'!$A:$A,0)),"")</f>
        <v/>
      </c>
      <c r="C281" s="15"/>
      <c r="D281" s="15"/>
      <c r="E281" s="15"/>
      <c r="F281" s="15"/>
      <c r="G281" s="20"/>
      <c r="H281" s="20"/>
      <c r="I281" s="12" t="str">
        <f t="shared" si="2"/>
        <v/>
      </c>
      <c r="J281" s="2"/>
      <c r="K281" s="15"/>
    </row>
    <row r="282" ht="15.0" customHeight="1">
      <c r="A282" s="15"/>
      <c r="B282" s="11" t="str">
        <f t="array" ref="B282">IFERROR(INDEX('Patient Bills'!$B:$B,MATCH(A282,'Patient Bills'!$A:$A,0)),"")</f>
        <v/>
      </c>
      <c r="C282" s="15"/>
      <c r="D282" s="15"/>
      <c r="E282" s="15"/>
      <c r="F282" s="15"/>
      <c r="G282" s="20"/>
      <c r="H282" s="20"/>
      <c r="I282" s="12" t="str">
        <f t="shared" si="2"/>
        <v/>
      </c>
      <c r="J282" s="2"/>
      <c r="K282" s="15"/>
    </row>
    <row r="283" ht="15.0" customHeight="1">
      <c r="A283" s="15"/>
      <c r="B283" s="11" t="str">
        <f t="array" ref="B283">IFERROR(INDEX('Patient Bills'!$B:$B,MATCH(A283,'Patient Bills'!$A:$A,0)),"")</f>
        <v/>
      </c>
      <c r="C283" s="15"/>
      <c r="D283" s="15"/>
      <c r="E283" s="15"/>
      <c r="F283" s="15"/>
      <c r="G283" s="20"/>
      <c r="H283" s="20"/>
      <c r="I283" s="12" t="str">
        <f t="shared" si="2"/>
        <v/>
      </c>
      <c r="J283" s="2"/>
      <c r="K283" s="15"/>
    </row>
    <row r="284" ht="15.0" customHeight="1">
      <c r="A284" s="15"/>
      <c r="B284" s="11" t="str">
        <f t="array" ref="B284">IFERROR(INDEX('Patient Bills'!$B:$B,MATCH(A284,'Patient Bills'!$A:$A,0)),"")</f>
        <v/>
      </c>
      <c r="C284" s="15"/>
      <c r="D284" s="15"/>
      <c r="E284" s="15"/>
      <c r="F284" s="15"/>
      <c r="G284" s="20"/>
      <c r="H284" s="20"/>
      <c r="I284" s="12" t="str">
        <f t="shared" si="2"/>
        <v/>
      </c>
      <c r="J284" s="2"/>
      <c r="K284" s="15"/>
    </row>
    <row r="285" ht="15.0" customHeight="1">
      <c r="A285" s="15"/>
      <c r="B285" s="11" t="str">
        <f t="array" ref="B285">IFERROR(INDEX('Patient Bills'!$B:$B,MATCH(A285,'Patient Bills'!$A:$A,0)),"")</f>
        <v/>
      </c>
      <c r="C285" s="15"/>
      <c r="D285" s="15"/>
      <c r="E285" s="15"/>
      <c r="F285" s="15"/>
      <c r="G285" s="20"/>
      <c r="H285" s="20"/>
      <c r="I285" s="12" t="str">
        <f t="shared" si="2"/>
        <v/>
      </c>
      <c r="J285" s="2"/>
      <c r="K285" s="15"/>
    </row>
    <row r="286" ht="15.0" customHeight="1">
      <c r="A286" s="15"/>
      <c r="B286" s="11" t="str">
        <f t="array" ref="B286">IFERROR(INDEX('Patient Bills'!$B:$B,MATCH(A286,'Patient Bills'!$A:$A,0)),"")</f>
        <v/>
      </c>
      <c r="C286" s="15"/>
      <c r="D286" s="15"/>
      <c r="E286" s="15"/>
      <c r="F286" s="15"/>
      <c r="G286" s="20"/>
      <c r="H286" s="20"/>
      <c r="I286" s="12" t="str">
        <f t="shared" si="2"/>
        <v/>
      </c>
      <c r="J286" s="2"/>
      <c r="K286" s="15"/>
    </row>
    <row r="287" ht="15.0" customHeight="1">
      <c r="A287" s="15"/>
      <c r="B287" s="11" t="str">
        <f t="array" ref="B287">IFERROR(INDEX('Patient Bills'!$B:$B,MATCH(A287,'Patient Bills'!$A:$A,0)),"")</f>
        <v/>
      </c>
      <c r="C287" s="15"/>
      <c r="D287" s="15"/>
      <c r="E287" s="15"/>
      <c r="F287" s="15"/>
      <c r="G287" s="20"/>
      <c r="H287" s="20"/>
      <c r="I287" s="12" t="str">
        <f t="shared" si="2"/>
        <v/>
      </c>
      <c r="J287" s="2"/>
      <c r="K287" s="15"/>
    </row>
    <row r="288" ht="15.0" customHeight="1">
      <c r="A288" s="15"/>
      <c r="B288" s="11" t="str">
        <f t="array" ref="B288">IFERROR(INDEX('Patient Bills'!$B:$B,MATCH(A288,'Patient Bills'!$A:$A,0)),"")</f>
        <v/>
      </c>
      <c r="C288" s="15"/>
      <c r="D288" s="15"/>
      <c r="E288" s="15"/>
      <c r="F288" s="15"/>
      <c r="G288" s="20"/>
      <c r="H288" s="20"/>
      <c r="I288" s="12" t="str">
        <f t="shared" si="2"/>
        <v/>
      </c>
      <c r="J288" s="2"/>
      <c r="K288" s="15"/>
    </row>
    <row r="289" ht="15.0" customHeight="1">
      <c r="A289" s="15"/>
      <c r="B289" s="11" t="str">
        <f t="array" ref="B289">IFERROR(INDEX('Patient Bills'!$B:$B,MATCH(A289,'Patient Bills'!$A:$A,0)),"")</f>
        <v/>
      </c>
      <c r="C289" s="15"/>
      <c r="D289" s="15"/>
      <c r="E289" s="15"/>
      <c r="F289" s="15"/>
      <c r="G289" s="20"/>
      <c r="H289" s="20"/>
      <c r="I289" s="12" t="str">
        <f t="shared" si="2"/>
        <v/>
      </c>
      <c r="J289" s="2"/>
      <c r="K289" s="15"/>
    </row>
    <row r="290" ht="15.0" customHeight="1">
      <c r="A290" s="15"/>
      <c r="B290" s="11" t="str">
        <f t="array" ref="B290">IFERROR(INDEX('Patient Bills'!$B:$B,MATCH(A290,'Patient Bills'!$A:$A,0)),"")</f>
        <v/>
      </c>
      <c r="C290" s="15"/>
      <c r="D290" s="15"/>
      <c r="E290" s="15"/>
      <c r="F290" s="15"/>
      <c r="G290" s="20"/>
      <c r="H290" s="20"/>
      <c r="I290" s="12" t="str">
        <f t="shared" si="2"/>
        <v/>
      </c>
      <c r="J290" s="2"/>
      <c r="K290" s="15"/>
    </row>
    <row r="291" ht="15.0" customHeight="1">
      <c r="A291" s="15"/>
      <c r="B291" s="11" t="str">
        <f t="array" ref="B291">IFERROR(INDEX('Patient Bills'!$B:$B,MATCH(A291,'Patient Bills'!$A:$A,0)),"")</f>
        <v/>
      </c>
      <c r="C291" s="15"/>
      <c r="D291" s="15"/>
      <c r="E291" s="15"/>
      <c r="F291" s="15"/>
      <c r="G291" s="20"/>
      <c r="H291" s="20"/>
      <c r="I291" s="12" t="str">
        <f t="shared" si="2"/>
        <v/>
      </c>
      <c r="J291" s="2"/>
      <c r="K291" s="15"/>
    </row>
    <row r="292" ht="15.0" customHeight="1">
      <c r="A292" s="15"/>
      <c r="B292" s="11" t="str">
        <f t="array" ref="B292">IFERROR(INDEX('Patient Bills'!$B:$B,MATCH(A292,'Patient Bills'!$A:$A,0)),"")</f>
        <v/>
      </c>
      <c r="C292" s="15"/>
      <c r="D292" s="15"/>
      <c r="E292" s="15"/>
      <c r="F292" s="15"/>
      <c r="G292" s="20"/>
      <c r="H292" s="20"/>
      <c r="I292" s="12" t="str">
        <f t="shared" si="2"/>
        <v/>
      </c>
      <c r="J292" s="2"/>
      <c r="K292" s="15"/>
    </row>
    <row r="293" ht="15.0" customHeight="1">
      <c r="A293" s="15"/>
      <c r="B293" s="11" t="str">
        <f t="array" ref="B293">IFERROR(INDEX('Patient Bills'!$B:$B,MATCH(A293,'Patient Bills'!$A:$A,0)),"")</f>
        <v/>
      </c>
      <c r="C293" s="15"/>
      <c r="D293" s="15"/>
      <c r="E293" s="15"/>
      <c r="F293" s="15"/>
      <c r="G293" s="20"/>
      <c r="H293" s="20"/>
      <c r="I293" s="12" t="str">
        <f t="shared" si="2"/>
        <v/>
      </c>
      <c r="J293" s="2"/>
      <c r="K293" s="15"/>
    </row>
    <row r="294" ht="15.0" customHeight="1">
      <c r="A294" s="15"/>
      <c r="B294" s="11" t="str">
        <f t="array" ref="B294">IFERROR(INDEX('Patient Bills'!$B:$B,MATCH(A294,'Patient Bills'!$A:$A,0)),"")</f>
        <v/>
      </c>
      <c r="C294" s="15"/>
      <c r="D294" s="15"/>
      <c r="E294" s="15"/>
      <c r="F294" s="15"/>
      <c r="G294" s="20"/>
      <c r="H294" s="20"/>
      <c r="I294" s="12" t="str">
        <f t="shared" si="2"/>
        <v/>
      </c>
      <c r="J294" s="2"/>
      <c r="K294" s="15"/>
    </row>
    <row r="295" ht="15.0" customHeight="1">
      <c r="A295" s="15"/>
      <c r="B295" s="11" t="str">
        <f t="array" ref="B295">IFERROR(INDEX('Patient Bills'!$B:$B,MATCH(A295,'Patient Bills'!$A:$A,0)),"")</f>
        <v/>
      </c>
      <c r="C295" s="15"/>
      <c r="D295" s="15"/>
      <c r="E295" s="15"/>
      <c r="F295" s="15"/>
      <c r="G295" s="20"/>
      <c r="H295" s="20"/>
      <c r="I295" s="12" t="str">
        <f t="shared" si="2"/>
        <v/>
      </c>
      <c r="J295" s="2"/>
      <c r="K295" s="15"/>
    </row>
    <row r="296" ht="15.0" customHeight="1">
      <c r="A296" s="15"/>
      <c r="B296" s="11" t="str">
        <f t="array" ref="B296">IFERROR(INDEX('Patient Bills'!$B:$B,MATCH(A296,'Patient Bills'!$A:$A,0)),"")</f>
        <v/>
      </c>
      <c r="C296" s="15"/>
      <c r="D296" s="15"/>
      <c r="E296" s="15"/>
      <c r="F296" s="15"/>
      <c r="G296" s="20"/>
      <c r="H296" s="20"/>
      <c r="I296" s="12" t="str">
        <f t="shared" si="2"/>
        <v/>
      </c>
      <c r="J296" s="2"/>
      <c r="K296" s="15"/>
    </row>
    <row r="297" ht="15.0" customHeight="1">
      <c r="A297" s="15"/>
      <c r="B297" s="11" t="str">
        <f t="array" ref="B297">IFERROR(INDEX('Patient Bills'!$B:$B,MATCH(A297,'Patient Bills'!$A:$A,0)),"")</f>
        <v/>
      </c>
      <c r="C297" s="15"/>
      <c r="D297" s="15"/>
      <c r="E297" s="15"/>
      <c r="F297" s="15"/>
      <c r="G297" s="20"/>
      <c r="H297" s="20"/>
      <c r="I297" s="12" t="str">
        <f t="shared" si="2"/>
        <v/>
      </c>
      <c r="J297" s="2"/>
      <c r="K297" s="15"/>
    </row>
    <row r="298" ht="15.0" customHeight="1">
      <c r="A298" s="15"/>
      <c r="B298" s="11" t="str">
        <f t="array" ref="B298">IFERROR(INDEX('Patient Bills'!$B:$B,MATCH(A298,'Patient Bills'!$A:$A,0)),"")</f>
        <v/>
      </c>
      <c r="C298" s="15"/>
      <c r="D298" s="15"/>
      <c r="E298" s="15"/>
      <c r="F298" s="15"/>
      <c r="G298" s="20"/>
      <c r="H298" s="20"/>
      <c r="I298" s="12" t="str">
        <f t="shared" si="2"/>
        <v/>
      </c>
      <c r="J298" s="2"/>
      <c r="K298" s="15"/>
    </row>
    <row r="299" ht="15.0" customHeight="1">
      <c r="A299" s="15"/>
      <c r="B299" s="11" t="str">
        <f t="array" ref="B299">IFERROR(INDEX('Patient Bills'!$B:$B,MATCH(A299,'Patient Bills'!$A:$A,0)),"")</f>
        <v/>
      </c>
      <c r="C299" s="15"/>
      <c r="D299" s="15"/>
      <c r="E299" s="15"/>
      <c r="F299" s="15"/>
      <c r="G299" s="20"/>
      <c r="H299" s="20"/>
      <c r="I299" s="12" t="str">
        <f t="shared" si="2"/>
        <v/>
      </c>
      <c r="J299" s="2"/>
      <c r="K299" s="15"/>
    </row>
    <row r="300" ht="15.0" customHeight="1">
      <c r="A300" s="15"/>
      <c r="B300" s="11" t="str">
        <f t="array" ref="B300">IFERROR(INDEX('Patient Bills'!$B:$B,MATCH(A300,'Patient Bills'!$A:$A,0)),"")</f>
        <v/>
      </c>
      <c r="C300" s="15"/>
      <c r="D300" s="15"/>
      <c r="E300" s="15"/>
      <c r="F300" s="15"/>
      <c r="G300" s="20"/>
      <c r="H300" s="20"/>
      <c r="I300" s="12" t="str">
        <f t="shared" si="2"/>
        <v/>
      </c>
      <c r="J300" s="2"/>
      <c r="K300" s="15"/>
    </row>
    <row r="301" ht="15.0" customHeight="1">
      <c r="A301" s="15"/>
      <c r="B301" s="11" t="str">
        <f t="array" ref="B301">IFERROR(INDEX('Patient Bills'!$B:$B,MATCH(A301,'Patient Bills'!$A:$A,0)),"")</f>
        <v/>
      </c>
      <c r="C301" s="15"/>
      <c r="D301" s="15"/>
      <c r="E301" s="15"/>
      <c r="F301" s="15"/>
      <c r="G301" s="20"/>
      <c r="H301" s="20"/>
      <c r="I301" s="12" t="str">
        <f t="shared" si="2"/>
        <v/>
      </c>
      <c r="J301" s="2"/>
      <c r="K301" s="15"/>
    </row>
    <row r="302" ht="15.0" customHeight="1">
      <c r="A302" s="15"/>
      <c r="B302" s="11" t="str">
        <f t="array" ref="B302">IFERROR(INDEX('Patient Bills'!$B:$B,MATCH(A302,'Patient Bills'!$A:$A,0)),"")</f>
        <v/>
      </c>
      <c r="C302" s="15"/>
      <c r="D302" s="15"/>
      <c r="E302" s="15"/>
      <c r="F302" s="15"/>
      <c r="G302" s="20"/>
      <c r="H302" s="20"/>
      <c r="I302" s="12" t="str">
        <f t="shared" si="2"/>
        <v/>
      </c>
      <c r="J302" s="2"/>
      <c r="K302" s="15"/>
    </row>
    <row r="303" ht="15.0" customHeight="1">
      <c r="A303" s="15"/>
      <c r="B303" s="11" t="str">
        <f t="array" ref="B303">IFERROR(INDEX('Patient Bills'!$B:$B,MATCH(A303,'Patient Bills'!$A:$A,0)),"")</f>
        <v/>
      </c>
      <c r="C303" s="15"/>
      <c r="D303" s="15"/>
      <c r="E303" s="15"/>
      <c r="F303" s="15"/>
      <c r="G303" s="20"/>
      <c r="H303" s="20"/>
      <c r="I303" s="12" t="str">
        <f t="shared" si="2"/>
        <v/>
      </c>
      <c r="J303" s="2"/>
      <c r="K303" s="15"/>
    </row>
    <row r="304" ht="15.0" customHeight="1">
      <c r="A304" s="15"/>
      <c r="B304" s="11" t="str">
        <f t="array" ref="B304">IFERROR(INDEX('Patient Bills'!$B:$B,MATCH(A304,'Patient Bills'!$A:$A,0)),"")</f>
        <v/>
      </c>
      <c r="C304" s="15"/>
      <c r="D304" s="15"/>
      <c r="E304" s="15"/>
      <c r="F304" s="15"/>
      <c r="G304" s="20"/>
      <c r="H304" s="20"/>
      <c r="I304" s="12" t="str">
        <f t="shared" si="2"/>
        <v/>
      </c>
      <c r="J304" s="2"/>
      <c r="K304" s="15"/>
    </row>
    <row r="305" ht="15.0" customHeight="1">
      <c r="A305" s="15"/>
      <c r="B305" s="11" t="str">
        <f t="array" ref="B305">IFERROR(INDEX('Patient Bills'!$B:$B,MATCH(A305,'Patient Bills'!$A:$A,0)),"")</f>
        <v/>
      </c>
      <c r="C305" s="15"/>
      <c r="D305" s="15"/>
      <c r="E305" s="15"/>
      <c r="F305" s="15"/>
      <c r="G305" s="20"/>
      <c r="H305" s="20"/>
      <c r="I305" s="12" t="str">
        <f t="shared" si="2"/>
        <v/>
      </c>
      <c r="J305" s="2"/>
      <c r="K305" s="15"/>
    </row>
    <row r="306" ht="15.0" customHeight="1">
      <c r="A306" s="15"/>
      <c r="B306" s="11" t="str">
        <f t="array" ref="B306">IFERROR(INDEX('Patient Bills'!$B:$B,MATCH(A306,'Patient Bills'!$A:$A,0)),"")</f>
        <v/>
      </c>
      <c r="C306" s="15"/>
      <c r="D306" s="15"/>
      <c r="E306" s="15"/>
      <c r="F306" s="15"/>
      <c r="G306" s="20"/>
      <c r="H306" s="20"/>
      <c r="I306" s="12" t="str">
        <f t="shared" si="2"/>
        <v/>
      </c>
      <c r="J306" s="2"/>
      <c r="K306" s="15"/>
    </row>
    <row r="307" ht="15.0" customHeight="1">
      <c r="A307" s="15"/>
      <c r="B307" s="11" t="str">
        <f t="array" ref="B307">IFERROR(INDEX('Patient Bills'!$B:$B,MATCH(A307,'Patient Bills'!$A:$A,0)),"")</f>
        <v/>
      </c>
      <c r="C307" s="15"/>
      <c r="D307" s="15"/>
      <c r="E307" s="15"/>
      <c r="F307" s="15"/>
      <c r="G307" s="20"/>
      <c r="H307" s="20"/>
      <c r="I307" s="12" t="str">
        <f t="shared" si="2"/>
        <v/>
      </c>
      <c r="J307" s="2"/>
      <c r="K307" s="15"/>
    </row>
    <row r="308" ht="15.0" customHeight="1">
      <c r="A308" s="15"/>
      <c r="B308" s="11" t="str">
        <f t="array" ref="B308">IFERROR(INDEX('Patient Bills'!$B:$B,MATCH(A308,'Patient Bills'!$A:$A,0)),"")</f>
        <v/>
      </c>
      <c r="C308" s="15"/>
      <c r="D308" s="15"/>
      <c r="E308" s="15"/>
      <c r="F308" s="15"/>
      <c r="G308" s="20"/>
      <c r="H308" s="20"/>
      <c r="I308" s="12" t="str">
        <f t="shared" si="2"/>
        <v/>
      </c>
      <c r="J308" s="2"/>
      <c r="K308" s="15"/>
    </row>
    <row r="309" ht="15.0" customHeight="1">
      <c r="A309" s="15"/>
      <c r="B309" s="11" t="str">
        <f t="array" ref="B309">IFERROR(INDEX('Patient Bills'!$B:$B,MATCH(A309,'Patient Bills'!$A:$A,0)),"")</f>
        <v/>
      </c>
      <c r="C309" s="15"/>
      <c r="D309" s="15"/>
      <c r="E309" s="15"/>
      <c r="F309" s="15"/>
      <c r="G309" s="20"/>
      <c r="H309" s="20"/>
      <c r="I309" s="12" t="str">
        <f t="shared" si="2"/>
        <v/>
      </c>
      <c r="J309" s="2"/>
      <c r="K309" s="15"/>
    </row>
    <row r="310" ht="15.0" customHeight="1">
      <c r="A310" s="15"/>
      <c r="B310" s="11" t="str">
        <f t="array" ref="B310">IFERROR(INDEX('Patient Bills'!$B:$B,MATCH(A310,'Patient Bills'!$A:$A,0)),"")</f>
        <v/>
      </c>
      <c r="C310" s="15"/>
      <c r="D310" s="15"/>
      <c r="E310" s="15"/>
      <c r="F310" s="15"/>
      <c r="G310" s="20"/>
      <c r="H310" s="20"/>
      <c r="I310" s="12" t="str">
        <f t="shared" si="2"/>
        <v/>
      </c>
      <c r="J310" s="2"/>
      <c r="K310" s="15"/>
    </row>
    <row r="311" ht="15.0" customHeight="1">
      <c r="A311" s="15"/>
      <c r="B311" s="11" t="str">
        <f t="array" ref="B311">IFERROR(INDEX('Patient Bills'!$B:$B,MATCH(A311,'Patient Bills'!$A:$A,0)),"")</f>
        <v/>
      </c>
      <c r="C311" s="15"/>
      <c r="D311" s="15"/>
      <c r="E311" s="15"/>
      <c r="F311" s="15"/>
      <c r="G311" s="20"/>
      <c r="H311" s="20"/>
      <c r="I311" s="12" t="str">
        <f t="shared" si="2"/>
        <v/>
      </c>
      <c r="J311" s="2"/>
      <c r="K311" s="15"/>
    </row>
    <row r="312" ht="15.0" customHeight="1">
      <c r="A312" s="15"/>
      <c r="B312" s="11" t="str">
        <f t="array" ref="B312">IFERROR(INDEX('Patient Bills'!$B:$B,MATCH(A312,'Patient Bills'!$A:$A,0)),"")</f>
        <v/>
      </c>
      <c r="C312" s="15"/>
      <c r="D312" s="15"/>
      <c r="E312" s="15"/>
      <c r="F312" s="15"/>
      <c r="G312" s="20"/>
      <c r="H312" s="20"/>
      <c r="I312" s="12" t="str">
        <f t="shared" si="2"/>
        <v/>
      </c>
      <c r="J312" s="2"/>
      <c r="K312" s="15"/>
    </row>
    <row r="313" ht="15.0" customHeight="1">
      <c r="A313" s="15"/>
      <c r="B313" s="11" t="str">
        <f t="array" ref="B313">IFERROR(INDEX('Patient Bills'!$B:$B,MATCH(A313,'Patient Bills'!$A:$A,0)),"")</f>
        <v/>
      </c>
      <c r="C313" s="15"/>
      <c r="D313" s="15"/>
      <c r="E313" s="15"/>
      <c r="F313" s="15"/>
      <c r="G313" s="20"/>
      <c r="H313" s="20"/>
      <c r="I313" s="12" t="str">
        <f t="shared" si="2"/>
        <v/>
      </c>
      <c r="J313" s="2"/>
      <c r="K313" s="15"/>
    </row>
    <row r="314" ht="15.0" customHeight="1">
      <c r="A314" s="15"/>
      <c r="B314" s="11" t="str">
        <f t="array" ref="B314">IFERROR(INDEX('Patient Bills'!$B:$B,MATCH(A314,'Patient Bills'!$A:$A,0)),"")</f>
        <v/>
      </c>
      <c r="C314" s="15"/>
      <c r="D314" s="15"/>
      <c r="E314" s="15"/>
      <c r="F314" s="15"/>
      <c r="G314" s="20"/>
      <c r="H314" s="20"/>
      <c r="I314" s="12" t="str">
        <f t="shared" si="2"/>
        <v/>
      </c>
      <c r="J314" s="2"/>
      <c r="K314" s="15"/>
    </row>
    <row r="315" ht="15.0" customHeight="1">
      <c r="A315" s="15"/>
      <c r="B315" s="11" t="str">
        <f t="array" ref="B315">IFERROR(INDEX('Patient Bills'!$B:$B,MATCH(A315,'Patient Bills'!$A:$A,0)),"")</f>
        <v/>
      </c>
      <c r="C315" s="15"/>
      <c r="D315" s="15"/>
      <c r="E315" s="15"/>
      <c r="F315" s="15"/>
      <c r="G315" s="20"/>
      <c r="H315" s="20"/>
      <c r="I315" s="12" t="str">
        <f t="shared" si="2"/>
        <v/>
      </c>
      <c r="J315" s="2"/>
      <c r="K315" s="15"/>
    </row>
    <row r="316" ht="15.0" customHeight="1">
      <c r="A316" s="15"/>
      <c r="B316" s="11" t="str">
        <f t="array" ref="B316">IFERROR(INDEX('Patient Bills'!$B:$B,MATCH(A316,'Patient Bills'!$A:$A,0)),"")</f>
        <v/>
      </c>
      <c r="C316" s="15"/>
      <c r="D316" s="15"/>
      <c r="E316" s="15"/>
      <c r="F316" s="15"/>
      <c r="G316" s="20"/>
      <c r="H316" s="20"/>
      <c r="I316" s="12" t="str">
        <f t="shared" si="2"/>
        <v/>
      </c>
      <c r="J316" s="2"/>
      <c r="K316" s="15"/>
    </row>
    <row r="317" ht="15.0" customHeight="1">
      <c r="A317" s="15"/>
      <c r="B317" s="11" t="str">
        <f t="array" ref="B317">IFERROR(INDEX('Patient Bills'!$B:$B,MATCH(A317,'Patient Bills'!$A:$A,0)),"")</f>
        <v/>
      </c>
      <c r="C317" s="15"/>
      <c r="D317" s="15"/>
      <c r="E317" s="15"/>
      <c r="F317" s="15"/>
      <c r="G317" s="20"/>
      <c r="H317" s="20"/>
      <c r="I317" s="12" t="str">
        <f t="shared" si="2"/>
        <v/>
      </c>
      <c r="J317" s="2"/>
      <c r="K317" s="15"/>
    </row>
    <row r="318" ht="15.0" customHeight="1">
      <c r="A318" s="15"/>
      <c r="B318" s="11" t="str">
        <f t="array" ref="B318">IFERROR(INDEX('Patient Bills'!$B:$B,MATCH(A318,'Patient Bills'!$A:$A,0)),"")</f>
        <v/>
      </c>
      <c r="C318" s="15"/>
      <c r="D318" s="15"/>
      <c r="E318" s="15"/>
      <c r="F318" s="15"/>
      <c r="G318" s="20"/>
      <c r="H318" s="20"/>
      <c r="I318" s="12" t="str">
        <f t="shared" si="2"/>
        <v/>
      </c>
      <c r="J318" s="2"/>
      <c r="K318" s="15"/>
    </row>
    <row r="319" ht="15.0" customHeight="1">
      <c r="A319" s="15"/>
      <c r="B319" s="11" t="str">
        <f t="array" ref="B319">IFERROR(INDEX('Patient Bills'!$B:$B,MATCH(A319,'Patient Bills'!$A:$A,0)),"")</f>
        <v/>
      </c>
      <c r="C319" s="15"/>
      <c r="D319" s="15"/>
      <c r="E319" s="15"/>
      <c r="F319" s="15"/>
      <c r="G319" s="20"/>
      <c r="H319" s="20"/>
      <c r="I319" s="12" t="str">
        <f t="shared" si="2"/>
        <v/>
      </c>
      <c r="J319" s="2"/>
      <c r="K319" s="15"/>
    </row>
    <row r="320" ht="15.0" customHeight="1">
      <c r="A320" s="15"/>
      <c r="B320" s="11" t="str">
        <f t="array" ref="B320">IFERROR(INDEX('Patient Bills'!$B:$B,MATCH(A320,'Patient Bills'!$A:$A,0)),"")</f>
        <v/>
      </c>
      <c r="C320" s="15"/>
      <c r="D320" s="15"/>
      <c r="E320" s="15"/>
      <c r="F320" s="15"/>
      <c r="G320" s="20"/>
      <c r="H320" s="20"/>
      <c r="I320" s="12" t="str">
        <f t="shared" si="2"/>
        <v/>
      </c>
      <c r="J320" s="2"/>
      <c r="K320" s="15"/>
    </row>
    <row r="321" ht="15.0" customHeight="1">
      <c r="A321" s="15"/>
      <c r="B321" s="11" t="str">
        <f t="array" ref="B321">IFERROR(INDEX('Patient Bills'!$B:$B,MATCH(A321,'Patient Bills'!$A:$A,0)),"")</f>
        <v/>
      </c>
      <c r="C321" s="15"/>
      <c r="D321" s="15"/>
      <c r="E321" s="15"/>
      <c r="F321" s="15"/>
      <c r="G321" s="20"/>
      <c r="H321" s="20"/>
      <c r="I321" s="12" t="str">
        <f t="shared" si="2"/>
        <v/>
      </c>
      <c r="J321" s="2"/>
      <c r="K321" s="15"/>
    </row>
    <row r="322" ht="15.0" customHeight="1">
      <c r="A322" s="15"/>
      <c r="B322" s="11" t="str">
        <f t="array" ref="B322">IFERROR(INDEX('Patient Bills'!$B:$B,MATCH(A322,'Patient Bills'!$A:$A,0)),"")</f>
        <v/>
      </c>
      <c r="C322" s="15"/>
      <c r="D322" s="15"/>
      <c r="E322" s="15"/>
      <c r="F322" s="15"/>
      <c r="G322" s="20"/>
      <c r="H322" s="20"/>
      <c r="I322" s="12" t="str">
        <f t="shared" si="2"/>
        <v/>
      </c>
      <c r="J322" s="2"/>
      <c r="K322" s="15"/>
    </row>
    <row r="323" ht="15.0" customHeight="1">
      <c r="A323" s="15"/>
      <c r="B323" s="11" t="str">
        <f t="array" ref="B323">IFERROR(INDEX('Patient Bills'!$B:$B,MATCH(A323,'Patient Bills'!$A:$A,0)),"")</f>
        <v/>
      </c>
      <c r="C323" s="15"/>
      <c r="D323" s="15"/>
      <c r="E323" s="15"/>
      <c r="F323" s="15"/>
      <c r="G323" s="20"/>
      <c r="H323" s="20"/>
      <c r="I323" s="12" t="str">
        <f t="shared" si="2"/>
        <v/>
      </c>
      <c r="J323" s="2"/>
      <c r="K323" s="15"/>
    </row>
    <row r="324" ht="15.0" customHeight="1">
      <c r="A324" s="15"/>
      <c r="B324" s="11" t="str">
        <f t="array" ref="B324">IFERROR(INDEX('Patient Bills'!$B:$B,MATCH(A324,'Patient Bills'!$A:$A,0)),"")</f>
        <v/>
      </c>
      <c r="C324" s="15"/>
      <c r="D324" s="15"/>
      <c r="E324" s="15"/>
      <c r="F324" s="15"/>
      <c r="G324" s="20"/>
      <c r="H324" s="20"/>
      <c r="I324" s="12" t="str">
        <f t="shared" si="2"/>
        <v/>
      </c>
      <c r="J324" s="2"/>
      <c r="K324" s="15"/>
    </row>
    <row r="325" ht="15.0" customHeight="1">
      <c r="A325" s="15"/>
      <c r="B325" s="11" t="str">
        <f t="array" ref="B325">IFERROR(INDEX('Patient Bills'!$B:$B,MATCH(A325,'Patient Bills'!$A:$A,0)),"")</f>
        <v/>
      </c>
      <c r="C325" s="15"/>
      <c r="D325" s="15"/>
      <c r="E325" s="15"/>
      <c r="F325" s="15"/>
      <c r="G325" s="20"/>
      <c r="H325" s="20"/>
      <c r="I325" s="12" t="str">
        <f t="shared" si="2"/>
        <v/>
      </c>
      <c r="J325" s="2"/>
      <c r="K325" s="15"/>
    </row>
    <row r="326" ht="15.0" customHeight="1">
      <c r="A326" s="15"/>
      <c r="B326" s="11" t="str">
        <f t="array" ref="B326">IFERROR(INDEX('Patient Bills'!$B:$B,MATCH(A326,'Patient Bills'!$A:$A,0)),"")</f>
        <v/>
      </c>
      <c r="C326" s="15"/>
      <c r="D326" s="15"/>
      <c r="E326" s="15"/>
      <c r="F326" s="15"/>
      <c r="G326" s="20"/>
      <c r="H326" s="20"/>
      <c r="I326" s="12" t="str">
        <f t="shared" si="2"/>
        <v/>
      </c>
      <c r="J326" s="2"/>
      <c r="K326" s="15"/>
    </row>
    <row r="327" ht="15.0" customHeight="1">
      <c r="A327" s="15"/>
      <c r="B327" s="11" t="str">
        <f t="array" ref="B327">IFERROR(INDEX('Patient Bills'!$B:$B,MATCH(A327,'Patient Bills'!$A:$A,0)),"")</f>
        <v/>
      </c>
      <c r="C327" s="15"/>
      <c r="D327" s="15"/>
      <c r="E327" s="15"/>
      <c r="F327" s="15"/>
      <c r="G327" s="20"/>
      <c r="H327" s="20"/>
      <c r="I327" s="12" t="str">
        <f t="shared" si="2"/>
        <v/>
      </c>
      <c r="J327" s="2"/>
      <c r="K327" s="15"/>
    </row>
    <row r="328" ht="15.0" customHeight="1">
      <c r="A328" s="15"/>
      <c r="B328" s="11" t="str">
        <f t="array" ref="B328">IFERROR(INDEX('Patient Bills'!$B:$B,MATCH(A328,'Patient Bills'!$A:$A,0)),"")</f>
        <v/>
      </c>
      <c r="C328" s="15"/>
      <c r="D328" s="15"/>
      <c r="E328" s="15"/>
      <c r="F328" s="15"/>
      <c r="G328" s="20"/>
      <c r="H328" s="20"/>
      <c r="I328" s="12" t="str">
        <f t="shared" si="2"/>
        <v/>
      </c>
      <c r="J328" s="2"/>
      <c r="K328" s="15"/>
    </row>
    <row r="329" ht="15.0" customHeight="1">
      <c r="A329" s="15"/>
      <c r="B329" s="11" t="str">
        <f t="array" ref="B329">IFERROR(INDEX('Patient Bills'!$B:$B,MATCH(A329,'Patient Bills'!$A:$A,0)),"")</f>
        <v/>
      </c>
      <c r="C329" s="15"/>
      <c r="D329" s="15"/>
      <c r="E329" s="15"/>
      <c r="F329" s="15"/>
      <c r="G329" s="20"/>
      <c r="H329" s="20"/>
      <c r="I329" s="12" t="str">
        <f t="shared" si="2"/>
        <v/>
      </c>
      <c r="J329" s="2"/>
      <c r="K329" s="15"/>
    </row>
    <row r="330" ht="15.0" customHeight="1">
      <c r="A330" s="15"/>
      <c r="B330" s="11" t="str">
        <f t="array" ref="B330">IFERROR(INDEX('Patient Bills'!$B:$B,MATCH(A330,'Patient Bills'!$A:$A,0)),"")</f>
        <v/>
      </c>
      <c r="C330" s="15"/>
      <c r="D330" s="15"/>
      <c r="E330" s="15"/>
      <c r="F330" s="15"/>
      <c r="G330" s="20"/>
      <c r="H330" s="20"/>
      <c r="I330" s="12" t="str">
        <f t="shared" si="2"/>
        <v/>
      </c>
      <c r="J330" s="2"/>
      <c r="K330" s="15"/>
    </row>
    <row r="331" ht="15.0" customHeight="1">
      <c r="A331" s="15"/>
      <c r="B331" s="11" t="str">
        <f t="array" ref="B331">IFERROR(INDEX('Patient Bills'!$B:$B,MATCH(A331,'Patient Bills'!$A:$A,0)),"")</f>
        <v/>
      </c>
      <c r="C331" s="15"/>
      <c r="D331" s="15"/>
      <c r="E331" s="15"/>
      <c r="F331" s="15"/>
      <c r="G331" s="20"/>
      <c r="H331" s="20"/>
      <c r="I331" s="12" t="str">
        <f t="shared" si="2"/>
        <v/>
      </c>
      <c r="J331" s="2"/>
      <c r="K331" s="15"/>
    </row>
    <row r="332" ht="15.0" customHeight="1">
      <c r="A332" s="15"/>
      <c r="B332" s="11" t="str">
        <f t="array" ref="B332">IFERROR(INDEX('Patient Bills'!$B:$B,MATCH(A332,'Patient Bills'!$A:$A,0)),"")</f>
        <v/>
      </c>
      <c r="C332" s="15"/>
      <c r="D332" s="15"/>
      <c r="E332" s="15"/>
      <c r="F332" s="15"/>
      <c r="G332" s="20"/>
      <c r="H332" s="20"/>
      <c r="I332" s="12" t="str">
        <f t="shared" si="2"/>
        <v/>
      </c>
      <c r="J332" s="2"/>
      <c r="K332" s="15"/>
    </row>
    <row r="333" ht="15.0" customHeight="1">
      <c r="A333" s="15"/>
      <c r="B333" s="11" t="str">
        <f t="array" ref="B333">IFERROR(INDEX('Patient Bills'!$B:$B,MATCH(A333,'Patient Bills'!$A:$A,0)),"")</f>
        <v/>
      </c>
      <c r="C333" s="15"/>
      <c r="D333" s="15"/>
      <c r="E333" s="15"/>
      <c r="F333" s="15"/>
      <c r="G333" s="20"/>
      <c r="H333" s="20"/>
      <c r="I333" s="12" t="str">
        <f t="shared" si="2"/>
        <v/>
      </c>
      <c r="J333" s="2"/>
      <c r="K333" s="15"/>
    </row>
    <row r="334" ht="15.0" customHeight="1">
      <c r="A334" s="15"/>
      <c r="B334" s="11" t="str">
        <f t="array" ref="B334">IFERROR(INDEX('Patient Bills'!$B:$B,MATCH(A334,'Patient Bills'!$A:$A,0)),"")</f>
        <v/>
      </c>
      <c r="C334" s="15"/>
      <c r="D334" s="15"/>
      <c r="E334" s="15"/>
      <c r="F334" s="15"/>
      <c r="G334" s="20"/>
      <c r="H334" s="20"/>
      <c r="I334" s="12" t="str">
        <f t="shared" si="2"/>
        <v/>
      </c>
      <c r="J334" s="2"/>
      <c r="K334" s="15"/>
    </row>
    <row r="335" ht="15.0" customHeight="1">
      <c r="A335" s="15"/>
      <c r="B335" s="11" t="str">
        <f t="array" ref="B335">IFERROR(INDEX('Patient Bills'!$B:$B,MATCH(A335,'Patient Bills'!$A:$A,0)),"")</f>
        <v/>
      </c>
      <c r="C335" s="15"/>
      <c r="D335" s="15"/>
      <c r="E335" s="15"/>
      <c r="F335" s="15"/>
      <c r="G335" s="20"/>
      <c r="H335" s="20"/>
      <c r="I335" s="12" t="str">
        <f t="shared" si="2"/>
        <v/>
      </c>
      <c r="J335" s="2"/>
      <c r="K335" s="15"/>
    </row>
    <row r="336" ht="15.0" customHeight="1">
      <c r="A336" s="15"/>
      <c r="B336" s="11" t="str">
        <f t="array" ref="B336">IFERROR(INDEX('Patient Bills'!$B:$B,MATCH(A336,'Patient Bills'!$A:$A,0)),"")</f>
        <v/>
      </c>
      <c r="C336" s="15"/>
      <c r="D336" s="15"/>
      <c r="E336" s="15"/>
      <c r="F336" s="15"/>
      <c r="G336" s="20"/>
      <c r="H336" s="20"/>
      <c r="I336" s="12" t="str">
        <f t="shared" si="2"/>
        <v/>
      </c>
      <c r="J336" s="2"/>
      <c r="K336" s="15"/>
    </row>
    <row r="337" ht="15.0" customHeight="1">
      <c r="A337" s="15"/>
      <c r="B337" s="11" t="str">
        <f t="array" ref="B337">IFERROR(INDEX('Patient Bills'!$B:$B,MATCH(A337,'Patient Bills'!$A:$A,0)),"")</f>
        <v/>
      </c>
      <c r="C337" s="15"/>
      <c r="D337" s="15"/>
      <c r="E337" s="15"/>
      <c r="F337" s="15"/>
      <c r="G337" s="20"/>
      <c r="H337" s="20"/>
      <c r="I337" s="12" t="str">
        <f t="shared" si="2"/>
        <v/>
      </c>
      <c r="J337" s="2"/>
      <c r="K337" s="15"/>
    </row>
    <row r="338" ht="15.0" customHeight="1">
      <c r="A338" s="15"/>
      <c r="B338" s="11" t="str">
        <f t="array" ref="B338">IFERROR(INDEX('Patient Bills'!$B:$B,MATCH(A338,'Patient Bills'!$A:$A,0)),"")</f>
        <v/>
      </c>
      <c r="C338" s="15"/>
      <c r="D338" s="15"/>
      <c r="E338" s="15"/>
      <c r="F338" s="15"/>
      <c r="G338" s="20"/>
      <c r="H338" s="20"/>
      <c r="I338" s="12" t="str">
        <f t="shared" si="2"/>
        <v/>
      </c>
      <c r="J338" s="2"/>
      <c r="K338" s="15"/>
    </row>
    <row r="339" ht="15.0" customHeight="1">
      <c r="A339" s="15"/>
      <c r="B339" s="11" t="str">
        <f t="array" ref="B339">IFERROR(INDEX('Patient Bills'!$B:$B,MATCH(A339,'Patient Bills'!$A:$A,0)),"")</f>
        <v/>
      </c>
      <c r="C339" s="15"/>
      <c r="D339" s="15"/>
      <c r="E339" s="15"/>
      <c r="F339" s="15"/>
      <c r="G339" s="20"/>
      <c r="H339" s="20"/>
      <c r="I339" s="12" t="str">
        <f t="shared" si="2"/>
        <v/>
      </c>
      <c r="J339" s="2"/>
      <c r="K339" s="15"/>
    </row>
    <row r="340" ht="15.0" customHeight="1">
      <c r="A340" s="15"/>
      <c r="B340" s="11" t="str">
        <f t="array" ref="B340">IFERROR(INDEX('Patient Bills'!$B:$B,MATCH(A340,'Patient Bills'!$A:$A,0)),"")</f>
        <v/>
      </c>
      <c r="C340" s="15"/>
      <c r="D340" s="15"/>
      <c r="E340" s="15"/>
      <c r="F340" s="15"/>
      <c r="G340" s="20"/>
      <c r="H340" s="20"/>
      <c r="I340" s="12" t="str">
        <f t="shared" si="2"/>
        <v/>
      </c>
      <c r="J340" s="2"/>
      <c r="K340" s="15"/>
    </row>
    <row r="341" ht="15.0" customHeight="1">
      <c r="A341" s="15"/>
      <c r="B341" s="11" t="str">
        <f t="array" ref="B341">IFERROR(INDEX('Patient Bills'!$B:$B,MATCH(A341,'Patient Bills'!$A:$A,0)),"")</f>
        <v/>
      </c>
      <c r="C341" s="15"/>
      <c r="D341" s="15"/>
      <c r="E341" s="15"/>
      <c r="F341" s="15"/>
      <c r="G341" s="20"/>
      <c r="H341" s="20"/>
      <c r="I341" s="12" t="str">
        <f t="shared" si="2"/>
        <v/>
      </c>
      <c r="J341" s="2"/>
      <c r="K341" s="15"/>
    </row>
    <row r="342" ht="15.0" customHeight="1">
      <c r="A342" s="15"/>
      <c r="B342" s="11" t="str">
        <f t="array" ref="B342">IFERROR(INDEX('Patient Bills'!$B:$B,MATCH(A342,'Patient Bills'!$A:$A,0)),"")</f>
        <v/>
      </c>
      <c r="C342" s="15"/>
      <c r="D342" s="15"/>
      <c r="E342" s="15"/>
      <c r="F342" s="15"/>
      <c r="G342" s="20"/>
      <c r="H342" s="20"/>
      <c r="I342" s="12" t="str">
        <f t="shared" si="2"/>
        <v/>
      </c>
      <c r="J342" s="2"/>
      <c r="K342" s="15"/>
    </row>
    <row r="343" ht="15.0" customHeight="1">
      <c r="A343" s="15"/>
      <c r="B343" s="11" t="str">
        <f t="array" ref="B343">IFERROR(INDEX('Patient Bills'!$B:$B,MATCH(A343,'Patient Bills'!$A:$A,0)),"")</f>
        <v/>
      </c>
      <c r="C343" s="15"/>
      <c r="D343" s="15"/>
      <c r="E343" s="15"/>
      <c r="F343" s="15"/>
      <c r="G343" s="20"/>
      <c r="H343" s="20"/>
      <c r="I343" s="12" t="str">
        <f t="shared" si="2"/>
        <v/>
      </c>
      <c r="J343" s="2"/>
      <c r="K343" s="15"/>
    </row>
    <row r="344" ht="15.0" customHeight="1">
      <c r="A344" s="15"/>
      <c r="B344" s="11" t="str">
        <f t="array" ref="B344">IFERROR(INDEX('Patient Bills'!$B:$B,MATCH(A344,'Patient Bills'!$A:$A,0)),"")</f>
        <v/>
      </c>
      <c r="C344" s="15"/>
      <c r="D344" s="15"/>
      <c r="E344" s="15"/>
      <c r="F344" s="15"/>
      <c r="G344" s="20"/>
      <c r="H344" s="20"/>
      <c r="I344" s="12" t="str">
        <f t="shared" si="2"/>
        <v/>
      </c>
      <c r="J344" s="2"/>
      <c r="K344" s="15"/>
    </row>
    <row r="345" ht="15.0" customHeight="1">
      <c r="A345" s="15"/>
      <c r="B345" s="11" t="str">
        <f t="array" ref="B345">IFERROR(INDEX('Patient Bills'!$B:$B,MATCH(A345,'Patient Bills'!$A:$A,0)),"")</f>
        <v/>
      </c>
      <c r="C345" s="15"/>
      <c r="D345" s="15"/>
      <c r="E345" s="15"/>
      <c r="F345" s="15"/>
      <c r="G345" s="20"/>
      <c r="H345" s="20"/>
      <c r="I345" s="12" t="str">
        <f t="shared" si="2"/>
        <v/>
      </c>
      <c r="J345" s="2"/>
      <c r="K345" s="15"/>
    </row>
    <row r="346" ht="15.0" customHeight="1">
      <c r="A346" s="15"/>
      <c r="B346" s="11" t="str">
        <f t="array" ref="B346">IFERROR(INDEX('Patient Bills'!$B:$B,MATCH(A346,'Patient Bills'!$A:$A,0)),"")</f>
        <v/>
      </c>
      <c r="C346" s="15"/>
      <c r="D346" s="15"/>
      <c r="E346" s="15"/>
      <c r="F346" s="15"/>
      <c r="G346" s="20"/>
      <c r="H346" s="20"/>
      <c r="I346" s="12" t="str">
        <f t="shared" si="2"/>
        <v/>
      </c>
      <c r="J346" s="2"/>
      <c r="K346" s="15"/>
    </row>
    <row r="347" ht="15.0" customHeight="1">
      <c r="A347" s="15"/>
      <c r="B347" s="11" t="str">
        <f t="array" ref="B347">IFERROR(INDEX('Patient Bills'!$B:$B,MATCH(A347,'Patient Bills'!$A:$A,0)),"")</f>
        <v/>
      </c>
      <c r="C347" s="15"/>
      <c r="D347" s="15"/>
      <c r="E347" s="15"/>
      <c r="F347" s="15"/>
      <c r="G347" s="20"/>
      <c r="H347" s="20"/>
      <c r="I347" s="12" t="str">
        <f t="shared" si="2"/>
        <v/>
      </c>
      <c r="J347" s="2"/>
      <c r="K347" s="15"/>
    </row>
    <row r="348" ht="15.0" customHeight="1">
      <c r="A348" s="15"/>
      <c r="B348" s="11" t="str">
        <f t="array" ref="B348">IFERROR(INDEX('Patient Bills'!$B:$B,MATCH(A348,'Patient Bills'!$A:$A,0)),"")</f>
        <v/>
      </c>
      <c r="C348" s="15"/>
      <c r="D348" s="15"/>
      <c r="E348" s="15"/>
      <c r="F348" s="15"/>
      <c r="G348" s="20"/>
      <c r="H348" s="20"/>
      <c r="I348" s="12" t="str">
        <f t="shared" si="2"/>
        <v/>
      </c>
      <c r="J348" s="2"/>
      <c r="K348" s="15"/>
    </row>
    <row r="349" ht="15.0" customHeight="1">
      <c r="A349" s="15"/>
      <c r="B349" s="11" t="str">
        <f t="array" ref="B349">IFERROR(INDEX('Patient Bills'!$B:$B,MATCH(A349,'Patient Bills'!$A:$A,0)),"")</f>
        <v/>
      </c>
      <c r="C349" s="15"/>
      <c r="D349" s="15"/>
      <c r="E349" s="15"/>
      <c r="F349" s="15"/>
      <c r="G349" s="20"/>
      <c r="H349" s="20"/>
      <c r="I349" s="12" t="str">
        <f t="shared" si="2"/>
        <v/>
      </c>
      <c r="J349" s="2"/>
      <c r="K349" s="15"/>
    </row>
    <row r="350" ht="15.0" customHeight="1">
      <c r="A350" s="15"/>
      <c r="B350" s="11" t="str">
        <f t="array" ref="B350">IFERROR(INDEX('Patient Bills'!$B:$B,MATCH(A350,'Patient Bills'!$A:$A,0)),"")</f>
        <v/>
      </c>
      <c r="C350" s="15"/>
      <c r="D350" s="15"/>
      <c r="E350" s="15"/>
      <c r="F350" s="15"/>
      <c r="G350" s="20"/>
      <c r="H350" s="20"/>
      <c r="I350" s="12" t="str">
        <f t="shared" si="2"/>
        <v/>
      </c>
      <c r="J350" s="2"/>
      <c r="K350" s="15"/>
    </row>
    <row r="351" ht="15.0" customHeight="1">
      <c r="A351" s="15"/>
      <c r="B351" s="11" t="str">
        <f t="array" ref="B351">IFERROR(INDEX('Patient Bills'!$B:$B,MATCH(A351,'Patient Bills'!$A:$A,0)),"")</f>
        <v/>
      </c>
      <c r="C351" s="15"/>
      <c r="D351" s="15"/>
      <c r="E351" s="15"/>
      <c r="F351" s="15"/>
      <c r="G351" s="20"/>
      <c r="H351" s="20"/>
      <c r="I351" s="12" t="str">
        <f t="shared" si="2"/>
        <v/>
      </c>
      <c r="J351" s="2"/>
      <c r="K351" s="15"/>
    </row>
    <row r="352" ht="15.0" customHeight="1">
      <c r="A352" s="15"/>
      <c r="B352" s="11" t="str">
        <f t="array" ref="B352">IFERROR(INDEX('Patient Bills'!$B:$B,MATCH(A352,'Patient Bills'!$A:$A,0)),"")</f>
        <v/>
      </c>
      <c r="C352" s="15"/>
      <c r="D352" s="15"/>
      <c r="E352" s="15"/>
      <c r="F352" s="15"/>
      <c r="G352" s="20"/>
      <c r="H352" s="20"/>
      <c r="I352" s="12" t="str">
        <f t="shared" si="2"/>
        <v/>
      </c>
      <c r="J352" s="2"/>
      <c r="K352" s="15"/>
    </row>
    <row r="353" ht="15.0" customHeight="1">
      <c r="A353" s="15"/>
      <c r="B353" s="11" t="str">
        <f t="array" ref="B353">IFERROR(INDEX('Patient Bills'!$B:$B,MATCH(A353,'Patient Bills'!$A:$A,0)),"")</f>
        <v/>
      </c>
      <c r="C353" s="15"/>
      <c r="D353" s="15"/>
      <c r="E353" s="15"/>
      <c r="F353" s="15"/>
      <c r="G353" s="20"/>
      <c r="H353" s="20"/>
      <c r="I353" s="12" t="str">
        <f t="shared" si="2"/>
        <v/>
      </c>
      <c r="J353" s="2"/>
      <c r="K353" s="15"/>
    </row>
    <row r="354" ht="15.0" customHeight="1">
      <c r="A354" s="15"/>
      <c r="B354" s="11" t="str">
        <f t="array" ref="B354">IFERROR(INDEX('Patient Bills'!$B:$B,MATCH(A354,'Patient Bills'!$A:$A,0)),"")</f>
        <v/>
      </c>
      <c r="C354" s="15"/>
      <c r="D354" s="15"/>
      <c r="E354" s="15"/>
      <c r="F354" s="15"/>
      <c r="G354" s="20"/>
      <c r="H354" s="20"/>
      <c r="I354" s="12" t="str">
        <f t="shared" si="2"/>
        <v/>
      </c>
      <c r="J354" s="2"/>
      <c r="K354" s="15"/>
    </row>
    <row r="355" ht="15.0" customHeight="1">
      <c r="A355" s="15"/>
      <c r="B355" s="11" t="str">
        <f t="array" ref="B355">IFERROR(INDEX('Patient Bills'!$B:$B,MATCH(A355,'Patient Bills'!$A:$A,0)),"")</f>
        <v/>
      </c>
      <c r="C355" s="15"/>
      <c r="D355" s="15"/>
      <c r="E355" s="15"/>
      <c r="F355" s="15"/>
      <c r="G355" s="20"/>
      <c r="H355" s="20"/>
      <c r="I355" s="12" t="str">
        <f t="shared" si="2"/>
        <v/>
      </c>
      <c r="J355" s="2"/>
      <c r="K355" s="15"/>
    </row>
    <row r="356" ht="15.0" customHeight="1">
      <c r="A356" s="15"/>
      <c r="B356" s="11" t="str">
        <f t="array" ref="B356">IFERROR(INDEX('Patient Bills'!$B:$B,MATCH(A356,'Patient Bills'!$A:$A,0)),"")</f>
        <v/>
      </c>
      <c r="C356" s="15"/>
      <c r="D356" s="15"/>
      <c r="E356" s="15"/>
      <c r="F356" s="15"/>
      <c r="G356" s="20"/>
      <c r="H356" s="20"/>
      <c r="I356" s="12" t="str">
        <f t="shared" si="2"/>
        <v/>
      </c>
      <c r="J356" s="2"/>
      <c r="K356" s="15"/>
    </row>
    <row r="357" ht="15.0" customHeight="1">
      <c r="A357" s="15"/>
      <c r="B357" s="11" t="str">
        <f t="array" ref="B357">IFERROR(INDEX('Patient Bills'!$B:$B,MATCH(A357,'Patient Bills'!$A:$A,0)),"")</f>
        <v/>
      </c>
      <c r="C357" s="15"/>
      <c r="D357" s="15"/>
      <c r="E357" s="15"/>
      <c r="F357" s="15"/>
      <c r="G357" s="20"/>
      <c r="H357" s="20"/>
      <c r="I357" s="12" t="str">
        <f t="shared" si="2"/>
        <v/>
      </c>
      <c r="J357" s="2"/>
      <c r="K357" s="15"/>
    </row>
    <row r="358" ht="15.0" customHeight="1">
      <c r="A358" s="15"/>
      <c r="B358" s="11" t="str">
        <f t="array" ref="B358">IFERROR(INDEX('Patient Bills'!$B:$B,MATCH(A358,'Patient Bills'!$A:$A,0)),"")</f>
        <v/>
      </c>
      <c r="C358" s="15"/>
      <c r="D358" s="15"/>
      <c r="E358" s="15"/>
      <c r="F358" s="15"/>
      <c r="G358" s="20"/>
      <c r="H358" s="20"/>
      <c r="I358" s="12" t="str">
        <f t="shared" si="2"/>
        <v/>
      </c>
      <c r="J358" s="2"/>
      <c r="K358" s="15"/>
    </row>
    <row r="359" ht="15.0" customHeight="1">
      <c r="A359" s="15"/>
      <c r="B359" s="11" t="str">
        <f t="array" ref="B359">IFERROR(INDEX('Patient Bills'!$B:$B,MATCH(A359,'Patient Bills'!$A:$A,0)),"")</f>
        <v/>
      </c>
      <c r="C359" s="15"/>
      <c r="D359" s="15"/>
      <c r="E359" s="15"/>
      <c r="F359" s="15"/>
      <c r="G359" s="20"/>
      <c r="H359" s="20"/>
      <c r="I359" s="12" t="str">
        <f t="shared" si="2"/>
        <v/>
      </c>
      <c r="J359" s="2"/>
      <c r="K359" s="15"/>
    </row>
    <row r="360" ht="15.0" customHeight="1">
      <c r="A360" s="15"/>
      <c r="B360" s="11" t="str">
        <f t="array" ref="B360">IFERROR(INDEX('Patient Bills'!$B:$B,MATCH(A360,'Patient Bills'!$A:$A,0)),"")</f>
        <v/>
      </c>
      <c r="C360" s="15"/>
      <c r="D360" s="15"/>
      <c r="E360" s="15"/>
      <c r="F360" s="15"/>
      <c r="G360" s="20"/>
      <c r="H360" s="20"/>
      <c r="I360" s="12" t="str">
        <f t="shared" si="2"/>
        <v/>
      </c>
      <c r="J360" s="2"/>
      <c r="K360" s="15"/>
    </row>
    <row r="361" ht="15.0" customHeight="1">
      <c r="A361" s="15"/>
      <c r="B361" s="11" t="str">
        <f t="array" ref="B361">IFERROR(INDEX('Patient Bills'!$B:$B,MATCH(A361,'Patient Bills'!$A:$A,0)),"")</f>
        <v/>
      </c>
      <c r="C361" s="15"/>
      <c r="D361" s="15"/>
      <c r="E361" s="15"/>
      <c r="F361" s="15"/>
      <c r="G361" s="20"/>
      <c r="H361" s="20"/>
      <c r="I361" s="12" t="str">
        <f t="shared" si="2"/>
        <v/>
      </c>
      <c r="J361" s="2"/>
      <c r="K361" s="15"/>
    </row>
    <row r="362" ht="15.0" customHeight="1">
      <c r="A362" s="15"/>
      <c r="B362" s="11" t="str">
        <f t="array" ref="B362">IFERROR(INDEX('Patient Bills'!$B:$B,MATCH(A362,'Patient Bills'!$A:$A,0)),"")</f>
        <v/>
      </c>
      <c r="C362" s="15"/>
      <c r="D362" s="15"/>
      <c r="E362" s="15"/>
      <c r="F362" s="15"/>
      <c r="G362" s="20"/>
      <c r="H362" s="20"/>
      <c r="I362" s="12" t="str">
        <f t="shared" si="2"/>
        <v/>
      </c>
      <c r="J362" s="2"/>
      <c r="K362" s="15"/>
    </row>
    <row r="363" ht="15.0" customHeight="1">
      <c r="A363" s="15"/>
      <c r="B363" s="11" t="str">
        <f t="array" ref="B363">IFERROR(INDEX('Patient Bills'!$B:$B,MATCH(A363,'Patient Bills'!$A:$A,0)),"")</f>
        <v/>
      </c>
      <c r="C363" s="15"/>
      <c r="D363" s="15"/>
      <c r="E363" s="15"/>
      <c r="F363" s="15"/>
      <c r="G363" s="20"/>
      <c r="H363" s="20"/>
      <c r="I363" s="12" t="str">
        <f t="shared" si="2"/>
        <v/>
      </c>
      <c r="J363" s="2"/>
      <c r="K363" s="15"/>
    </row>
    <row r="364" ht="15.0" customHeight="1">
      <c r="A364" s="15"/>
      <c r="B364" s="11" t="str">
        <f t="array" ref="B364">IFERROR(INDEX('Patient Bills'!$B:$B,MATCH(A364,'Patient Bills'!$A:$A,0)),"")</f>
        <v/>
      </c>
      <c r="C364" s="15"/>
      <c r="D364" s="15"/>
      <c r="E364" s="15"/>
      <c r="F364" s="15"/>
      <c r="G364" s="20"/>
      <c r="H364" s="20"/>
      <c r="I364" s="12" t="str">
        <f t="shared" si="2"/>
        <v/>
      </c>
      <c r="J364" s="2"/>
      <c r="K364" s="15"/>
    </row>
    <row r="365" ht="15.0" customHeight="1">
      <c r="A365" s="15"/>
      <c r="B365" s="11" t="str">
        <f t="array" ref="B365">IFERROR(INDEX('Patient Bills'!$B:$B,MATCH(A365,'Patient Bills'!$A:$A,0)),"")</f>
        <v/>
      </c>
      <c r="C365" s="15"/>
      <c r="D365" s="15"/>
      <c r="E365" s="15"/>
      <c r="F365" s="15"/>
      <c r="G365" s="20"/>
      <c r="H365" s="20"/>
      <c r="I365" s="12" t="str">
        <f t="shared" si="2"/>
        <v/>
      </c>
      <c r="J365" s="2"/>
      <c r="K365" s="15"/>
    </row>
    <row r="366" ht="15.0" customHeight="1">
      <c r="A366" s="15"/>
      <c r="B366" s="11" t="str">
        <f t="array" ref="B366">IFERROR(INDEX('Patient Bills'!$B:$B,MATCH(A366,'Patient Bills'!$A:$A,0)),"")</f>
        <v/>
      </c>
      <c r="C366" s="15"/>
      <c r="D366" s="15"/>
      <c r="E366" s="15"/>
      <c r="F366" s="15"/>
      <c r="G366" s="20"/>
      <c r="H366" s="20"/>
      <c r="I366" s="12" t="str">
        <f t="shared" si="2"/>
        <v/>
      </c>
      <c r="J366" s="2"/>
      <c r="K366" s="15"/>
    </row>
    <row r="367" ht="15.0" customHeight="1">
      <c r="A367" s="15"/>
      <c r="B367" s="11" t="str">
        <f t="array" ref="B367">IFERROR(INDEX('Patient Bills'!$B:$B,MATCH(A367,'Patient Bills'!$A:$A,0)),"")</f>
        <v/>
      </c>
      <c r="C367" s="15"/>
      <c r="D367" s="15"/>
      <c r="E367" s="15"/>
      <c r="F367" s="15"/>
      <c r="G367" s="20"/>
      <c r="H367" s="20"/>
      <c r="I367" s="12" t="str">
        <f t="shared" si="2"/>
        <v/>
      </c>
      <c r="J367" s="2"/>
      <c r="K367" s="15"/>
    </row>
    <row r="368" ht="15.0" customHeight="1">
      <c r="A368" s="15"/>
      <c r="B368" s="11" t="str">
        <f t="array" ref="B368">IFERROR(INDEX('Patient Bills'!$B:$B,MATCH(A368,'Patient Bills'!$A:$A,0)),"")</f>
        <v/>
      </c>
      <c r="C368" s="15"/>
      <c r="D368" s="15"/>
      <c r="E368" s="15"/>
      <c r="F368" s="15"/>
      <c r="G368" s="20"/>
      <c r="H368" s="20"/>
      <c r="I368" s="12" t="str">
        <f t="shared" si="2"/>
        <v/>
      </c>
      <c r="J368" s="2"/>
      <c r="K368" s="15"/>
    </row>
    <row r="369" ht="15.0" customHeight="1">
      <c r="A369" s="15"/>
      <c r="B369" s="11" t="str">
        <f t="array" ref="B369">IFERROR(INDEX('Patient Bills'!$B:$B,MATCH(A369,'Patient Bills'!$A:$A,0)),"")</f>
        <v/>
      </c>
      <c r="C369" s="15"/>
      <c r="D369" s="15"/>
      <c r="E369" s="15"/>
      <c r="F369" s="15"/>
      <c r="G369" s="20"/>
      <c r="H369" s="20"/>
      <c r="I369" s="12" t="str">
        <f t="shared" si="2"/>
        <v/>
      </c>
      <c r="J369" s="2"/>
      <c r="K369" s="15"/>
    </row>
    <row r="370" ht="15.0" customHeight="1">
      <c r="A370" s="15"/>
      <c r="B370" s="11" t="str">
        <f t="array" ref="B370">IFERROR(INDEX('Patient Bills'!$B:$B,MATCH(A370,'Patient Bills'!$A:$A,0)),"")</f>
        <v/>
      </c>
      <c r="C370" s="15"/>
      <c r="D370" s="15"/>
      <c r="E370" s="15"/>
      <c r="F370" s="15"/>
      <c r="G370" s="20"/>
      <c r="H370" s="20"/>
      <c r="I370" s="12" t="str">
        <f t="shared" si="2"/>
        <v/>
      </c>
      <c r="J370" s="2"/>
      <c r="K370" s="15"/>
    </row>
    <row r="371" ht="15.0" customHeight="1">
      <c r="A371" s="15"/>
      <c r="B371" s="11" t="str">
        <f t="array" ref="B371">IFERROR(INDEX('Patient Bills'!$B:$B,MATCH(A371,'Patient Bills'!$A:$A,0)),"")</f>
        <v/>
      </c>
      <c r="C371" s="15"/>
      <c r="D371" s="15"/>
      <c r="E371" s="15"/>
      <c r="F371" s="15"/>
      <c r="G371" s="20"/>
      <c r="H371" s="20"/>
      <c r="I371" s="12" t="str">
        <f t="shared" si="2"/>
        <v/>
      </c>
      <c r="J371" s="2"/>
      <c r="K371" s="15"/>
    </row>
    <row r="372" ht="15.0" customHeight="1">
      <c r="A372" s="15"/>
      <c r="B372" s="11" t="str">
        <f t="array" ref="B372">IFERROR(INDEX('Patient Bills'!$B:$B,MATCH(A372,'Patient Bills'!$A:$A,0)),"")</f>
        <v/>
      </c>
      <c r="C372" s="15"/>
      <c r="D372" s="15"/>
      <c r="E372" s="15"/>
      <c r="F372" s="15"/>
      <c r="G372" s="20"/>
      <c r="H372" s="20"/>
      <c r="I372" s="12" t="str">
        <f t="shared" si="2"/>
        <v/>
      </c>
      <c r="J372" s="2"/>
      <c r="K372" s="15"/>
    </row>
    <row r="373" ht="15.0" customHeight="1">
      <c r="A373" s="15"/>
      <c r="B373" s="11" t="str">
        <f t="array" ref="B373">IFERROR(INDEX('Patient Bills'!$B:$B,MATCH(A373,'Patient Bills'!$A:$A,0)),"")</f>
        <v/>
      </c>
      <c r="C373" s="15"/>
      <c r="D373" s="15"/>
      <c r="E373" s="15"/>
      <c r="F373" s="15"/>
      <c r="G373" s="20"/>
      <c r="H373" s="20"/>
      <c r="I373" s="12" t="str">
        <f t="shared" si="2"/>
        <v/>
      </c>
      <c r="J373" s="2"/>
      <c r="K373" s="15"/>
    </row>
    <row r="374" ht="15.0" customHeight="1">
      <c r="A374" s="15"/>
      <c r="B374" s="11" t="str">
        <f t="array" ref="B374">IFERROR(INDEX('Patient Bills'!$B:$B,MATCH(A374,'Patient Bills'!$A:$A,0)),"")</f>
        <v/>
      </c>
      <c r="C374" s="15"/>
      <c r="D374" s="15"/>
      <c r="E374" s="15"/>
      <c r="F374" s="15"/>
      <c r="G374" s="20"/>
      <c r="H374" s="20"/>
      <c r="I374" s="12" t="str">
        <f t="shared" si="2"/>
        <v/>
      </c>
      <c r="J374" s="2"/>
      <c r="K374" s="15"/>
    </row>
    <row r="375" ht="15.0" customHeight="1">
      <c r="A375" s="15"/>
      <c r="B375" s="11" t="str">
        <f t="array" ref="B375">IFERROR(INDEX('Patient Bills'!$B:$B,MATCH(A375,'Patient Bills'!$A:$A,0)),"")</f>
        <v/>
      </c>
      <c r="C375" s="15"/>
      <c r="D375" s="15"/>
      <c r="E375" s="15"/>
      <c r="F375" s="15"/>
      <c r="G375" s="20"/>
      <c r="H375" s="20"/>
      <c r="I375" s="12" t="str">
        <f t="shared" si="2"/>
        <v/>
      </c>
      <c r="J375" s="2"/>
      <c r="K375" s="15"/>
    </row>
    <row r="376" ht="15.0" customHeight="1">
      <c r="A376" s="15"/>
      <c r="B376" s="11" t="str">
        <f t="array" ref="B376">IFERROR(INDEX('Patient Bills'!$B:$B,MATCH(A376,'Patient Bills'!$A:$A,0)),"")</f>
        <v/>
      </c>
      <c r="C376" s="15"/>
      <c r="D376" s="15"/>
      <c r="E376" s="15"/>
      <c r="F376" s="15"/>
      <c r="G376" s="20"/>
      <c r="H376" s="20"/>
      <c r="I376" s="12" t="str">
        <f t="shared" si="2"/>
        <v/>
      </c>
      <c r="J376" s="2"/>
      <c r="K376" s="15"/>
    </row>
    <row r="377" ht="15.0" customHeight="1">
      <c r="A377" s="15"/>
      <c r="B377" s="11" t="str">
        <f t="array" ref="B377">IFERROR(INDEX('Patient Bills'!$B:$B,MATCH(A377,'Patient Bills'!$A:$A,0)),"")</f>
        <v/>
      </c>
      <c r="C377" s="15"/>
      <c r="D377" s="15"/>
      <c r="E377" s="15"/>
      <c r="F377" s="15"/>
      <c r="G377" s="20"/>
      <c r="H377" s="20"/>
      <c r="I377" s="12" t="str">
        <f t="shared" si="2"/>
        <v/>
      </c>
      <c r="J377" s="2"/>
      <c r="K377" s="15"/>
    </row>
    <row r="378" ht="15.0" customHeight="1">
      <c r="A378" s="15"/>
      <c r="B378" s="11" t="str">
        <f t="array" ref="B378">IFERROR(INDEX('Patient Bills'!$B:$B,MATCH(A378,'Patient Bills'!$A:$A,0)),"")</f>
        <v/>
      </c>
      <c r="C378" s="15"/>
      <c r="D378" s="15"/>
      <c r="E378" s="15"/>
      <c r="F378" s="15"/>
      <c r="G378" s="20"/>
      <c r="H378" s="20"/>
      <c r="I378" s="12" t="str">
        <f t="shared" si="2"/>
        <v/>
      </c>
      <c r="J378" s="2"/>
      <c r="K378" s="15"/>
    </row>
    <row r="379" ht="15.0" customHeight="1">
      <c r="A379" s="15"/>
      <c r="B379" s="11" t="str">
        <f t="array" ref="B379">IFERROR(INDEX('Patient Bills'!$B:$B,MATCH(A379,'Patient Bills'!$A:$A,0)),"")</f>
        <v/>
      </c>
      <c r="C379" s="15"/>
      <c r="D379" s="15"/>
      <c r="E379" s="15"/>
      <c r="F379" s="15"/>
      <c r="G379" s="20"/>
      <c r="H379" s="20"/>
      <c r="I379" s="12" t="str">
        <f t="shared" si="2"/>
        <v/>
      </c>
      <c r="J379" s="2"/>
      <c r="K379" s="15"/>
    </row>
    <row r="380" ht="15.0" customHeight="1">
      <c r="A380" s="15"/>
      <c r="B380" s="11" t="str">
        <f t="array" ref="B380">IFERROR(INDEX('Patient Bills'!$B:$B,MATCH(A380,'Patient Bills'!$A:$A,0)),"")</f>
        <v/>
      </c>
      <c r="C380" s="15"/>
      <c r="D380" s="15"/>
      <c r="E380" s="15"/>
      <c r="F380" s="15"/>
      <c r="G380" s="20"/>
      <c r="H380" s="20"/>
      <c r="I380" s="12" t="str">
        <f t="shared" si="2"/>
        <v/>
      </c>
      <c r="J380" s="2"/>
      <c r="K380" s="15"/>
    </row>
    <row r="381" ht="15.0" customHeight="1">
      <c r="A381" s="15"/>
      <c r="B381" s="11" t="str">
        <f t="array" ref="B381">IFERROR(INDEX('Patient Bills'!$B:$B,MATCH(A381,'Patient Bills'!$A:$A,0)),"")</f>
        <v/>
      </c>
      <c r="C381" s="15"/>
      <c r="D381" s="15"/>
      <c r="E381" s="15"/>
      <c r="F381" s="15"/>
      <c r="G381" s="20"/>
      <c r="H381" s="20"/>
      <c r="I381" s="12" t="str">
        <f t="shared" si="2"/>
        <v/>
      </c>
      <c r="J381" s="2"/>
      <c r="K381" s="15"/>
    </row>
    <row r="382" ht="15.0" customHeight="1">
      <c r="A382" s="15"/>
      <c r="B382" s="11" t="str">
        <f t="array" ref="B382">IFERROR(INDEX('Patient Bills'!$B:$B,MATCH(A382,'Patient Bills'!$A:$A,0)),"")</f>
        <v/>
      </c>
      <c r="C382" s="15"/>
      <c r="D382" s="15"/>
      <c r="E382" s="15"/>
      <c r="F382" s="15"/>
      <c r="G382" s="20"/>
      <c r="H382" s="20"/>
      <c r="I382" s="12" t="str">
        <f t="shared" si="2"/>
        <v/>
      </c>
      <c r="J382" s="2"/>
      <c r="K382" s="15"/>
    </row>
    <row r="383" ht="15.0" customHeight="1">
      <c r="A383" s="15"/>
      <c r="B383" s="11" t="str">
        <f t="array" ref="B383">IFERROR(INDEX('Patient Bills'!$B:$B,MATCH(A383,'Patient Bills'!$A:$A,0)),"")</f>
        <v/>
      </c>
      <c r="C383" s="15"/>
      <c r="D383" s="15"/>
      <c r="E383" s="15"/>
      <c r="F383" s="15"/>
      <c r="G383" s="20"/>
      <c r="H383" s="20"/>
      <c r="I383" s="12" t="str">
        <f t="shared" si="2"/>
        <v/>
      </c>
      <c r="J383" s="2"/>
      <c r="K383" s="15"/>
    </row>
    <row r="384" ht="15.0" customHeight="1">
      <c r="A384" s="15"/>
      <c r="B384" s="11" t="str">
        <f t="array" ref="B384">IFERROR(INDEX('Patient Bills'!$B:$B,MATCH(A384,'Patient Bills'!$A:$A,0)),"")</f>
        <v/>
      </c>
      <c r="C384" s="15"/>
      <c r="D384" s="15"/>
      <c r="E384" s="15"/>
      <c r="F384" s="15"/>
      <c r="G384" s="20"/>
      <c r="H384" s="20"/>
      <c r="I384" s="12" t="str">
        <f t="shared" si="2"/>
        <v/>
      </c>
      <c r="J384" s="2"/>
      <c r="K384" s="15"/>
    </row>
    <row r="385" ht="15.0" customHeight="1">
      <c r="A385" s="15"/>
      <c r="B385" s="11" t="str">
        <f t="array" ref="B385">IFERROR(INDEX('Patient Bills'!$B:$B,MATCH(A385,'Patient Bills'!$A:$A,0)),"")</f>
        <v/>
      </c>
      <c r="C385" s="15"/>
      <c r="D385" s="15"/>
      <c r="E385" s="15"/>
      <c r="F385" s="15"/>
      <c r="G385" s="20"/>
      <c r="H385" s="20"/>
      <c r="I385" s="12" t="str">
        <f t="shared" si="2"/>
        <v/>
      </c>
      <c r="J385" s="2"/>
      <c r="K385" s="15"/>
    </row>
    <row r="386" ht="15.0" customHeight="1">
      <c r="A386" s="15"/>
      <c r="B386" s="11" t="str">
        <f t="array" ref="B386">IFERROR(INDEX('Patient Bills'!$B:$B,MATCH(A386,'Patient Bills'!$A:$A,0)),"")</f>
        <v/>
      </c>
      <c r="C386" s="15"/>
      <c r="D386" s="15"/>
      <c r="E386" s="15"/>
      <c r="F386" s="15"/>
      <c r="G386" s="20"/>
      <c r="H386" s="20"/>
      <c r="I386" s="12" t="str">
        <f t="shared" si="2"/>
        <v/>
      </c>
      <c r="J386" s="2"/>
      <c r="K386" s="15"/>
    </row>
    <row r="387" ht="15.0" customHeight="1">
      <c r="A387" s="15"/>
      <c r="B387" s="11" t="str">
        <f t="array" ref="B387">IFERROR(INDEX('Patient Bills'!$B:$B,MATCH(A387,'Patient Bills'!$A:$A,0)),"")</f>
        <v/>
      </c>
      <c r="C387" s="15"/>
      <c r="D387" s="15"/>
      <c r="E387" s="15"/>
      <c r="F387" s="15"/>
      <c r="G387" s="20"/>
      <c r="H387" s="20"/>
      <c r="I387" s="12" t="str">
        <f t="shared" si="2"/>
        <v/>
      </c>
      <c r="J387" s="2"/>
      <c r="K387" s="15"/>
    </row>
    <row r="388" ht="15.0" customHeight="1">
      <c r="A388" s="15"/>
      <c r="B388" s="11" t="str">
        <f t="array" ref="B388">IFERROR(INDEX('Patient Bills'!$B:$B,MATCH(A388,'Patient Bills'!$A:$A,0)),"")</f>
        <v/>
      </c>
      <c r="C388" s="15"/>
      <c r="D388" s="15"/>
      <c r="E388" s="15"/>
      <c r="F388" s="15"/>
      <c r="G388" s="20"/>
      <c r="H388" s="20"/>
      <c r="I388" s="12" t="str">
        <f t="shared" si="2"/>
        <v/>
      </c>
      <c r="J388" s="2"/>
      <c r="K388" s="15"/>
    </row>
    <row r="389" ht="15.0" customHeight="1">
      <c r="A389" s="15"/>
      <c r="B389" s="11" t="str">
        <f t="array" ref="B389">IFERROR(INDEX('Patient Bills'!$B:$B,MATCH(A389,'Patient Bills'!$A:$A,0)),"")</f>
        <v/>
      </c>
      <c r="C389" s="15"/>
      <c r="D389" s="15"/>
      <c r="E389" s="15"/>
      <c r="F389" s="15"/>
      <c r="G389" s="20"/>
      <c r="H389" s="20"/>
      <c r="I389" s="12" t="str">
        <f t="shared" si="2"/>
        <v/>
      </c>
      <c r="J389" s="2"/>
      <c r="K389" s="15"/>
    </row>
    <row r="390" ht="15.0" customHeight="1">
      <c r="A390" s="15"/>
      <c r="B390" s="11" t="str">
        <f t="array" ref="B390">IFERROR(INDEX('Patient Bills'!$B:$B,MATCH(A390,'Patient Bills'!$A:$A,0)),"")</f>
        <v/>
      </c>
      <c r="C390" s="15"/>
      <c r="D390" s="15"/>
      <c r="E390" s="15"/>
      <c r="F390" s="15"/>
      <c r="G390" s="20"/>
      <c r="H390" s="20"/>
      <c r="I390" s="12" t="str">
        <f t="shared" si="2"/>
        <v/>
      </c>
      <c r="J390" s="2"/>
      <c r="K390" s="15"/>
    </row>
    <row r="391" ht="15.0" customHeight="1">
      <c r="A391" s="15"/>
      <c r="B391" s="11" t="str">
        <f t="array" ref="B391">IFERROR(INDEX('Patient Bills'!$B:$B,MATCH(A391,'Patient Bills'!$A:$A,0)),"")</f>
        <v/>
      </c>
      <c r="C391" s="15"/>
      <c r="D391" s="15"/>
      <c r="E391" s="15"/>
      <c r="F391" s="15"/>
      <c r="G391" s="20"/>
      <c r="H391" s="20"/>
      <c r="I391" s="12" t="str">
        <f t="shared" si="2"/>
        <v/>
      </c>
      <c r="J391" s="2"/>
      <c r="K391" s="15"/>
    </row>
    <row r="392" ht="15.0" customHeight="1">
      <c r="A392" s="15"/>
      <c r="B392" s="11" t="str">
        <f t="array" ref="B392">IFERROR(INDEX('Patient Bills'!$B:$B,MATCH(A392,'Patient Bills'!$A:$A,0)),"")</f>
        <v/>
      </c>
      <c r="C392" s="15"/>
      <c r="D392" s="15"/>
      <c r="E392" s="15"/>
      <c r="F392" s="15"/>
      <c r="G392" s="20"/>
      <c r="H392" s="20"/>
      <c r="I392" s="12" t="str">
        <f t="shared" si="2"/>
        <v/>
      </c>
      <c r="J392" s="2"/>
      <c r="K392" s="15"/>
    </row>
    <row r="393" ht="15.0" customHeight="1">
      <c r="A393" s="15"/>
      <c r="B393" s="11" t="str">
        <f t="array" ref="B393">IFERROR(INDEX('Patient Bills'!$B:$B,MATCH(A393,'Patient Bills'!$A:$A,0)),"")</f>
        <v/>
      </c>
      <c r="C393" s="15"/>
      <c r="D393" s="15"/>
      <c r="E393" s="15"/>
      <c r="F393" s="15"/>
      <c r="G393" s="20"/>
      <c r="H393" s="20"/>
      <c r="I393" s="12" t="str">
        <f t="shared" si="2"/>
        <v/>
      </c>
      <c r="J393" s="2"/>
      <c r="K393" s="15"/>
    </row>
    <row r="394" ht="15.0" customHeight="1">
      <c r="A394" s="15"/>
      <c r="B394" s="11" t="str">
        <f t="array" ref="B394">IFERROR(INDEX('Patient Bills'!$B:$B,MATCH(A394,'Patient Bills'!$A:$A,0)),"")</f>
        <v/>
      </c>
      <c r="C394" s="15"/>
      <c r="D394" s="15"/>
      <c r="E394" s="15"/>
      <c r="F394" s="15"/>
      <c r="G394" s="20"/>
      <c r="H394" s="20"/>
      <c r="I394" s="12" t="str">
        <f t="shared" si="2"/>
        <v/>
      </c>
      <c r="J394" s="2"/>
      <c r="K394" s="15"/>
    </row>
    <row r="395" ht="15.0" customHeight="1">
      <c r="A395" s="15"/>
      <c r="B395" s="11" t="str">
        <f t="array" ref="B395">IFERROR(INDEX('Patient Bills'!$B:$B,MATCH(A395,'Patient Bills'!$A:$A,0)),"")</f>
        <v/>
      </c>
      <c r="C395" s="15"/>
      <c r="D395" s="15"/>
      <c r="E395" s="15"/>
      <c r="F395" s="15"/>
      <c r="G395" s="20"/>
      <c r="H395" s="20"/>
      <c r="I395" s="12" t="str">
        <f t="shared" si="2"/>
        <v/>
      </c>
      <c r="J395" s="2"/>
      <c r="K395" s="15"/>
    </row>
    <row r="396" ht="15.0" customHeight="1">
      <c r="A396" s="15"/>
      <c r="B396" s="11" t="str">
        <f t="array" ref="B396">IFERROR(INDEX('Patient Bills'!$B:$B,MATCH(A396,'Patient Bills'!$A:$A,0)),"")</f>
        <v/>
      </c>
      <c r="C396" s="15"/>
      <c r="D396" s="15"/>
      <c r="E396" s="15"/>
      <c r="F396" s="15"/>
      <c r="G396" s="20"/>
      <c r="H396" s="20"/>
      <c r="I396" s="12" t="str">
        <f t="shared" si="2"/>
        <v/>
      </c>
      <c r="J396" s="2"/>
      <c r="K396" s="15"/>
    </row>
    <row r="397" ht="15.0" customHeight="1">
      <c r="A397" s="15"/>
      <c r="B397" s="11" t="str">
        <f t="array" ref="B397">IFERROR(INDEX('Patient Bills'!$B:$B,MATCH(A397,'Patient Bills'!$A:$A,0)),"")</f>
        <v/>
      </c>
      <c r="C397" s="15"/>
      <c r="D397" s="15"/>
      <c r="E397" s="15"/>
      <c r="F397" s="15"/>
      <c r="G397" s="20"/>
      <c r="H397" s="20"/>
      <c r="I397" s="12" t="str">
        <f t="shared" si="2"/>
        <v/>
      </c>
      <c r="J397" s="2"/>
      <c r="K397" s="15"/>
    </row>
    <row r="398" ht="15.0" customHeight="1">
      <c r="A398" s="15"/>
      <c r="B398" s="11" t="str">
        <f t="array" ref="B398">IFERROR(INDEX('Patient Bills'!$B:$B,MATCH(A398,'Patient Bills'!$A:$A,0)),"")</f>
        <v/>
      </c>
      <c r="C398" s="15"/>
      <c r="D398" s="15"/>
      <c r="E398" s="15"/>
      <c r="F398" s="15"/>
      <c r="G398" s="20"/>
      <c r="H398" s="20"/>
      <c r="I398" s="12" t="str">
        <f t="shared" si="2"/>
        <v/>
      </c>
      <c r="J398" s="2"/>
      <c r="K398" s="15"/>
    </row>
    <row r="399" ht="15.0" customHeight="1">
      <c r="A399" s="15"/>
      <c r="B399" s="11" t="str">
        <f t="array" ref="B399">IFERROR(INDEX('Patient Bills'!$B:$B,MATCH(A399,'Patient Bills'!$A:$A,0)),"")</f>
        <v/>
      </c>
      <c r="C399" s="15"/>
      <c r="D399" s="15"/>
      <c r="E399" s="15"/>
      <c r="F399" s="15"/>
      <c r="G399" s="20"/>
      <c r="H399" s="20"/>
      <c r="I399" s="12" t="str">
        <f t="shared" si="2"/>
        <v/>
      </c>
      <c r="J399" s="2"/>
      <c r="K399" s="15"/>
    </row>
    <row r="400" ht="15.0" customHeight="1">
      <c r="A400" s="15"/>
      <c r="B400" s="11" t="str">
        <f t="array" ref="B400">IFERROR(INDEX('Patient Bills'!$B:$B,MATCH(A400,'Patient Bills'!$A:$A,0)),"")</f>
        <v/>
      </c>
      <c r="C400" s="15"/>
      <c r="D400" s="15"/>
      <c r="E400" s="15"/>
      <c r="F400" s="15"/>
      <c r="G400" s="20"/>
      <c r="H400" s="20"/>
      <c r="I400" s="12" t="str">
        <f t="shared" si="2"/>
        <v/>
      </c>
      <c r="J400" s="2"/>
      <c r="K400" s="15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2">
    <mergeCell ref="A1:J1"/>
    <mergeCell ref="A2:J2"/>
  </mergeCells>
  <dataValidations>
    <dataValidation type="list" allowBlank="1" sqref="E5:E400">
      <formula1>"Fixed Package,Hourly"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3" width="40.0"/>
    <col customWidth="1" min="4" max="26" width="8.71"/>
  </cols>
  <sheetData>
    <row r="1" ht="21.75" customHeight="1">
      <c r="A1" s="1" t="s">
        <v>1</v>
      </c>
    </row>
    <row r="2" ht="15.0" customHeight="1">
      <c r="A2" s="3" t="s">
        <v>4</v>
      </c>
    </row>
    <row r="3">
      <c r="A3" s="2"/>
      <c r="B3" s="2"/>
      <c r="C3" s="2"/>
    </row>
    <row r="4" ht="15.0" customHeight="1">
      <c r="A4" s="7" t="s">
        <v>7</v>
      </c>
      <c r="B4" s="7" t="s">
        <v>13</v>
      </c>
      <c r="C4" s="7" t="s">
        <v>17</v>
      </c>
    </row>
    <row r="5" ht="15.0" customHeight="1">
      <c r="A5" s="8" t="s">
        <v>21</v>
      </c>
      <c r="B5" s="9">
        <v>3500.0</v>
      </c>
      <c r="C5" s="10" t="s">
        <v>30</v>
      </c>
    </row>
    <row r="6" ht="15.0" customHeight="1">
      <c r="A6" s="8" t="s">
        <v>37</v>
      </c>
      <c r="B6" s="9">
        <v>2000.0</v>
      </c>
      <c r="C6" s="10" t="s">
        <v>42</v>
      </c>
    </row>
    <row r="7" ht="15.0" customHeight="1">
      <c r="A7" s="8" t="s">
        <v>47</v>
      </c>
      <c r="B7" s="9">
        <v>800.0</v>
      </c>
      <c r="C7" s="10" t="s">
        <v>54</v>
      </c>
    </row>
    <row r="8" ht="15.0" customHeight="1">
      <c r="A8" s="8" t="s">
        <v>55</v>
      </c>
      <c r="B8" s="9">
        <v>200.0</v>
      </c>
      <c r="C8" s="10" t="s">
        <v>58</v>
      </c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 ht="15.75" customHeight="1">
      <c r="A21" s="2"/>
      <c r="B21" s="2"/>
      <c r="C21" s="2"/>
    </row>
    <row r="22" ht="15.75" customHeight="1">
      <c r="A22" s="2"/>
      <c r="B22" s="2"/>
      <c r="C22" s="2"/>
    </row>
    <row r="23" ht="15.75" customHeight="1">
      <c r="A23" s="2"/>
      <c r="B23" s="2"/>
      <c r="C23" s="2"/>
    </row>
    <row r="24" ht="15.75" customHeight="1">
      <c r="A24" s="2"/>
      <c r="B24" s="2"/>
      <c r="C24" s="2"/>
    </row>
    <row r="25" ht="15.75" customHeight="1">
      <c r="A25" s="2"/>
      <c r="B25" s="2"/>
      <c r="C25" s="2"/>
    </row>
    <row r="26" ht="15.75" customHeight="1">
      <c r="A26" s="2"/>
      <c r="B26" s="2"/>
      <c r="C26" s="2"/>
    </row>
    <row r="27" ht="15.75" customHeight="1">
      <c r="A27" s="2"/>
      <c r="B27" s="2"/>
      <c r="C27" s="2"/>
    </row>
    <row r="28" ht="15.75" customHeight="1">
      <c r="A28" s="2"/>
      <c r="B28" s="2"/>
      <c r="C28" s="2"/>
    </row>
    <row r="29" ht="15.75" customHeight="1">
      <c r="A29" s="2"/>
      <c r="B29" s="2"/>
      <c r="C29" s="2"/>
    </row>
    <row r="30" ht="15.75" customHeight="1">
      <c r="A30" s="2"/>
      <c r="B30" s="2"/>
      <c r="C30" s="2"/>
    </row>
    <row r="31" ht="15.75" customHeight="1">
      <c r="A31" s="2"/>
      <c r="B31" s="2"/>
      <c r="C31" s="2"/>
    </row>
    <row r="32" ht="15.75" customHeight="1">
      <c r="A32" s="2"/>
      <c r="B32" s="2"/>
      <c r="C32" s="2"/>
    </row>
    <row r="33" ht="15.75" customHeight="1">
      <c r="A33" s="2"/>
      <c r="B33" s="2"/>
      <c r="C33" s="2"/>
    </row>
    <row r="34" ht="15.75" customHeight="1">
      <c r="A34" s="2"/>
      <c r="B34" s="2"/>
      <c r="C34" s="2"/>
    </row>
    <row r="35" ht="15.75" customHeight="1">
      <c r="A35" s="2"/>
      <c r="B35" s="2"/>
      <c r="C35" s="2"/>
    </row>
    <row r="36" ht="15.75" customHeight="1">
      <c r="A36" s="2"/>
      <c r="B36" s="2"/>
      <c r="C36" s="2"/>
    </row>
    <row r="37" ht="15.75" customHeight="1">
      <c r="A37" s="2"/>
      <c r="B37" s="2"/>
      <c r="C37" s="2"/>
    </row>
    <row r="38" ht="15.75" customHeight="1">
      <c r="A38" s="2"/>
      <c r="B38" s="2"/>
      <c r="C38" s="2"/>
    </row>
    <row r="39" ht="15.75" customHeight="1">
      <c r="A39" s="2"/>
      <c r="B39" s="2"/>
      <c r="C39" s="2"/>
    </row>
    <row r="40" ht="15.75" customHeight="1">
      <c r="A40" s="2"/>
      <c r="B40" s="2"/>
      <c r="C40" s="2"/>
    </row>
    <row r="41" ht="15.75" customHeight="1">
      <c r="A41" s="2"/>
      <c r="B41" s="2"/>
      <c r="C41" s="2"/>
    </row>
    <row r="42" ht="15.75" customHeight="1">
      <c r="A42" s="2"/>
      <c r="B42" s="2"/>
      <c r="C42" s="2"/>
    </row>
    <row r="43" ht="15.75" customHeight="1">
      <c r="A43" s="2"/>
      <c r="B43" s="2"/>
      <c r="C43" s="2"/>
    </row>
    <row r="44" ht="15.75" customHeight="1">
      <c r="A44" s="2"/>
      <c r="B44" s="2"/>
      <c r="C44" s="2"/>
    </row>
    <row r="45" ht="15.75" customHeight="1">
      <c r="A45" s="2"/>
      <c r="B45" s="2"/>
      <c r="C45" s="2"/>
    </row>
    <row r="46" ht="15.75" customHeight="1">
      <c r="A46" s="2"/>
      <c r="B46" s="2"/>
      <c r="C46" s="2"/>
    </row>
    <row r="47" ht="15.75" customHeight="1">
      <c r="A47" s="2"/>
      <c r="B47" s="2"/>
      <c r="C47" s="2"/>
    </row>
    <row r="48" ht="15.75" customHeight="1">
      <c r="A48" s="2"/>
      <c r="B48" s="2"/>
      <c r="C48" s="2"/>
    </row>
    <row r="49" ht="15.75" customHeight="1">
      <c r="A49" s="2"/>
      <c r="B49" s="2"/>
      <c r="C49" s="2"/>
    </row>
    <row r="50" ht="15.75" customHeight="1">
      <c r="A50" s="2"/>
      <c r="B50" s="2"/>
      <c r="C50" s="2"/>
    </row>
    <row r="51" ht="15.75" customHeight="1">
      <c r="A51" s="2"/>
      <c r="B51" s="2"/>
      <c r="C51" s="2"/>
    </row>
    <row r="52" ht="15.75" customHeight="1">
      <c r="A52" s="2"/>
      <c r="B52" s="2"/>
      <c r="C52" s="2"/>
    </row>
    <row r="53" ht="15.75" customHeight="1">
      <c r="A53" s="2"/>
      <c r="B53" s="2"/>
      <c r="C53" s="2"/>
    </row>
    <row r="54" ht="15.75" customHeight="1">
      <c r="A54" s="2"/>
      <c r="B54" s="2"/>
      <c r="C54" s="2"/>
    </row>
    <row r="55" ht="15.75" customHeight="1">
      <c r="A55" s="2"/>
      <c r="B55" s="2"/>
      <c r="C55" s="2"/>
    </row>
    <row r="56" ht="15.75" customHeight="1">
      <c r="A56" s="2"/>
      <c r="B56" s="2"/>
      <c r="C56" s="2"/>
    </row>
    <row r="57" ht="15.75" customHeight="1">
      <c r="A57" s="2"/>
      <c r="B57" s="2"/>
      <c r="C57" s="2"/>
    </row>
    <row r="58" ht="15.75" customHeight="1">
      <c r="A58" s="2"/>
      <c r="B58" s="2"/>
      <c r="C58" s="2"/>
    </row>
    <row r="59" ht="15.75" customHeight="1">
      <c r="A59" s="2"/>
      <c r="B59" s="2"/>
      <c r="C59" s="2"/>
    </row>
    <row r="60" ht="15.75" customHeight="1">
      <c r="A60" s="2"/>
      <c r="B60" s="2"/>
      <c r="C60" s="2"/>
    </row>
    <row r="61" ht="15.75" customHeight="1">
      <c r="A61" s="2"/>
      <c r="B61" s="2"/>
      <c r="C61" s="2"/>
    </row>
    <row r="62" ht="15.75" customHeight="1">
      <c r="A62" s="2"/>
      <c r="B62" s="2"/>
      <c r="C62" s="2"/>
    </row>
    <row r="63" ht="15.75" customHeight="1">
      <c r="A63" s="2"/>
      <c r="B63" s="2"/>
      <c r="C63" s="2"/>
    </row>
    <row r="64" ht="15.75" customHeight="1">
      <c r="A64" s="2"/>
      <c r="B64" s="2"/>
      <c r="C64" s="2"/>
    </row>
    <row r="65" ht="15.75" customHeight="1">
      <c r="A65" s="2"/>
      <c r="B65" s="2"/>
      <c r="C65" s="2"/>
    </row>
    <row r="66" ht="15.75" customHeight="1">
      <c r="A66" s="2"/>
      <c r="B66" s="2"/>
      <c r="C66" s="2"/>
    </row>
    <row r="67" ht="15.75" customHeight="1">
      <c r="A67" s="2"/>
      <c r="B67" s="2"/>
      <c r="C67" s="2"/>
    </row>
    <row r="68" ht="15.75" customHeight="1">
      <c r="A68" s="2"/>
      <c r="B68" s="2"/>
      <c r="C68" s="2"/>
    </row>
    <row r="69" ht="15.75" customHeight="1">
      <c r="A69" s="2"/>
      <c r="B69" s="2"/>
      <c r="C69" s="2"/>
    </row>
    <row r="70" ht="15.75" customHeight="1">
      <c r="A70" s="2"/>
      <c r="B70" s="2"/>
      <c r="C70" s="2"/>
    </row>
    <row r="71" ht="15.75" customHeight="1">
      <c r="A71" s="2"/>
      <c r="B71" s="2"/>
      <c r="C71" s="2"/>
    </row>
    <row r="72" ht="15.75" customHeight="1">
      <c r="A72" s="2"/>
      <c r="B72" s="2"/>
      <c r="C72" s="2"/>
    </row>
    <row r="73" ht="15.75" customHeight="1">
      <c r="A73" s="2"/>
      <c r="B73" s="2"/>
      <c r="C73" s="2"/>
    </row>
    <row r="74" ht="15.75" customHeight="1">
      <c r="A74" s="2"/>
      <c r="B74" s="2"/>
      <c r="C74" s="2"/>
    </row>
    <row r="75" ht="15.75" customHeight="1">
      <c r="A75" s="2"/>
      <c r="B75" s="2"/>
      <c r="C75" s="2"/>
    </row>
    <row r="76" ht="15.75" customHeight="1">
      <c r="A76" s="2"/>
      <c r="B76" s="2"/>
      <c r="C76" s="2"/>
    </row>
    <row r="77" ht="15.75" customHeight="1">
      <c r="A77" s="2"/>
      <c r="B77" s="2"/>
      <c r="C77" s="2"/>
    </row>
    <row r="78" ht="15.75" customHeight="1">
      <c r="A78" s="2"/>
      <c r="B78" s="2"/>
      <c r="C78" s="2"/>
    </row>
    <row r="79" ht="15.75" customHeight="1">
      <c r="A79" s="2"/>
      <c r="B79" s="2"/>
      <c r="C79" s="2"/>
    </row>
    <row r="80" ht="15.75" customHeight="1">
      <c r="A80" s="2"/>
      <c r="B80" s="2"/>
      <c r="C80" s="2"/>
    </row>
    <row r="81" ht="15.75" customHeight="1">
      <c r="A81" s="2"/>
      <c r="B81" s="2"/>
      <c r="C81" s="2"/>
    </row>
    <row r="82" ht="15.75" customHeight="1">
      <c r="A82" s="2"/>
      <c r="B82" s="2"/>
      <c r="C82" s="2"/>
    </row>
    <row r="83" ht="15.75" customHeight="1">
      <c r="A83" s="2"/>
      <c r="B83" s="2"/>
      <c r="C83" s="2"/>
    </row>
    <row r="84" ht="15.75" customHeight="1">
      <c r="A84" s="2"/>
      <c r="B84" s="2"/>
      <c r="C84" s="2"/>
    </row>
    <row r="85" ht="15.75" customHeight="1">
      <c r="A85" s="2"/>
      <c r="B85" s="2"/>
      <c r="C85" s="2"/>
    </row>
    <row r="86" ht="15.75" customHeight="1">
      <c r="A86" s="2"/>
      <c r="B86" s="2"/>
      <c r="C86" s="2"/>
    </row>
    <row r="87" ht="15.75" customHeight="1">
      <c r="A87" s="2"/>
      <c r="B87" s="2"/>
      <c r="C87" s="2"/>
    </row>
    <row r="88" ht="15.75" customHeight="1">
      <c r="A88" s="2"/>
      <c r="B88" s="2"/>
      <c r="C88" s="2"/>
    </row>
    <row r="89" ht="15.75" customHeight="1">
      <c r="A89" s="2"/>
      <c r="B89" s="2"/>
      <c r="C89" s="2"/>
    </row>
    <row r="90" ht="15.75" customHeight="1">
      <c r="A90" s="2"/>
      <c r="B90" s="2"/>
      <c r="C90" s="2"/>
    </row>
    <row r="91" ht="15.75" customHeight="1">
      <c r="A91" s="2"/>
      <c r="B91" s="2"/>
      <c r="C91" s="2"/>
    </row>
    <row r="92" ht="15.75" customHeight="1">
      <c r="A92" s="2"/>
      <c r="B92" s="2"/>
      <c r="C92" s="2"/>
    </row>
    <row r="93" ht="15.75" customHeight="1">
      <c r="A93" s="2"/>
      <c r="B93" s="2"/>
      <c r="C93" s="2"/>
    </row>
    <row r="94" ht="15.75" customHeight="1">
      <c r="A94" s="2"/>
      <c r="B94" s="2"/>
      <c r="C94" s="2"/>
    </row>
    <row r="95" ht="15.75" customHeight="1">
      <c r="A95" s="2"/>
      <c r="B95" s="2"/>
      <c r="C95" s="2"/>
    </row>
    <row r="96" ht="15.75" customHeight="1">
      <c r="A96" s="2"/>
      <c r="B96" s="2"/>
      <c r="C96" s="2"/>
    </row>
    <row r="97" ht="15.75" customHeight="1">
      <c r="A97" s="2"/>
      <c r="B97" s="2"/>
      <c r="C97" s="2"/>
    </row>
    <row r="98" ht="15.75" customHeight="1">
      <c r="A98" s="2"/>
      <c r="B98" s="2"/>
      <c r="C98" s="2"/>
    </row>
    <row r="99" ht="15.75" customHeight="1">
      <c r="A99" s="2"/>
      <c r="B99" s="2"/>
      <c r="C99" s="2"/>
    </row>
    <row r="100" ht="15.75" customHeight="1">
      <c r="A100" s="2"/>
      <c r="B100" s="2"/>
      <c r="C100" s="2"/>
    </row>
    <row r="101" ht="15.75" customHeight="1">
      <c r="A101" s="2"/>
      <c r="B101" s="2"/>
      <c r="C101" s="2"/>
    </row>
    <row r="102" ht="15.75" customHeight="1">
      <c r="A102" s="2"/>
      <c r="B102" s="2"/>
      <c r="C102" s="2"/>
    </row>
    <row r="103" ht="15.75" customHeight="1">
      <c r="A103" s="2"/>
      <c r="B103" s="2"/>
      <c r="C103" s="2"/>
    </row>
    <row r="104" ht="15.75" customHeight="1">
      <c r="A104" s="2"/>
      <c r="B104" s="2"/>
      <c r="C104" s="2"/>
    </row>
    <row r="105" ht="15.75" customHeight="1">
      <c r="A105" s="2"/>
      <c r="B105" s="2"/>
      <c r="C105" s="2"/>
    </row>
    <row r="106" ht="15.75" customHeight="1">
      <c r="A106" s="2"/>
      <c r="B106" s="2"/>
      <c r="C106" s="2"/>
    </row>
    <row r="107" ht="15.75" customHeight="1">
      <c r="A107" s="2"/>
      <c r="B107" s="2"/>
      <c r="C107" s="2"/>
    </row>
    <row r="108" ht="15.75" customHeight="1">
      <c r="A108" s="2"/>
      <c r="B108" s="2"/>
      <c r="C108" s="2"/>
    </row>
    <row r="109" ht="15.75" customHeight="1">
      <c r="A109" s="2"/>
      <c r="B109" s="2"/>
      <c r="C109" s="2"/>
    </row>
    <row r="110" ht="15.75" customHeight="1">
      <c r="A110" s="2"/>
      <c r="B110" s="2"/>
      <c r="C110" s="2"/>
    </row>
    <row r="111" ht="15.75" customHeight="1">
      <c r="A111" s="2"/>
      <c r="B111" s="2"/>
      <c r="C111" s="2"/>
    </row>
    <row r="112" ht="15.75" customHeight="1">
      <c r="A112" s="2"/>
      <c r="B112" s="2"/>
      <c r="C112" s="2"/>
    </row>
    <row r="113" ht="15.75" customHeight="1">
      <c r="A113" s="2"/>
      <c r="B113" s="2"/>
      <c r="C113" s="2"/>
    </row>
    <row r="114" ht="15.75" customHeight="1">
      <c r="A114" s="2"/>
      <c r="B114" s="2"/>
      <c r="C114" s="2"/>
    </row>
    <row r="115" ht="15.75" customHeight="1">
      <c r="A115" s="2"/>
      <c r="B115" s="2"/>
      <c r="C115" s="2"/>
    </row>
    <row r="116" ht="15.75" customHeight="1">
      <c r="A116" s="2"/>
      <c r="B116" s="2"/>
      <c r="C116" s="2"/>
    </row>
    <row r="117" ht="15.75" customHeight="1">
      <c r="A117" s="2"/>
      <c r="B117" s="2"/>
      <c r="C117" s="2"/>
    </row>
    <row r="118" ht="15.75" customHeight="1">
      <c r="A118" s="2"/>
      <c r="B118" s="2"/>
      <c r="C118" s="2"/>
    </row>
    <row r="119" ht="15.75" customHeight="1">
      <c r="A119" s="2"/>
      <c r="B119" s="2"/>
      <c r="C119" s="2"/>
    </row>
    <row r="120" ht="15.75" customHeight="1">
      <c r="A120" s="2"/>
      <c r="B120" s="2"/>
      <c r="C120" s="2"/>
    </row>
    <row r="121" ht="15.75" customHeight="1">
      <c r="A121" s="2"/>
      <c r="B121" s="2"/>
      <c r="C121" s="2"/>
    </row>
    <row r="122" ht="15.75" customHeight="1">
      <c r="A122" s="2"/>
      <c r="B122" s="2"/>
      <c r="C122" s="2"/>
    </row>
    <row r="123" ht="15.75" customHeight="1">
      <c r="A123" s="2"/>
      <c r="B123" s="2"/>
      <c r="C123" s="2"/>
    </row>
    <row r="124" ht="15.75" customHeight="1">
      <c r="A124" s="2"/>
      <c r="B124" s="2"/>
      <c r="C124" s="2"/>
    </row>
    <row r="125" ht="15.75" customHeight="1">
      <c r="A125" s="2"/>
      <c r="B125" s="2"/>
      <c r="C125" s="2"/>
    </row>
    <row r="126" ht="15.75" customHeight="1">
      <c r="A126" s="2"/>
      <c r="B126" s="2"/>
      <c r="C126" s="2"/>
    </row>
    <row r="127" ht="15.75" customHeight="1">
      <c r="A127" s="2"/>
      <c r="B127" s="2"/>
      <c r="C127" s="2"/>
    </row>
    <row r="128" ht="15.75" customHeight="1">
      <c r="A128" s="2"/>
      <c r="B128" s="2"/>
      <c r="C128" s="2"/>
    </row>
    <row r="129" ht="15.75" customHeight="1">
      <c r="A129" s="2"/>
      <c r="B129" s="2"/>
      <c r="C129" s="2"/>
    </row>
    <row r="130" ht="15.75" customHeight="1">
      <c r="A130" s="2"/>
      <c r="B130" s="2"/>
      <c r="C130" s="2"/>
    </row>
    <row r="131" ht="15.75" customHeight="1">
      <c r="A131" s="2"/>
      <c r="B131" s="2"/>
      <c r="C131" s="2"/>
    </row>
    <row r="132" ht="15.75" customHeight="1">
      <c r="A132" s="2"/>
      <c r="B132" s="2"/>
      <c r="C132" s="2"/>
    </row>
    <row r="133" ht="15.75" customHeight="1">
      <c r="A133" s="2"/>
      <c r="B133" s="2"/>
      <c r="C133" s="2"/>
    </row>
    <row r="134" ht="15.75" customHeight="1">
      <c r="A134" s="2"/>
      <c r="B134" s="2"/>
      <c r="C134" s="2"/>
    </row>
    <row r="135" ht="15.75" customHeight="1">
      <c r="A135" s="2"/>
      <c r="B135" s="2"/>
      <c r="C135" s="2"/>
    </row>
    <row r="136" ht="15.75" customHeight="1">
      <c r="A136" s="2"/>
      <c r="B136" s="2"/>
      <c r="C136" s="2"/>
    </row>
    <row r="137" ht="15.75" customHeight="1">
      <c r="A137" s="2"/>
      <c r="B137" s="2"/>
      <c r="C137" s="2"/>
    </row>
    <row r="138" ht="15.75" customHeight="1">
      <c r="A138" s="2"/>
      <c r="B138" s="2"/>
      <c r="C138" s="2"/>
    </row>
    <row r="139" ht="15.75" customHeight="1">
      <c r="A139" s="2"/>
      <c r="B139" s="2"/>
      <c r="C139" s="2"/>
    </row>
    <row r="140" ht="15.75" customHeight="1">
      <c r="A140" s="2"/>
      <c r="B140" s="2"/>
      <c r="C140" s="2"/>
    </row>
    <row r="141" ht="15.75" customHeight="1">
      <c r="A141" s="2"/>
      <c r="B141" s="2"/>
      <c r="C141" s="2"/>
    </row>
    <row r="142" ht="15.75" customHeight="1">
      <c r="A142" s="2"/>
      <c r="B142" s="2"/>
      <c r="C142" s="2"/>
    </row>
    <row r="143" ht="15.75" customHeight="1">
      <c r="A143" s="2"/>
      <c r="B143" s="2"/>
      <c r="C143" s="2"/>
    </row>
    <row r="144" ht="15.75" customHeight="1">
      <c r="A144" s="2"/>
      <c r="B144" s="2"/>
      <c r="C144" s="2"/>
    </row>
    <row r="145" ht="15.75" customHeight="1">
      <c r="A145" s="2"/>
      <c r="B145" s="2"/>
      <c r="C145" s="2"/>
    </row>
    <row r="146" ht="15.75" customHeight="1">
      <c r="A146" s="2"/>
      <c r="B146" s="2"/>
      <c r="C146" s="2"/>
    </row>
    <row r="147" ht="15.75" customHeight="1">
      <c r="A147" s="2"/>
      <c r="B147" s="2"/>
      <c r="C147" s="2"/>
    </row>
    <row r="148" ht="15.75" customHeight="1">
      <c r="A148" s="2"/>
      <c r="B148" s="2"/>
      <c r="C148" s="2"/>
    </row>
    <row r="149" ht="15.75" customHeight="1">
      <c r="A149" s="2"/>
      <c r="B149" s="2"/>
      <c r="C149" s="2"/>
    </row>
    <row r="150" ht="15.75" customHeight="1">
      <c r="A150" s="2"/>
      <c r="B150" s="2"/>
      <c r="C150" s="2"/>
    </row>
    <row r="151" ht="15.75" customHeight="1">
      <c r="A151" s="2"/>
      <c r="B151" s="2"/>
      <c r="C151" s="2"/>
    </row>
    <row r="152" ht="15.75" customHeight="1">
      <c r="A152" s="2"/>
      <c r="B152" s="2"/>
      <c r="C152" s="2"/>
    </row>
    <row r="153" ht="15.75" customHeight="1">
      <c r="A153" s="2"/>
      <c r="B153" s="2"/>
      <c r="C153" s="2"/>
    </row>
    <row r="154" ht="15.75" customHeight="1">
      <c r="A154" s="2"/>
      <c r="B154" s="2"/>
      <c r="C154" s="2"/>
    </row>
    <row r="155" ht="15.75" customHeight="1">
      <c r="A155" s="2"/>
      <c r="B155" s="2"/>
      <c r="C155" s="2"/>
    </row>
    <row r="156" ht="15.75" customHeight="1">
      <c r="A156" s="2"/>
      <c r="B156" s="2"/>
      <c r="C156" s="2"/>
    </row>
    <row r="157" ht="15.75" customHeight="1">
      <c r="A157" s="2"/>
      <c r="B157" s="2"/>
      <c r="C157" s="2"/>
    </row>
    <row r="158" ht="15.75" customHeight="1">
      <c r="A158" s="2"/>
      <c r="B158" s="2"/>
      <c r="C158" s="2"/>
    </row>
    <row r="159" ht="15.75" customHeight="1">
      <c r="A159" s="2"/>
      <c r="B159" s="2"/>
      <c r="C159" s="2"/>
    </row>
    <row r="160" ht="15.75" customHeight="1">
      <c r="A160" s="2"/>
      <c r="B160" s="2"/>
      <c r="C160" s="2"/>
    </row>
    <row r="161" ht="15.75" customHeight="1">
      <c r="A161" s="2"/>
      <c r="B161" s="2"/>
      <c r="C161" s="2"/>
    </row>
    <row r="162" ht="15.75" customHeight="1">
      <c r="A162" s="2"/>
      <c r="B162" s="2"/>
      <c r="C162" s="2"/>
    </row>
    <row r="163" ht="15.75" customHeight="1">
      <c r="A163" s="2"/>
      <c r="B163" s="2"/>
      <c r="C163" s="2"/>
    </row>
    <row r="164" ht="15.75" customHeight="1">
      <c r="A164" s="2"/>
      <c r="B164" s="2"/>
      <c r="C164" s="2"/>
    </row>
    <row r="165" ht="15.75" customHeight="1">
      <c r="A165" s="2"/>
      <c r="B165" s="2"/>
      <c r="C165" s="2"/>
    </row>
    <row r="166" ht="15.75" customHeight="1">
      <c r="A166" s="2"/>
      <c r="B166" s="2"/>
      <c r="C166" s="2"/>
    </row>
    <row r="167" ht="15.75" customHeight="1">
      <c r="A167" s="2"/>
      <c r="B167" s="2"/>
      <c r="C167" s="2"/>
    </row>
    <row r="168" ht="15.75" customHeight="1">
      <c r="A168" s="2"/>
      <c r="B168" s="2"/>
      <c r="C168" s="2"/>
    </row>
    <row r="169" ht="15.75" customHeight="1">
      <c r="A169" s="2"/>
      <c r="B169" s="2"/>
      <c r="C169" s="2"/>
    </row>
    <row r="170" ht="15.75" customHeight="1">
      <c r="A170" s="2"/>
      <c r="B170" s="2"/>
      <c r="C170" s="2"/>
    </row>
    <row r="171" ht="15.75" customHeight="1">
      <c r="A171" s="2"/>
      <c r="B171" s="2"/>
      <c r="C171" s="2"/>
    </row>
    <row r="172" ht="15.75" customHeight="1">
      <c r="A172" s="2"/>
      <c r="B172" s="2"/>
      <c r="C172" s="2"/>
    </row>
    <row r="173" ht="15.75" customHeight="1">
      <c r="A173" s="2"/>
      <c r="B173" s="2"/>
      <c r="C173" s="2"/>
    </row>
    <row r="174" ht="15.75" customHeight="1">
      <c r="A174" s="2"/>
      <c r="B174" s="2"/>
      <c r="C174" s="2"/>
    </row>
    <row r="175" ht="15.75" customHeight="1">
      <c r="A175" s="2"/>
      <c r="B175" s="2"/>
      <c r="C175" s="2"/>
    </row>
    <row r="176" ht="15.75" customHeight="1">
      <c r="A176" s="2"/>
      <c r="B176" s="2"/>
      <c r="C176" s="2"/>
    </row>
    <row r="177" ht="15.75" customHeight="1">
      <c r="A177" s="2"/>
      <c r="B177" s="2"/>
      <c r="C177" s="2"/>
    </row>
    <row r="178" ht="15.75" customHeight="1">
      <c r="A178" s="2"/>
      <c r="B178" s="2"/>
      <c r="C178" s="2"/>
    </row>
    <row r="179" ht="15.75" customHeight="1">
      <c r="A179" s="2"/>
      <c r="B179" s="2"/>
      <c r="C179" s="2"/>
    </row>
    <row r="180" ht="15.75" customHeight="1">
      <c r="A180" s="2"/>
      <c r="B180" s="2"/>
      <c r="C180" s="2"/>
    </row>
    <row r="181" ht="15.75" customHeight="1">
      <c r="A181" s="2"/>
      <c r="B181" s="2"/>
      <c r="C181" s="2"/>
    </row>
    <row r="182" ht="15.75" customHeight="1">
      <c r="A182" s="2"/>
      <c r="B182" s="2"/>
      <c r="C182" s="2"/>
    </row>
    <row r="183" ht="15.75" customHeight="1">
      <c r="A183" s="2"/>
      <c r="B183" s="2"/>
      <c r="C183" s="2"/>
    </row>
    <row r="184" ht="15.75" customHeight="1">
      <c r="A184" s="2"/>
      <c r="B184" s="2"/>
      <c r="C184" s="2"/>
    </row>
    <row r="185" ht="15.75" customHeight="1">
      <c r="A185" s="2"/>
      <c r="B185" s="2"/>
      <c r="C185" s="2"/>
    </row>
    <row r="186" ht="15.75" customHeight="1">
      <c r="A186" s="2"/>
      <c r="B186" s="2"/>
      <c r="C186" s="2"/>
    </row>
    <row r="187" ht="15.75" customHeight="1">
      <c r="A187" s="2"/>
      <c r="B187" s="2"/>
      <c r="C187" s="2"/>
    </row>
    <row r="188" ht="15.75" customHeight="1">
      <c r="A188" s="2"/>
      <c r="B188" s="2"/>
      <c r="C188" s="2"/>
    </row>
    <row r="189" ht="15.75" customHeight="1">
      <c r="A189" s="2"/>
      <c r="B189" s="2"/>
      <c r="C189" s="2"/>
    </row>
    <row r="190" ht="15.75" customHeight="1">
      <c r="A190" s="2"/>
      <c r="B190" s="2"/>
      <c r="C190" s="2"/>
    </row>
    <row r="191" ht="15.75" customHeight="1">
      <c r="A191" s="2"/>
      <c r="B191" s="2"/>
      <c r="C191" s="2"/>
    </row>
    <row r="192" ht="15.75" customHeight="1">
      <c r="A192" s="2"/>
      <c r="B192" s="2"/>
      <c r="C192" s="2"/>
    </row>
    <row r="193" ht="15.75" customHeight="1">
      <c r="A193" s="2"/>
      <c r="B193" s="2"/>
      <c r="C193" s="2"/>
    </row>
    <row r="194" ht="15.75" customHeight="1">
      <c r="A194" s="2"/>
      <c r="B194" s="2"/>
      <c r="C194" s="2"/>
    </row>
    <row r="195" ht="15.75" customHeight="1">
      <c r="A195" s="2"/>
      <c r="B195" s="2"/>
      <c r="C195" s="2"/>
    </row>
    <row r="196" ht="15.75" customHeight="1">
      <c r="A196" s="2"/>
      <c r="B196" s="2"/>
      <c r="C196" s="2"/>
    </row>
    <row r="197" ht="15.75" customHeight="1">
      <c r="A197" s="2"/>
      <c r="B197" s="2"/>
      <c r="C197" s="2"/>
    </row>
    <row r="198" ht="15.75" customHeight="1">
      <c r="A198" s="2"/>
      <c r="B198" s="2"/>
      <c r="C198" s="2"/>
    </row>
    <row r="199" ht="15.75" customHeight="1">
      <c r="A199" s="2"/>
      <c r="B199" s="2"/>
      <c r="C199" s="2"/>
    </row>
    <row r="200" ht="15.75" customHeight="1">
      <c r="A200" s="2"/>
      <c r="B200" s="2"/>
      <c r="C200" s="2"/>
    </row>
    <row r="201" ht="15.75" customHeight="1">
      <c r="A201" s="2"/>
      <c r="B201" s="2"/>
      <c r="C201" s="2"/>
    </row>
    <row r="202" ht="15.75" customHeight="1">
      <c r="A202" s="2"/>
      <c r="B202" s="2"/>
      <c r="C202" s="2"/>
    </row>
    <row r="203" ht="15.75" customHeight="1">
      <c r="A203" s="2"/>
      <c r="B203" s="2"/>
      <c r="C203" s="2"/>
    </row>
    <row r="204" ht="15.75" customHeight="1">
      <c r="A204" s="2"/>
      <c r="B204" s="2"/>
      <c r="C204" s="2"/>
    </row>
    <row r="205" ht="15.75" customHeight="1">
      <c r="A205" s="2"/>
      <c r="B205" s="2"/>
      <c r="C205" s="2"/>
    </row>
    <row r="206" ht="15.75" customHeight="1">
      <c r="A206" s="2"/>
      <c r="B206" s="2"/>
      <c r="C206" s="2"/>
    </row>
    <row r="207" ht="15.75" customHeight="1">
      <c r="A207" s="2"/>
      <c r="B207" s="2"/>
      <c r="C207" s="2"/>
    </row>
    <row r="208" ht="15.75" customHeight="1">
      <c r="A208" s="2"/>
      <c r="B208" s="2"/>
      <c r="C208" s="2"/>
    </row>
    <row r="209" ht="15.75" customHeight="1">
      <c r="A209" s="2"/>
      <c r="B209" s="2"/>
      <c r="C209" s="2"/>
    </row>
    <row r="210" ht="15.75" customHeight="1">
      <c r="A210" s="2"/>
      <c r="B210" s="2"/>
      <c r="C210" s="2"/>
    </row>
    <row r="211" ht="15.75" customHeight="1">
      <c r="A211" s="2"/>
      <c r="B211" s="2"/>
      <c r="C211" s="2"/>
    </row>
    <row r="212" ht="15.75" customHeight="1">
      <c r="A212" s="2"/>
      <c r="B212" s="2"/>
      <c r="C212" s="2"/>
    </row>
    <row r="213" ht="15.75" customHeight="1">
      <c r="A213" s="2"/>
      <c r="B213" s="2"/>
      <c r="C213" s="2"/>
    </row>
    <row r="214" ht="15.75" customHeight="1">
      <c r="A214" s="2"/>
      <c r="B214" s="2"/>
      <c r="C214" s="2"/>
    </row>
    <row r="215" ht="15.75" customHeight="1">
      <c r="A215" s="2"/>
      <c r="B215" s="2"/>
      <c r="C215" s="2"/>
    </row>
    <row r="216" ht="15.75" customHeight="1">
      <c r="A216" s="2"/>
      <c r="B216" s="2"/>
      <c r="C216" s="2"/>
    </row>
    <row r="217" ht="15.75" customHeight="1">
      <c r="A217" s="2"/>
      <c r="B217" s="2"/>
      <c r="C217" s="2"/>
    </row>
    <row r="218" ht="15.75" customHeight="1">
      <c r="A218" s="2"/>
      <c r="B218" s="2"/>
      <c r="C218" s="2"/>
    </row>
    <row r="219" ht="15.75" customHeight="1">
      <c r="A219" s="2"/>
      <c r="B219" s="2"/>
      <c r="C219" s="2"/>
    </row>
    <row r="220" ht="15.75" customHeight="1">
      <c r="A220" s="2"/>
      <c r="B220" s="2"/>
      <c r="C220" s="2"/>
    </row>
    <row r="221" ht="15.75" customHeight="1">
      <c r="A221" s="2"/>
      <c r="B221" s="2"/>
      <c r="C221" s="2"/>
    </row>
    <row r="222" ht="15.75" customHeight="1">
      <c r="A222" s="2"/>
      <c r="B222" s="2"/>
      <c r="C222" s="2"/>
    </row>
    <row r="223" ht="15.75" customHeight="1">
      <c r="A223" s="2"/>
      <c r="B223" s="2"/>
      <c r="C223" s="2"/>
    </row>
    <row r="224" ht="15.75" customHeight="1">
      <c r="A224" s="2"/>
      <c r="B224" s="2"/>
      <c r="C224" s="2"/>
    </row>
    <row r="225" ht="15.75" customHeight="1">
      <c r="A225" s="2"/>
      <c r="B225" s="2"/>
      <c r="C225" s="2"/>
    </row>
    <row r="226" ht="15.75" customHeight="1">
      <c r="A226" s="2"/>
      <c r="B226" s="2"/>
      <c r="C226" s="2"/>
    </row>
    <row r="227" ht="15.75" customHeight="1">
      <c r="A227" s="2"/>
      <c r="B227" s="2"/>
      <c r="C227" s="2"/>
    </row>
    <row r="228" ht="15.75" customHeight="1">
      <c r="A228" s="2"/>
      <c r="B228" s="2"/>
      <c r="C228" s="2"/>
    </row>
    <row r="229" ht="15.75" customHeight="1">
      <c r="A229" s="2"/>
      <c r="B229" s="2"/>
      <c r="C229" s="2"/>
    </row>
    <row r="230" ht="15.75" customHeight="1">
      <c r="A230" s="2"/>
      <c r="B230" s="2"/>
      <c r="C230" s="2"/>
    </row>
    <row r="231" ht="15.75" customHeight="1">
      <c r="A231" s="2"/>
      <c r="B231" s="2"/>
      <c r="C231" s="2"/>
    </row>
    <row r="232" ht="15.75" customHeight="1">
      <c r="A232" s="2"/>
      <c r="B232" s="2"/>
      <c r="C232" s="2"/>
    </row>
    <row r="233" ht="15.75" customHeight="1">
      <c r="A233" s="2"/>
      <c r="B233" s="2"/>
      <c r="C233" s="2"/>
    </row>
    <row r="234" ht="15.75" customHeight="1">
      <c r="A234" s="2"/>
      <c r="B234" s="2"/>
      <c r="C234" s="2"/>
    </row>
    <row r="235" ht="15.75" customHeight="1">
      <c r="A235" s="2"/>
      <c r="B235" s="2"/>
      <c r="C235" s="2"/>
    </row>
    <row r="236" ht="15.75" customHeight="1">
      <c r="A236" s="2"/>
      <c r="B236" s="2"/>
      <c r="C236" s="2"/>
    </row>
    <row r="237" ht="15.75" customHeight="1">
      <c r="A237" s="2"/>
      <c r="B237" s="2"/>
      <c r="C237" s="2"/>
    </row>
    <row r="238" ht="15.75" customHeight="1">
      <c r="A238" s="2"/>
      <c r="B238" s="2"/>
      <c r="C238" s="2"/>
    </row>
    <row r="239" ht="15.75" customHeight="1">
      <c r="A239" s="2"/>
      <c r="B239" s="2"/>
      <c r="C239" s="2"/>
    </row>
    <row r="240" ht="15.75" customHeight="1">
      <c r="A240" s="2"/>
      <c r="B240" s="2"/>
      <c r="C240" s="2"/>
    </row>
    <row r="241" ht="15.75" customHeight="1">
      <c r="A241" s="2"/>
      <c r="B241" s="2"/>
      <c r="C241" s="2"/>
    </row>
    <row r="242" ht="15.75" customHeight="1">
      <c r="A242" s="2"/>
      <c r="B242" s="2"/>
      <c r="C242" s="2"/>
    </row>
    <row r="243" ht="15.75" customHeight="1">
      <c r="A243" s="2"/>
      <c r="B243" s="2"/>
      <c r="C243" s="2"/>
    </row>
    <row r="244" ht="15.75" customHeight="1">
      <c r="A244" s="2"/>
      <c r="B244" s="2"/>
      <c r="C244" s="2"/>
    </row>
    <row r="245" ht="15.75" customHeight="1">
      <c r="A245" s="2"/>
      <c r="B245" s="2"/>
      <c r="C245" s="2"/>
    </row>
    <row r="246" ht="15.75" customHeight="1">
      <c r="A246" s="2"/>
      <c r="B246" s="2"/>
      <c r="C246" s="2"/>
    </row>
    <row r="247" ht="15.75" customHeight="1">
      <c r="A247" s="2"/>
      <c r="B247" s="2"/>
      <c r="C247" s="2"/>
    </row>
    <row r="248" ht="15.75" customHeight="1">
      <c r="A248" s="2"/>
      <c r="B248" s="2"/>
      <c r="C248" s="2"/>
    </row>
    <row r="249" ht="15.75" customHeight="1">
      <c r="A249" s="2"/>
      <c r="B249" s="2"/>
      <c r="C249" s="2"/>
    </row>
    <row r="250" ht="15.75" customHeight="1">
      <c r="A250" s="2"/>
      <c r="B250" s="2"/>
      <c r="C250" s="2"/>
    </row>
    <row r="251" ht="15.75" customHeight="1">
      <c r="A251" s="2"/>
      <c r="B251" s="2"/>
      <c r="C251" s="2"/>
    </row>
    <row r="252" ht="15.75" customHeight="1">
      <c r="A252" s="2"/>
      <c r="B252" s="2"/>
      <c r="C252" s="2"/>
    </row>
    <row r="253" ht="15.75" customHeight="1">
      <c r="A253" s="2"/>
      <c r="B253" s="2"/>
      <c r="C253" s="2"/>
    </row>
    <row r="254" ht="15.75" customHeight="1">
      <c r="A254" s="2"/>
      <c r="B254" s="2"/>
      <c r="C254" s="2"/>
    </row>
    <row r="255" ht="15.75" customHeight="1">
      <c r="A255" s="2"/>
      <c r="B255" s="2"/>
      <c r="C255" s="2"/>
    </row>
    <row r="256" ht="15.75" customHeight="1">
      <c r="A256" s="2"/>
      <c r="B256" s="2"/>
      <c r="C256" s="2"/>
    </row>
    <row r="257" ht="15.75" customHeight="1">
      <c r="A257" s="2"/>
      <c r="B257" s="2"/>
      <c r="C257" s="2"/>
    </row>
    <row r="258" ht="15.75" customHeight="1">
      <c r="A258" s="2"/>
      <c r="B258" s="2"/>
      <c r="C258" s="2"/>
    </row>
    <row r="259" ht="15.75" customHeight="1">
      <c r="A259" s="2"/>
      <c r="B259" s="2"/>
      <c r="C259" s="2"/>
    </row>
    <row r="260" ht="15.75" customHeight="1">
      <c r="A260" s="2"/>
      <c r="B260" s="2"/>
      <c r="C260" s="2"/>
    </row>
    <row r="261" ht="15.75" customHeight="1">
      <c r="A261" s="2"/>
      <c r="B261" s="2"/>
      <c r="C261" s="2"/>
    </row>
    <row r="262" ht="15.75" customHeight="1">
      <c r="A262" s="2"/>
      <c r="B262" s="2"/>
      <c r="C262" s="2"/>
    </row>
    <row r="263" ht="15.75" customHeight="1">
      <c r="A263" s="2"/>
      <c r="B263" s="2"/>
      <c r="C263" s="2"/>
    </row>
    <row r="264" ht="15.75" customHeight="1">
      <c r="A264" s="2"/>
      <c r="B264" s="2"/>
      <c r="C264" s="2"/>
    </row>
    <row r="265" ht="15.75" customHeight="1">
      <c r="A265" s="2"/>
      <c r="B265" s="2"/>
      <c r="C265" s="2"/>
    </row>
    <row r="266" ht="15.75" customHeight="1">
      <c r="A266" s="2"/>
      <c r="B266" s="2"/>
      <c r="C266" s="2"/>
    </row>
    <row r="267" ht="15.75" customHeight="1">
      <c r="A267" s="2"/>
      <c r="B267" s="2"/>
      <c r="C267" s="2"/>
    </row>
    <row r="268" ht="15.75" customHeight="1">
      <c r="A268" s="2"/>
      <c r="B268" s="2"/>
      <c r="C268" s="2"/>
    </row>
    <row r="269" ht="15.75" customHeight="1">
      <c r="A269" s="2"/>
      <c r="B269" s="2"/>
      <c r="C269" s="2"/>
    </row>
    <row r="270" ht="15.75" customHeight="1">
      <c r="A270" s="2"/>
      <c r="B270" s="2"/>
      <c r="C270" s="2"/>
    </row>
    <row r="271" ht="15.75" customHeight="1">
      <c r="A271" s="2"/>
      <c r="B271" s="2"/>
      <c r="C271" s="2"/>
    </row>
    <row r="272" ht="15.75" customHeight="1">
      <c r="A272" s="2"/>
      <c r="B272" s="2"/>
      <c r="C272" s="2"/>
    </row>
    <row r="273" ht="15.75" customHeight="1">
      <c r="A273" s="2"/>
      <c r="B273" s="2"/>
      <c r="C273" s="2"/>
    </row>
    <row r="274" ht="15.75" customHeight="1">
      <c r="A274" s="2"/>
      <c r="B274" s="2"/>
      <c r="C274" s="2"/>
    </row>
    <row r="275" ht="15.75" customHeight="1">
      <c r="A275" s="2"/>
      <c r="B275" s="2"/>
      <c r="C275" s="2"/>
    </row>
    <row r="276" ht="15.75" customHeight="1">
      <c r="A276" s="2"/>
      <c r="B276" s="2"/>
      <c r="C276" s="2"/>
    </row>
    <row r="277" ht="15.75" customHeight="1">
      <c r="A277" s="2"/>
      <c r="B277" s="2"/>
      <c r="C277" s="2"/>
    </row>
    <row r="278" ht="15.75" customHeight="1">
      <c r="A278" s="2"/>
      <c r="B278" s="2"/>
      <c r="C278" s="2"/>
    </row>
    <row r="279" ht="15.75" customHeight="1">
      <c r="A279" s="2"/>
      <c r="B279" s="2"/>
      <c r="C279" s="2"/>
    </row>
    <row r="280" ht="15.75" customHeight="1">
      <c r="A280" s="2"/>
      <c r="B280" s="2"/>
      <c r="C280" s="2"/>
    </row>
    <row r="281" ht="15.75" customHeight="1">
      <c r="A281" s="2"/>
      <c r="B281" s="2"/>
      <c r="C281" s="2"/>
    </row>
    <row r="282" ht="15.75" customHeight="1">
      <c r="A282" s="2"/>
      <c r="B282" s="2"/>
      <c r="C282" s="2"/>
    </row>
    <row r="283" ht="15.75" customHeight="1">
      <c r="A283" s="2"/>
      <c r="B283" s="2"/>
      <c r="C283" s="2"/>
    </row>
    <row r="284" ht="15.75" customHeight="1">
      <c r="A284" s="2"/>
      <c r="B284" s="2"/>
      <c r="C284" s="2"/>
    </row>
    <row r="285" ht="15.75" customHeight="1">
      <c r="A285" s="2"/>
      <c r="B285" s="2"/>
      <c r="C285" s="2"/>
    </row>
    <row r="286" ht="15.75" customHeight="1">
      <c r="A286" s="2"/>
      <c r="B286" s="2"/>
      <c r="C286" s="2"/>
    </row>
    <row r="287" ht="15.75" customHeight="1">
      <c r="A287" s="2"/>
      <c r="B287" s="2"/>
      <c r="C287" s="2"/>
    </row>
    <row r="288" ht="15.75" customHeight="1">
      <c r="A288" s="2"/>
      <c r="B288" s="2"/>
      <c r="C288" s="2"/>
    </row>
    <row r="289" ht="15.75" customHeight="1">
      <c r="A289" s="2"/>
      <c r="B289" s="2"/>
      <c r="C289" s="2"/>
    </row>
    <row r="290" ht="15.75" customHeight="1">
      <c r="A290" s="2"/>
      <c r="B290" s="2"/>
      <c r="C290" s="2"/>
    </row>
    <row r="291" ht="15.75" customHeight="1">
      <c r="A291" s="2"/>
      <c r="B291" s="2"/>
      <c r="C291" s="2"/>
    </row>
    <row r="292" ht="15.75" customHeight="1">
      <c r="A292" s="2"/>
      <c r="B292" s="2"/>
      <c r="C292" s="2"/>
    </row>
    <row r="293" ht="15.75" customHeight="1">
      <c r="A293" s="2"/>
      <c r="B293" s="2"/>
      <c r="C293" s="2"/>
    </row>
    <row r="294" ht="15.75" customHeight="1">
      <c r="A294" s="2"/>
      <c r="B294" s="2"/>
      <c r="C294" s="2"/>
    </row>
    <row r="295" ht="15.75" customHeight="1">
      <c r="A295" s="2"/>
      <c r="B295" s="2"/>
      <c r="C295" s="2"/>
    </row>
    <row r="296" ht="15.75" customHeight="1">
      <c r="A296" s="2"/>
      <c r="B296" s="2"/>
      <c r="C296" s="2"/>
    </row>
    <row r="297" ht="15.75" customHeight="1">
      <c r="A297" s="2"/>
      <c r="B297" s="2"/>
      <c r="C297" s="2"/>
    </row>
    <row r="298" ht="15.75" customHeight="1">
      <c r="A298" s="2"/>
      <c r="B298" s="2"/>
      <c r="C298" s="2"/>
    </row>
    <row r="299" ht="15.75" customHeight="1">
      <c r="A299" s="2"/>
      <c r="B299" s="2"/>
      <c r="C299" s="2"/>
    </row>
    <row r="300" ht="15.75" customHeight="1">
      <c r="A300" s="2"/>
      <c r="B300" s="2"/>
      <c r="C300" s="2"/>
    </row>
    <row r="301" ht="15.75" customHeight="1">
      <c r="A301" s="2"/>
      <c r="B301" s="2"/>
      <c r="C301" s="2"/>
    </row>
    <row r="302" ht="15.75" customHeight="1">
      <c r="A302" s="2"/>
      <c r="B302" s="2"/>
      <c r="C302" s="2"/>
    </row>
    <row r="303" ht="15.75" customHeight="1">
      <c r="A303" s="2"/>
      <c r="B303" s="2"/>
      <c r="C303" s="2"/>
    </row>
    <row r="304" ht="15.75" customHeight="1">
      <c r="A304" s="2"/>
      <c r="B304" s="2"/>
      <c r="C304" s="2"/>
    </row>
    <row r="305" ht="15.75" customHeight="1">
      <c r="A305" s="2"/>
      <c r="B305" s="2"/>
      <c r="C305" s="2"/>
    </row>
    <row r="306" ht="15.75" customHeight="1">
      <c r="A306" s="2"/>
      <c r="B306" s="2"/>
      <c r="C306" s="2"/>
    </row>
    <row r="307" ht="15.75" customHeight="1">
      <c r="A307" s="2"/>
      <c r="B307" s="2"/>
      <c r="C307" s="2"/>
    </row>
    <row r="308" ht="15.75" customHeight="1">
      <c r="A308" s="2"/>
      <c r="B308" s="2"/>
      <c r="C308" s="2"/>
    </row>
    <row r="309" ht="15.75" customHeight="1">
      <c r="A309" s="2"/>
      <c r="B309" s="2"/>
      <c r="C309" s="2"/>
    </row>
    <row r="310" ht="15.75" customHeight="1">
      <c r="A310" s="2"/>
      <c r="B310" s="2"/>
      <c r="C310" s="2"/>
    </row>
    <row r="311" ht="15.75" customHeight="1">
      <c r="A311" s="2"/>
      <c r="B311" s="2"/>
      <c r="C311" s="2"/>
    </row>
    <row r="312" ht="15.75" customHeight="1">
      <c r="A312" s="2"/>
      <c r="B312" s="2"/>
      <c r="C312" s="2"/>
    </row>
    <row r="313" ht="15.75" customHeight="1">
      <c r="A313" s="2"/>
      <c r="B313" s="2"/>
      <c r="C313" s="2"/>
    </row>
    <row r="314" ht="15.75" customHeight="1">
      <c r="A314" s="2"/>
      <c r="B314" s="2"/>
      <c r="C314" s="2"/>
    </row>
    <row r="315" ht="15.75" customHeight="1">
      <c r="A315" s="2"/>
      <c r="B315" s="2"/>
      <c r="C315" s="2"/>
    </row>
    <row r="316" ht="15.75" customHeight="1">
      <c r="A316" s="2"/>
      <c r="B316" s="2"/>
      <c r="C316" s="2"/>
    </row>
    <row r="317" ht="15.75" customHeight="1">
      <c r="A317" s="2"/>
      <c r="B317" s="2"/>
      <c r="C317" s="2"/>
    </row>
    <row r="318" ht="15.75" customHeight="1">
      <c r="A318" s="2"/>
      <c r="B318" s="2"/>
      <c r="C318" s="2"/>
    </row>
    <row r="319" ht="15.75" customHeight="1">
      <c r="A319" s="2"/>
      <c r="B319" s="2"/>
      <c r="C319" s="2"/>
    </row>
    <row r="320" ht="15.75" customHeight="1">
      <c r="A320" s="2"/>
      <c r="B320" s="2"/>
      <c r="C320" s="2"/>
    </row>
    <row r="321" ht="15.75" customHeight="1">
      <c r="A321" s="2"/>
      <c r="B321" s="2"/>
      <c r="C321" s="2"/>
    </row>
    <row r="322" ht="15.75" customHeight="1">
      <c r="A322" s="2"/>
      <c r="B322" s="2"/>
      <c r="C322" s="2"/>
    </row>
    <row r="323" ht="15.75" customHeight="1">
      <c r="A323" s="2"/>
      <c r="B323" s="2"/>
      <c r="C323" s="2"/>
    </row>
    <row r="324" ht="15.75" customHeight="1">
      <c r="A324" s="2"/>
      <c r="B324" s="2"/>
      <c r="C324" s="2"/>
    </row>
    <row r="325" ht="15.75" customHeight="1">
      <c r="A325" s="2"/>
      <c r="B325" s="2"/>
      <c r="C325" s="2"/>
    </row>
    <row r="326" ht="15.75" customHeight="1">
      <c r="A326" s="2"/>
      <c r="B326" s="2"/>
      <c r="C326" s="2"/>
    </row>
    <row r="327" ht="15.75" customHeight="1">
      <c r="A327" s="2"/>
      <c r="B327" s="2"/>
      <c r="C327" s="2"/>
    </row>
    <row r="328" ht="15.75" customHeight="1">
      <c r="A328" s="2"/>
      <c r="B328" s="2"/>
      <c r="C328" s="2"/>
    </row>
    <row r="329" ht="15.75" customHeight="1">
      <c r="A329" s="2"/>
      <c r="B329" s="2"/>
      <c r="C329" s="2"/>
    </row>
    <row r="330" ht="15.75" customHeight="1">
      <c r="A330" s="2"/>
      <c r="B330" s="2"/>
      <c r="C330" s="2"/>
    </row>
    <row r="331" ht="15.75" customHeight="1">
      <c r="A331" s="2"/>
      <c r="B331" s="2"/>
      <c r="C331" s="2"/>
    </row>
    <row r="332" ht="15.75" customHeight="1">
      <c r="A332" s="2"/>
      <c r="B332" s="2"/>
      <c r="C332" s="2"/>
    </row>
    <row r="333" ht="15.75" customHeight="1">
      <c r="A333" s="2"/>
      <c r="B333" s="2"/>
      <c r="C333" s="2"/>
    </row>
    <row r="334" ht="15.75" customHeight="1">
      <c r="A334" s="2"/>
      <c r="B334" s="2"/>
      <c r="C334" s="2"/>
    </row>
    <row r="335" ht="15.75" customHeight="1">
      <c r="A335" s="2"/>
      <c r="B335" s="2"/>
      <c r="C335" s="2"/>
    </row>
    <row r="336" ht="15.75" customHeight="1">
      <c r="A336" s="2"/>
      <c r="B336" s="2"/>
      <c r="C336" s="2"/>
    </row>
    <row r="337" ht="15.75" customHeight="1">
      <c r="A337" s="2"/>
      <c r="B337" s="2"/>
      <c r="C337" s="2"/>
    </row>
    <row r="338" ht="15.75" customHeight="1">
      <c r="A338" s="2"/>
      <c r="B338" s="2"/>
      <c r="C338" s="2"/>
    </row>
    <row r="339" ht="15.75" customHeight="1">
      <c r="A339" s="2"/>
      <c r="B339" s="2"/>
      <c r="C339" s="2"/>
    </row>
    <row r="340" ht="15.75" customHeight="1">
      <c r="A340" s="2"/>
      <c r="B340" s="2"/>
      <c r="C340" s="2"/>
    </row>
    <row r="341" ht="15.75" customHeight="1">
      <c r="A341" s="2"/>
      <c r="B341" s="2"/>
      <c r="C341" s="2"/>
    </row>
    <row r="342" ht="15.75" customHeight="1">
      <c r="A342" s="2"/>
      <c r="B342" s="2"/>
      <c r="C342" s="2"/>
    </row>
    <row r="343" ht="15.75" customHeight="1">
      <c r="A343" s="2"/>
      <c r="B343" s="2"/>
      <c r="C343" s="2"/>
    </row>
    <row r="344" ht="15.75" customHeight="1">
      <c r="A344" s="2"/>
      <c r="B344" s="2"/>
      <c r="C344" s="2"/>
    </row>
    <row r="345" ht="15.75" customHeight="1">
      <c r="A345" s="2"/>
      <c r="B345" s="2"/>
      <c r="C345" s="2"/>
    </row>
    <row r="346" ht="15.75" customHeight="1">
      <c r="A346" s="2"/>
      <c r="B346" s="2"/>
      <c r="C346" s="2"/>
    </row>
    <row r="347" ht="15.75" customHeight="1">
      <c r="A347" s="2"/>
      <c r="B347" s="2"/>
      <c r="C347" s="2"/>
    </row>
    <row r="348" ht="15.75" customHeight="1">
      <c r="A348" s="2"/>
      <c r="B348" s="2"/>
      <c r="C348" s="2"/>
    </row>
    <row r="349" ht="15.75" customHeight="1">
      <c r="A349" s="2"/>
      <c r="B349" s="2"/>
      <c r="C349" s="2"/>
    </row>
    <row r="350" ht="15.75" customHeight="1">
      <c r="A350" s="2"/>
      <c r="B350" s="2"/>
      <c r="C350" s="2"/>
    </row>
    <row r="351" ht="15.75" customHeight="1">
      <c r="A351" s="2"/>
      <c r="B351" s="2"/>
      <c r="C351" s="2"/>
    </row>
    <row r="352" ht="15.75" customHeight="1">
      <c r="A352" s="2"/>
      <c r="B352" s="2"/>
      <c r="C352" s="2"/>
    </row>
    <row r="353" ht="15.75" customHeight="1">
      <c r="A353" s="2"/>
      <c r="B353" s="2"/>
      <c r="C353" s="2"/>
    </row>
    <row r="354" ht="15.75" customHeight="1">
      <c r="A354" s="2"/>
      <c r="B354" s="2"/>
      <c r="C354" s="2"/>
    </row>
    <row r="355" ht="15.75" customHeight="1">
      <c r="A355" s="2"/>
      <c r="B355" s="2"/>
      <c r="C355" s="2"/>
    </row>
    <row r="356" ht="15.75" customHeight="1">
      <c r="A356" s="2"/>
      <c r="B356" s="2"/>
      <c r="C356" s="2"/>
    </row>
    <row r="357" ht="15.75" customHeight="1">
      <c r="A357" s="2"/>
      <c r="B357" s="2"/>
      <c r="C357" s="2"/>
    </row>
    <row r="358" ht="15.75" customHeight="1">
      <c r="A358" s="2"/>
      <c r="B358" s="2"/>
      <c r="C358" s="2"/>
    </row>
    <row r="359" ht="15.75" customHeight="1">
      <c r="A359" s="2"/>
      <c r="B359" s="2"/>
      <c r="C359" s="2"/>
    </row>
    <row r="360" ht="15.75" customHeight="1">
      <c r="A360" s="2"/>
      <c r="B360" s="2"/>
      <c r="C360" s="2"/>
    </row>
    <row r="361" ht="15.75" customHeight="1">
      <c r="A361" s="2"/>
      <c r="B361" s="2"/>
      <c r="C361" s="2"/>
    </row>
    <row r="362" ht="15.75" customHeight="1">
      <c r="A362" s="2"/>
      <c r="B362" s="2"/>
      <c r="C362" s="2"/>
    </row>
    <row r="363" ht="15.75" customHeight="1">
      <c r="A363" s="2"/>
      <c r="B363" s="2"/>
      <c r="C363" s="2"/>
    </row>
    <row r="364" ht="15.75" customHeight="1">
      <c r="A364" s="2"/>
      <c r="B364" s="2"/>
      <c r="C364" s="2"/>
    </row>
    <row r="365" ht="15.75" customHeight="1">
      <c r="A365" s="2"/>
      <c r="B365" s="2"/>
      <c r="C365" s="2"/>
    </row>
    <row r="366" ht="15.75" customHeight="1">
      <c r="A366" s="2"/>
      <c r="B366" s="2"/>
      <c r="C366" s="2"/>
    </row>
    <row r="367" ht="15.75" customHeight="1">
      <c r="A367" s="2"/>
      <c r="B367" s="2"/>
      <c r="C367" s="2"/>
    </row>
    <row r="368" ht="15.75" customHeight="1">
      <c r="A368" s="2"/>
      <c r="B368" s="2"/>
      <c r="C368" s="2"/>
    </row>
    <row r="369" ht="15.75" customHeight="1">
      <c r="A369" s="2"/>
      <c r="B369" s="2"/>
      <c r="C369" s="2"/>
    </row>
    <row r="370" ht="15.75" customHeight="1">
      <c r="A370" s="2"/>
      <c r="B370" s="2"/>
      <c r="C370" s="2"/>
    </row>
    <row r="371" ht="15.75" customHeight="1">
      <c r="A371" s="2"/>
      <c r="B371" s="2"/>
      <c r="C371" s="2"/>
    </row>
    <row r="372" ht="15.75" customHeight="1">
      <c r="A372" s="2"/>
      <c r="B372" s="2"/>
      <c r="C372" s="2"/>
    </row>
    <row r="373" ht="15.75" customHeight="1">
      <c r="A373" s="2"/>
      <c r="B373" s="2"/>
      <c r="C373" s="2"/>
    </row>
    <row r="374" ht="15.75" customHeight="1">
      <c r="A374" s="2"/>
      <c r="B374" s="2"/>
      <c r="C374" s="2"/>
    </row>
    <row r="375" ht="15.75" customHeight="1">
      <c r="A375" s="2"/>
      <c r="B375" s="2"/>
      <c r="C375" s="2"/>
    </row>
    <row r="376" ht="15.75" customHeight="1">
      <c r="A376" s="2"/>
      <c r="B376" s="2"/>
      <c r="C376" s="2"/>
    </row>
    <row r="377" ht="15.75" customHeight="1">
      <c r="A377" s="2"/>
      <c r="B377" s="2"/>
      <c r="C377" s="2"/>
    </row>
    <row r="378" ht="15.75" customHeight="1">
      <c r="A378" s="2"/>
      <c r="B378" s="2"/>
      <c r="C378" s="2"/>
    </row>
    <row r="379" ht="15.75" customHeight="1">
      <c r="A379" s="2"/>
      <c r="B379" s="2"/>
      <c r="C379" s="2"/>
    </row>
    <row r="380" ht="15.75" customHeight="1">
      <c r="A380" s="2"/>
      <c r="B380" s="2"/>
      <c r="C380" s="2"/>
    </row>
    <row r="381" ht="15.75" customHeight="1">
      <c r="A381" s="2"/>
      <c r="B381" s="2"/>
      <c r="C381" s="2"/>
    </row>
    <row r="382" ht="15.75" customHeight="1">
      <c r="A382" s="2"/>
      <c r="B382" s="2"/>
      <c r="C382" s="2"/>
    </row>
    <row r="383" ht="15.75" customHeight="1">
      <c r="A383" s="2"/>
      <c r="B383" s="2"/>
      <c r="C383" s="2"/>
    </row>
    <row r="384" ht="15.75" customHeight="1">
      <c r="A384" s="2"/>
      <c r="B384" s="2"/>
      <c r="C384" s="2"/>
    </row>
    <row r="385" ht="15.75" customHeight="1">
      <c r="A385" s="2"/>
      <c r="B385" s="2"/>
      <c r="C385" s="2"/>
    </row>
    <row r="386" ht="15.75" customHeight="1">
      <c r="A386" s="2"/>
      <c r="B386" s="2"/>
      <c r="C386" s="2"/>
    </row>
    <row r="387" ht="15.75" customHeight="1">
      <c r="A387" s="2"/>
      <c r="B387" s="2"/>
      <c r="C387" s="2"/>
    </row>
    <row r="388" ht="15.75" customHeight="1">
      <c r="A388" s="2"/>
      <c r="B388" s="2"/>
      <c r="C388" s="2"/>
    </row>
    <row r="389" ht="15.75" customHeight="1">
      <c r="A389" s="2"/>
      <c r="B389" s="2"/>
      <c r="C389" s="2"/>
    </row>
    <row r="390" ht="15.75" customHeight="1">
      <c r="A390" s="2"/>
      <c r="B390" s="2"/>
      <c r="C390" s="2"/>
    </row>
    <row r="391" ht="15.75" customHeight="1">
      <c r="A391" s="2"/>
      <c r="B391" s="2"/>
      <c r="C391" s="2"/>
    </row>
    <row r="392" ht="15.75" customHeight="1">
      <c r="A392" s="2"/>
      <c r="B392" s="2"/>
      <c r="C392" s="2"/>
    </row>
    <row r="393" ht="15.75" customHeight="1">
      <c r="A393" s="2"/>
      <c r="B393" s="2"/>
      <c r="C393" s="2"/>
    </row>
    <row r="394" ht="15.75" customHeight="1">
      <c r="A394" s="2"/>
      <c r="B394" s="2"/>
      <c r="C394" s="2"/>
    </row>
    <row r="395" ht="15.75" customHeight="1">
      <c r="A395" s="2"/>
      <c r="B395" s="2"/>
      <c r="C395" s="2"/>
    </row>
    <row r="396" ht="15.75" customHeight="1">
      <c r="A396" s="2"/>
      <c r="B396" s="2"/>
      <c r="C396" s="2"/>
    </row>
    <row r="397" ht="15.75" customHeight="1">
      <c r="A397" s="2"/>
      <c r="B397" s="2"/>
      <c r="C397" s="2"/>
    </row>
    <row r="398" ht="15.75" customHeight="1">
      <c r="A398" s="2"/>
      <c r="B398" s="2"/>
      <c r="C398" s="2"/>
    </row>
    <row r="399" ht="15.75" customHeight="1">
      <c r="A399" s="2"/>
      <c r="B399" s="2"/>
      <c r="C399" s="2"/>
    </row>
    <row r="400" ht="15.75" customHeight="1">
      <c r="A400" s="2"/>
      <c r="B400" s="2"/>
      <c r="C400" s="2"/>
    </row>
    <row r="401" ht="15.75" customHeight="1">
      <c r="A401" s="2"/>
      <c r="B401" s="2"/>
      <c r="C401" s="2"/>
    </row>
    <row r="402" ht="15.75" customHeight="1">
      <c r="A402" s="2"/>
      <c r="B402" s="2"/>
      <c r="C402" s="2"/>
    </row>
    <row r="403" ht="15.75" customHeight="1">
      <c r="A403" s="2"/>
      <c r="B403" s="2"/>
      <c r="C403" s="2"/>
    </row>
    <row r="404" ht="15.75" customHeight="1">
      <c r="A404" s="2"/>
      <c r="B404" s="2"/>
      <c r="C404" s="2"/>
    </row>
    <row r="405" ht="15.75" customHeight="1">
      <c r="A405" s="2"/>
      <c r="B405" s="2"/>
      <c r="C405" s="2"/>
    </row>
    <row r="406" ht="15.75" customHeight="1">
      <c r="A406" s="2"/>
      <c r="B406" s="2"/>
      <c r="C406" s="2"/>
    </row>
    <row r="407" ht="15.75" customHeight="1">
      <c r="A407" s="2"/>
      <c r="B407" s="2"/>
      <c r="C407" s="2"/>
    </row>
    <row r="408" ht="15.75" customHeight="1">
      <c r="A408" s="2"/>
      <c r="B408" s="2"/>
      <c r="C408" s="2"/>
    </row>
    <row r="409" ht="15.75" customHeight="1">
      <c r="A409" s="2"/>
      <c r="B409" s="2"/>
      <c r="C409" s="2"/>
    </row>
    <row r="410" ht="15.75" customHeight="1">
      <c r="A410" s="2"/>
      <c r="B410" s="2"/>
      <c r="C410" s="2"/>
    </row>
    <row r="411" ht="15.75" customHeight="1">
      <c r="A411" s="2"/>
      <c r="B411" s="2"/>
      <c r="C411" s="2"/>
    </row>
    <row r="412" ht="15.75" customHeight="1">
      <c r="A412" s="2"/>
      <c r="B412" s="2"/>
      <c r="C412" s="2"/>
    </row>
    <row r="413" ht="15.75" customHeight="1">
      <c r="A413" s="2"/>
      <c r="B413" s="2"/>
      <c r="C413" s="2"/>
    </row>
    <row r="414" ht="15.75" customHeight="1">
      <c r="A414" s="2"/>
      <c r="B414" s="2"/>
      <c r="C414" s="2"/>
    </row>
    <row r="415" ht="15.75" customHeight="1">
      <c r="A415" s="2"/>
      <c r="B415" s="2"/>
      <c r="C415" s="2"/>
    </row>
    <row r="416" ht="15.75" customHeight="1">
      <c r="A416" s="2"/>
      <c r="B416" s="2"/>
      <c r="C416" s="2"/>
    </row>
    <row r="417" ht="15.75" customHeight="1">
      <c r="A417" s="2"/>
      <c r="B417" s="2"/>
      <c r="C417" s="2"/>
    </row>
    <row r="418" ht="15.75" customHeight="1">
      <c r="A418" s="2"/>
      <c r="B418" s="2"/>
      <c r="C418" s="2"/>
    </row>
    <row r="419" ht="15.75" customHeight="1">
      <c r="A419" s="2"/>
      <c r="B419" s="2"/>
      <c r="C419" s="2"/>
    </row>
    <row r="420" ht="15.75" customHeight="1">
      <c r="A420" s="2"/>
      <c r="B420" s="2"/>
      <c r="C420" s="2"/>
    </row>
    <row r="421" ht="15.75" customHeight="1">
      <c r="A421" s="2"/>
      <c r="B421" s="2"/>
      <c r="C421" s="2"/>
    </row>
    <row r="422" ht="15.75" customHeight="1">
      <c r="A422" s="2"/>
      <c r="B422" s="2"/>
      <c r="C422" s="2"/>
    </row>
    <row r="423" ht="15.75" customHeight="1">
      <c r="A423" s="2"/>
      <c r="B423" s="2"/>
      <c r="C423" s="2"/>
    </row>
    <row r="424" ht="15.75" customHeight="1">
      <c r="A424" s="2"/>
      <c r="B424" s="2"/>
      <c r="C424" s="2"/>
    </row>
    <row r="425" ht="15.75" customHeight="1">
      <c r="A425" s="2"/>
      <c r="B425" s="2"/>
      <c r="C425" s="2"/>
    </row>
    <row r="426" ht="15.75" customHeight="1">
      <c r="A426" s="2"/>
      <c r="B426" s="2"/>
      <c r="C426" s="2"/>
    </row>
    <row r="427" ht="15.75" customHeight="1">
      <c r="A427" s="2"/>
      <c r="B427" s="2"/>
      <c r="C427" s="2"/>
    </row>
    <row r="428" ht="15.75" customHeight="1">
      <c r="A428" s="2"/>
      <c r="B428" s="2"/>
      <c r="C428" s="2"/>
    </row>
    <row r="429" ht="15.75" customHeight="1">
      <c r="A429" s="2"/>
      <c r="B429" s="2"/>
      <c r="C429" s="2"/>
    </row>
    <row r="430" ht="15.75" customHeight="1">
      <c r="A430" s="2"/>
      <c r="B430" s="2"/>
      <c r="C430" s="2"/>
    </row>
    <row r="431" ht="15.75" customHeight="1">
      <c r="A431" s="2"/>
      <c r="B431" s="2"/>
      <c r="C431" s="2"/>
    </row>
    <row r="432" ht="15.75" customHeight="1">
      <c r="A432" s="2"/>
      <c r="B432" s="2"/>
      <c r="C432" s="2"/>
    </row>
    <row r="433" ht="15.75" customHeight="1">
      <c r="A433" s="2"/>
      <c r="B433" s="2"/>
      <c r="C433" s="2"/>
    </row>
    <row r="434" ht="15.75" customHeight="1">
      <c r="A434" s="2"/>
      <c r="B434" s="2"/>
      <c r="C434" s="2"/>
    </row>
    <row r="435" ht="15.75" customHeight="1">
      <c r="A435" s="2"/>
      <c r="B435" s="2"/>
      <c r="C435" s="2"/>
    </row>
    <row r="436" ht="15.75" customHeight="1">
      <c r="A436" s="2"/>
      <c r="B436" s="2"/>
      <c r="C436" s="2"/>
    </row>
    <row r="437" ht="15.75" customHeight="1">
      <c r="A437" s="2"/>
      <c r="B437" s="2"/>
      <c r="C437" s="2"/>
    </row>
    <row r="438" ht="15.75" customHeight="1">
      <c r="A438" s="2"/>
      <c r="B438" s="2"/>
      <c r="C438" s="2"/>
    </row>
    <row r="439" ht="15.75" customHeight="1">
      <c r="A439" s="2"/>
      <c r="B439" s="2"/>
      <c r="C439" s="2"/>
    </row>
    <row r="440" ht="15.75" customHeight="1">
      <c r="A440" s="2"/>
      <c r="B440" s="2"/>
      <c r="C440" s="2"/>
    </row>
    <row r="441" ht="15.75" customHeight="1">
      <c r="A441" s="2"/>
      <c r="B441" s="2"/>
      <c r="C441" s="2"/>
    </row>
    <row r="442" ht="15.75" customHeight="1">
      <c r="A442" s="2"/>
      <c r="B442" s="2"/>
      <c r="C442" s="2"/>
    </row>
    <row r="443" ht="15.75" customHeight="1">
      <c r="A443" s="2"/>
      <c r="B443" s="2"/>
      <c r="C443" s="2"/>
    </row>
    <row r="444" ht="15.75" customHeight="1">
      <c r="A444" s="2"/>
      <c r="B444" s="2"/>
      <c r="C444" s="2"/>
    </row>
    <row r="445" ht="15.75" customHeight="1">
      <c r="A445" s="2"/>
      <c r="B445" s="2"/>
      <c r="C445" s="2"/>
    </row>
    <row r="446" ht="15.75" customHeight="1">
      <c r="A446" s="2"/>
      <c r="B446" s="2"/>
      <c r="C446" s="2"/>
    </row>
    <row r="447" ht="15.75" customHeight="1">
      <c r="A447" s="2"/>
      <c r="B447" s="2"/>
      <c r="C447" s="2"/>
    </row>
    <row r="448" ht="15.75" customHeight="1">
      <c r="A448" s="2"/>
      <c r="B448" s="2"/>
      <c r="C448" s="2"/>
    </row>
    <row r="449" ht="15.75" customHeight="1">
      <c r="A449" s="2"/>
      <c r="B449" s="2"/>
      <c r="C449" s="2"/>
    </row>
    <row r="450" ht="15.75" customHeight="1">
      <c r="A450" s="2"/>
      <c r="B450" s="2"/>
      <c r="C450" s="2"/>
    </row>
    <row r="451" ht="15.75" customHeight="1">
      <c r="A451" s="2"/>
      <c r="B451" s="2"/>
      <c r="C451" s="2"/>
    </row>
    <row r="452" ht="15.75" customHeight="1">
      <c r="A452" s="2"/>
      <c r="B452" s="2"/>
      <c r="C452" s="2"/>
    </row>
    <row r="453" ht="15.75" customHeight="1">
      <c r="A453" s="2"/>
      <c r="B453" s="2"/>
      <c r="C453" s="2"/>
    </row>
    <row r="454" ht="15.75" customHeight="1">
      <c r="A454" s="2"/>
      <c r="B454" s="2"/>
      <c r="C454" s="2"/>
    </row>
    <row r="455" ht="15.75" customHeight="1">
      <c r="A455" s="2"/>
      <c r="B455" s="2"/>
      <c r="C455" s="2"/>
    </row>
    <row r="456" ht="15.75" customHeight="1">
      <c r="A456" s="2"/>
      <c r="B456" s="2"/>
      <c r="C456" s="2"/>
    </row>
    <row r="457" ht="15.75" customHeight="1">
      <c r="A457" s="2"/>
      <c r="B457" s="2"/>
      <c r="C457" s="2"/>
    </row>
    <row r="458" ht="15.75" customHeight="1">
      <c r="A458" s="2"/>
      <c r="B458" s="2"/>
      <c r="C458" s="2"/>
    </row>
    <row r="459" ht="15.75" customHeight="1">
      <c r="A459" s="2"/>
      <c r="B459" s="2"/>
      <c r="C459" s="2"/>
    </row>
    <row r="460" ht="15.75" customHeight="1">
      <c r="A460" s="2"/>
      <c r="B460" s="2"/>
      <c r="C460" s="2"/>
    </row>
    <row r="461" ht="15.75" customHeight="1">
      <c r="A461" s="2"/>
      <c r="B461" s="2"/>
      <c r="C461" s="2"/>
    </row>
    <row r="462" ht="15.75" customHeight="1">
      <c r="A462" s="2"/>
      <c r="B462" s="2"/>
      <c r="C462" s="2"/>
    </row>
    <row r="463" ht="15.75" customHeight="1">
      <c r="A463" s="2"/>
      <c r="B463" s="2"/>
      <c r="C463" s="2"/>
    </row>
    <row r="464" ht="15.75" customHeight="1">
      <c r="A464" s="2"/>
      <c r="B464" s="2"/>
      <c r="C464" s="2"/>
    </row>
    <row r="465" ht="15.75" customHeight="1">
      <c r="A465" s="2"/>
      <c r="B465" s="2"/>
      <c r="C465" s="2"/>
    </row>
    <row r="466" ht="15.75" customHeight="1">
      <c r="A466" s="2"/>
      <c r="B466" s="2"/>
      <c r="C466" s="2"/>
    </row>
    <row r="467" ht="15.75" customHeight="1">
      <c r="A467" s="2"/>
      <c r="B467" s="2"/>
      <c r="C467" s="2"/>
    </row>
    <row r="468" ht="15.75" customHeight="1">
      <c r="A468" s="2"/>
      <c r="B468" s="2"/>
      <c r="C468" s="2"/>
    </row>
    <row r="469" ht="15.75" customHeight="1">
      <c r="A469" s="2"/>
      <c r="B469" s="2"/>
      <c r="C469" s="2"/>
    </row>
    <row r="470" ht="15.75" customHeight="1">
      <c r="A470" s="2"/>
      <c r="B470" s="2"/>
      <c r="C470" s="2"/>
    </row>
    <row r="471" ht="15.75" customHeight="1">
      <c r="A471" s="2"/>
      <c r="B471" s="2"/>
      <c r="C471" s="2"/>
    </row>
    <row r="472" ht="15.75" customHeight="1">
      <c r="A472" s="2"/>
      <c r="B472" s="2"/>
      <c r="C472" s="2"/>
    </row>
    <row r="473" ht="15.75" customHeight="1">
      <c r="A473" s="2"/>
      <c r="B473" s="2"/>
      <c r="C473" s="2"/>
    </row>
    <row r="474" ht="15.75" customHeight="1">
      <c r="A474" s="2"/>
      <c r="B474" s="2"/>
      <c r="C474" s="2"/>
    </row>
    <row r="475" ht="15.75" customHeight="1">
      <c r="A475" s="2"/>
      <c r="B475" s="2"/>
      <c r="C475" s="2"/>
    </row>
    <row r="476" ht="15.75" customHeight="1">
      <c r="A476" s="2"/>
      <c r="B476" s="2"/>
      <c r="C476" s="2"/>
    </row>
    <row r="477" ht="15.75" customHeight="1">
      <c r="A477" s="2"/>
      <c r="B477" s="2"/>
      <c r="C477" s="2"/>
    </row>
    <row r="478" ht="15.75" customHeight="1">
      <c r="A478" s="2"/>
      <c r="B478" s="2"/>
      <c r="C478" s="2"/>
    </row>
    <row r="479" ht="15.75" customHeight="1">
      <c r="A479" s="2"/>
      <c r="B479" s="2"/>
      <c r="C479" s="2"/>
    </row>
    <row r="480" ht="15.75" customHeight="1">
      <c r="A480" s="2"/>
      <c r="B480" s="2"/>
      <c r="C480" s="2"/>
    </row>
    <row r="481" ht="15.75" customHeight="1">
      <c r="A481" s="2"/>
      <c r="B481" s="2"/>
      <c r="C481" s="2"/>
    </row>
    <row r="482" ht="15.75" customHeight="1">
      <c r="A482" s="2"/>
      <c r="B482" s="2"/>
      <c r="C482" s="2"/>
    </row>
    <row r="483" ht="15.75" customHeight="1">
      <c r="A483" s="2"/>
      <c r="B483" s="2"/>
      <c r="C483" s="2"/>
    </row>
    <row r="484" ht="15.75" customHeight="1">
      <c r="A484" s="2"/>
      <c r="B484" s="2"/>
      <c r="C484" s="2"/>
    </row>
    <row r="485" ht="15.75" customHeight="1">
      <c r="A485" s="2"/>
      <c r="B485" s="2"/>
      <c r="C485" s="2"/>
    </row>
    <row r="486" ht="15.75" customHeight="1">
      <c r="A486" s="2"/>
      <c r="B486" s="2"/>
      <c r="C486" s="2"/>
    </row>
    <row r="487" ht="15.75" customHeight="1">
      <c r="A487" s="2"/>
      <c r="B487" s="2"/>
      <c r="C487" s="2"/>
    </row>
    <row r="488" ht="15.75" customHeight="1">
      <c r="A488" s="2"/>
      <c r="B488" s="2"/>
      <c r="C488" s="2"/>
    </row>
    <row r="489" ht="15.75" customHeight="1">
      <c r="A489" s="2"/>
      <c r="B489" s="2"/>
      <c r="C489" s="2"/>
    </row>
    <row r="490" ht="15.75" customHeight="1">
      <c r="A490" s="2"/>
      <c r="B490" s="2"/>
      <c r="C490" s="2"/>
    </row>
    <row r="491" ht="15.75" customHeight="1">
      <c r="A491" s="2"/>
      <c r="B491" s="2"/>
      <c r="C491" s="2"/>
    </row>
    <row r="492" ht="15.75" customHeight="1">
      <c r="A492" s="2"/>
      <c r="B492" s="2"/>
      <c r="C492" s="2"/>
    </row>
    <row r="493" ht="15.75" customHeight="1">
      <c r="A493" s="2"/>
      <c r="B493" s="2"/>
      <c r="C493" s="2"/>
    </row>
    <row r="494" ht="15.75" customHeight="1">
      <c r="A494" s="2"/>
      <c r="B494" s="2"/>
      <c r="C494" s="2"/>
    </row>
    <row r="495" ht="15.75" customHeight="1">
      <c r="A495" s="2"/>
      <c r="B495" s="2"/>
      <c r="C495" s="2"/>
    </row>
    <row r="496" ht="15.75" customHeight="1">
      <c r="A496" s="2"/>
      <c r="B496" s="2"/>
      <c r="C496" s="2"/>
    </row>
    <row r="497" ht="15.75" customHeight="1">
      <c r="A497" s="2"/>
      <c r="B497" s="2"/>
      <c r="C497" s="2"/>
    </row>
    <row r="498" ht="15.75" customHeight="1">
      <c r="A498" s="2"/>
      <c r="B498" s="2"/>
      <c r="C498" s="2"/>
    </row>
    <row r="499" ht="15.75" customHeight="1">
      <c r="A499" s="2"/>
      <c r="B499" s="2"/>
      <c r="C499" s="2"/>
    </row>
    <row r="500" ht="15.75" customHeight="1">
      <c r="A500" s="2"/>
      <c r="B500" s="2"/>
      <c r="C500" s="2"/>
    </row>
    <row r="501" ht="15.75" customHeight="1">
      <c r="A501" s="2"/>
      <c r="B501" s="2"/>
      <c r="C501" s="2"/>
    </row>
    <row r="502" ht="15.75" customHeight="1">
      <c r="A502" s="2"/>
      <c r="B502" s="2"/>
      <c r="C502" s="2"/>
    </row>
    <row r="503" ht="15.75" customHeight="1">
      <c r="A503" s="2"/>
      <c r="B503" s="2"/>
      <c r="C503" s="2"/>
    </row>
    <row r="504" ht="15.75" customHeight="1">
      <c r="A504" s="2"/>
      <c r="B504" s="2"/>
      <c r="C504" s="2"/>
    </row>
    <row r="505" ht="15.75" customHeight="1">
      <c r="A505" s="2"/>
      <c r="B505" s="2"/>
      <c r="C505" s="2"/>
    </row>
    <row r="506" ht="15.75" customHeight="1">
      <c r="A506" s="2"/>
      <c r="B506" s="2"/>
      <c r="C506" s="2"/>
    </row>
    <row r="507" ht="15.75" customHeight="1">
      <c r="A507" s="2"/>
      <c r="B507" s="2"/>
      <c r="C507" s="2"/>
    </row>
    <row r="508" ht="15.75" customHeight="1">
      <c r="A508" s="2"/>
      <c r="B508" s="2"/>
      <c r="C508" s="2"/>
    </row>
    <row r="509" ht="15.75" customHeight="1">
      <c r="A509" s="2"/>
      <c r="B509" s="2"/>
      <c r="C509" s="2"/>
    </row>
    <row r="510" ht="15.75" customHeight="1">
      <c r="A510" s="2"/>
      <c r="B510" s="2"/>
      <c r="C510" s="2"/>
    </row>
    <row r="511" ht="15.75" customHeight="1">
      <c r="A511" s="2"/>
      <c r="B511" s="2"/>
      <c r="C511" s="2"/>
    </row>
    <row r="512" ht="15.75" customHeight="1">
      <c r="A512" s="2"/>
      <c r="B512" s="2"/>
      <c r="C512" s="2"/>
    </row>
    <row r="513" ht="15.75" customHeight="1">
      <c r="A513" s="2"/>
      <c r="B513" s="2"/>
      <c r="C513" s="2"/>
    </row>
    <row r="514" ht="15.75" customHeight="1">
      <c r="A514" s="2"/>
      <c r="B514" s="2"/>
      <c r="C514" s="2"/>
    </row>
    <row r="515" ht="15.75" customHeight="1">
      <c r="A515" s="2"/>
      <c r="B515" s="2"/>
      <c r="C515" s="2"/>
    </row>
    <row r="516" ht="15.75" customHeight="1">
      <c r="A516" s="2"/>
      <c r="B516" s="2"/>
      <c r="C516" s="2"/>
    </row>
    <row r="517" ht="15.75" customHeight="1">
      <c r="A517" s="2"/>
      <c r="B517" s="2"/>
      <c r="C517" s="2"/>
    </row>
    <row r="518" ht="15.75" customHeight="1">
      <c r="A518" s="2"/>
      <c r="B518" s="2"/>
      <c r="C518" s="2"/>
    </row>
    <row r="519" ht="15.75" customHeight="1">
      <c r="A519" s="2"/>
      <c r="B519" s="2"/>
      <c r="C519" s="2"/>
    </row>
    <row r="520" ht="15.75" customHeight="1">
      <c r="A520" s="2"/>
      <c r="B520" s="2"/>
      <c r="C520" s="2"/>
    </row>
    <row r="521" ht="15.75" customHeight="1">
      <c r="A521" s="2"/>
      <c r="B521" s="2"/>
      <c r="C521" s="2"/>
    </row>
    <row r="522" ht="15.75" customHeight="1">
      <c r="A522" s="2"/>
      <c r="B522" s="2"/>
      <c r="C522" s="2"/>
    </row>
    <row r="523" ht="15.75" customHeight="1">
      <c r="A523" s="2"/>
      <c r="B523" s="2"/>
      <c r="C523" s="2"/>
    </row>
    <row r="524" ht="15.75" customHeight="1">
      <c r="A524" s="2"/>
      <c r="B524" s="2"/>
      <c r="C524" s="2"/>
    </row>
    <row r="525" ht="15.75" customHeight="1">
      <c r="A525" s="2"/>
      <c r="B525" s="2"/>
      <c r="C525" s="2"/>
    </row>
    <row r="526" ht="15.75" customHeight="1">
      <c r="A526" s="2"/>
      <c r="B526" s="2"/>
      <c r="C526" s="2"/>
    </row>
    <row r="527" ht="15.75" customHeight="1">
      <c r="A527" s="2"/>
      <c r="B527" s="2"/>
      <c r="C527" s="2"/>
    </row>
    <row r="528" ht="15.75" customHeight="1">
      <c r="A528" s="2"/>
      <c r="B528" s="2"/>
      <c r="C528" s="2"/>
    </row>
    <row r="529" ht="15.75" customHeight="1">
      <c r="A529" s="2"/>
      <c r="B529" s="2"/>
      <c r="C529" s="2"/>
    </row>
    <row r="530" ht="15.75" customHeight="1">
      <c r="A530" s="2"/>
      <c r="B530" s="2"/>
      <c r="C530" s="2"/>
    </row>
    <row r="531" ht="15.75" customHeight="1">
      <c r="A531" s="2"/>
      <c r="B531" s="2"/>
      <c r="C531" s="2"/>
    </row>
    <row r="532" ht="15.75" customHeight="1">
      <c r="A532" s="2"/>
      <c r="B532" s="2"/>
      <c r="C532" s="2"/>
    </row>
    <row r="533" ht="15.75" customHeight="1">
      <c r="A533" s="2"/>
      <c r="B533" s="2"/>
      <c r="C533" s="2"/>
    </row>
    <row r="534" ht="15.75" customHeight="1">
      <c r="A534" s="2"/>
      <c r="B534" s="2"/>
      <c r="C534" s="2"/>
    </row>
    <row r="535" ht="15.75" customHeight="1">
      <c r="A535" s="2"/>
      <c r="B535" s="2"/>
      <c r="C535" s="2"/>
    </row>
    <row r="536" ht="15.75" customHeight="1">
      <c r="A536" s="2"/>
      <c r="B536" s="2"/>
      <c r="C536" s="2"/>
    </row>
    <row r="537" ht="15.75" customHeight="1">
      <c r="A537" s="2"/>
      <c r="B537" s="2"/>
      <c r="C537" s="2"/>
    </row>
    <row r="538" ht="15.75" customHeight="1">
      <c r="A538" s="2"/>
      <c r="B538" s="2"/>
      <c r="C538" s="2"/>
    </row>
    <row r="539" ht="15.75" customHeight="1">
      <c r="A539" s="2"/>
      <c r="B539" s="2"/>
      <c r="C539" s="2"/>
    </row>
    <row r="540" ht="15.75" customHeight="1">
      <c r="A540" s="2"/>
      <c r="B540" s="2"/>
      <c r="C540" s="2"/>
    </row>
    <row r="541" ht="15.75" customHeight="1">
      <c r="A541" s="2"/>
      <c r="B541" s="2"/>
      <c r="C541" s="2"/>
    </row>
    <row r="542" ht="15.75" customHeight="1">
      <c r="A542" s="2"/>
      <c r="B542" s="2"/>
      <c r="C542" s="2"/>
    </row>
    <row r="543" ht="15.75" customHeight="1">
      <c r="A543" s="2"/>
      <c r="B543" s="2"/>
      <c r="C543" s="2"/>
    </row>
    <row r="544" ht="15.75" customHeight="1">
      <c r="A544" s="2"/>
      <c r="B544" s="2"/>
      <c r="C544" s="2"/>
    </row>
    <row r="545" ht="15.75" customHeight="1">
      <c r="A545" s="2"/>
      <c r="B545" s="2"/>
      <c r="C545" s="2"/>
    </row>
    <row r="546" ht="15.75" customHeight="1">
      <c r="A546" s="2"/>
      <c r="B546" s="2"/>
      <c r="C546" s="2"/>
    </row>
    <row r="547" ht="15.75" customHeight="1">
      <c r="A547" s="2"/>
      <c r="B547" s="2"/>
      <c r="C547" s="2"/>
    </row>
    <row r="548" ht="15.75" customHeight="1">
      <c r="A548" s="2"/>
      <c r="B548" s="2"/>
      <c r="C548" s="2"/>
    </row>
    <row r="549" ht="15.75" customHeight="1">
      <c r="A549" s="2"/>
      <c r="B549" s="2"/>
      <c r="C549" s="2"/>
    </row>
    <row r="550" ht="15.75" customHeight="1">
      <c r="A550" s="2"/>
      <c r="B550" s="2"/>
      <c r="C550" s="2"/>
    </row>
    <row r="551" ht="15.75" customHeight="1">
      <c r="A551" s="2"/>
      <c r="B551" s="2"/>
      <c r="C551" s="2"/>
    </row>
    <row r="552" ht="15.75" customHeight="1">
      <c r="A552" s="2"/>
      <c r="B552" s="2"/>
      <c r="C552" s="2"/>
    </row>
    <row r="553" ht="15.75" customHeight="1">
      <c r="A553" s="2"/>
      <c r="B553" s="2"/>
      <c r="C553" s="2"/>
    </row>
    <row r="554" ht="15.75" customHeight="1">
      <c r="A554" s="2"/>
      <c r="B554" s="2"/>
      <c r="C554" s="2"/>
    </row>
    <row r="555" ht="15.75" customHeight="1">
      <c r="A555" s="2"/>
      <c r="B555" s="2"/>
      <c r="C555" s="2"/>
    </row>
    <row r="556" ht="15.75" customHeight="1">
      <c r="A556" s="2"/>
      <c r="B556" s="2"/>
      <c r="C556" s="2"/>
    </row>
    <row r="557" ht="15.75" customHeight="1">
      <c r="A557" s="2"/>
      <c r="B557" s="2"/>
      <c r="C557" s="2"/>
    </row>
    <row r="558" ht="15.75" customHeight="1">
      <c r="A558" s="2"/>
      <c r="B558" s="2"/>
      <c r="C558" s="2"/>
    </row>
    <row r="559" ht="15.75" customHeight="1">
      <c r="A559" s="2"/>
      <c r="B559" s="2"/>
      <c r="C559" s="2"/>
    </row>
    <row r="560" ht="15.75" customHeight="1">
      <c r="A560" s="2"/>
      <c r="B560" s="2"/>
      <c r="C560" s="2"/>
    </row>
    <row r="561" ht="15.75" customHeight="1">
      <c r="A561" s="2"/>
      <c r="B561" s="2"/>
      <c r="C561" s="2"/>
    </row>
    <row r="562" ht="15.75" customHeight="1">
      <c r="A562" s="2"/>
      <c r="B562" s="2"/>
      <c r="C562" s="2"/>
    </row>
    <row r="563" ht="15.75" customHeight="1">
      <c r="A563" s="2"/>
      <c r="B563" s="2"/>
      <c r="C563" s="2"/>
    </row>
    <row r="564" ht="15.75" customHeight="1">
      <c r="A564" s="2"/>
      <c r="B564" s="2"/>
      <c r="C564" s="2"/>
    </row>
    <row r="565" ht="15.75" customHeight="1">
      <c r="A565" s="2"/>
      <c r="B565" s="2"/>
      <c r="C565" s="2"/>
    </row>
    <row r="566" ht="15.75" customHeight="1">
      <c r="A566" s="2"/>
      <c r="B566" s="2"/>
      <c r="C566" s="2"/>
    </row>
    <row r="567" ht="15.75" customHeight="1">
      <c r="A567" s="2"/>
      <c r="B567" s="2"/>
      <c r="C567" s="2"/>
    </row>
    <row r="568" ht="15.75" customHeight="1">
      <c r="A568" s="2"/>
      <c r="B568" s="2"/>
      <c r="C568" s="2"/>
    </row>
    <row r="569" ht="15.75" customHeight="1">
      <c r="A569" s="2"/>
      <c r="B569" s="2"/>
      <c r="C569" s="2"/>
    </row>
    <row r="570" ht="15.75" customHeight="1">
      <c r="A570" s="2"/>
      <c r="B570" s="2"/>
      <c r="C570" s="2"/>
    </row>
    <row r="571" ht="15.75" customHeight="1">
      <c r="A571" s="2"/>
      <c r="B571" s="2"/>
      <c r="C571" s="2"/>
    </row>
    <row r="572" ht="15.75" customHeight="1">
      <c r="A572" s="2"/>
      <c r="B572" s="2"/>
      <c r="C572" s="2"/>
    </row>
    <row r="573" ht="15.75" customHeight="1">
      <c r="A573" s="2"/>
      <c r="B573" s="2"/>
      <c r="C573" s="2"/>
    </row>
    <row r="574" ht="15.75" customHeight="1">
      <c r="A574" s="2"/>
      <c r="B574" s="2"/>
      <c r="C574" s="2"/>
    </row>
    <row r="575" ht="15.75" customHeight="1">
      <c r="A575" s="2"/>
      <c r="B575" s="2"/>
      <c r="C575" s="2"/>
    </row>
    <row r="576" ht="15.75" customHeight="1">
      <c r="A576" s="2"/>
      <c r="B576" s="2"/>
      <c r="C576" s="2"/>
    </row>
    <row r="577" ht="15.75" customHeight="1">
      <c r="A577" s="2"/>
      <c r="B577" s="2"/>
      <c r="C577" s="2"/>
    </row>
    <row r="578" ht="15.75" customHeight="1">
      <c r="A578" s="2"/>
      <c r="B578" s="2"/>
      <c r="C578" s="2"/>
    </row>
    <row r="579" ht="15.75" customHeight="1">
      <c r="A579" s="2"/>
      <c r="B579" s="2"/>
      <c r="C579" s="2"/>
    </row>
    <row r="580" ht="15.75" customHeight="1">
      <c r="A580" s="2"/>
      <c r="B580" s="2"/>
      <c r="C580" s="2"/>
    </row>
    <row r="581" ht="15.75" customHeight="1">
      <c r="A581" s="2"/>
      <c r="B581" s="2"/>
      <c r="C581" s="2"/>
    </row>
    <row r="582" ht="15.75" customHeight="1">
      <c r="A582" s="2"/>
      <c r="B582" s="2"/>
      <c r="C582" s="2"/>
    </row>
    <row r="583" ht="15.75" customHeight="1">
      <c r="A583" s="2"/>
      <c r="B583" s="2"/>
      <c r="C583" s="2"/>
    </row>
    <row r="584" ht="15.75" customHeight="1">
      <c r="A584" s="2"/>
      <c r="B584" s="2"/>
      <c r="C584" s="2"/>
    </row>
    <row r="585" ht="15.75" customHeight="1">
      <c r="A585" s="2"/>
      <c r="B585" s="2"/>
      <c r="C585" s="2"/>
    </row>
    <row r="586" ht="15.75" customHeight="1">
      <c r="A586" s="2"/>
      <c r="B586" s="2"/>
      <c r="C586" s="2"/>
    </row>
    <row r="587" ht="15.75" customHeight="1">
      <c r="A587" s="2"/>
      <c r="B587" s="2"/>
      <c r="C587" s="2"/>
    </row>
    <row r="588" ht="15.75" customHeight="1">
      <c r="A588" s="2"/>
      <c r="B588" s="2"/>
      <c r="C588" s="2"/>
    </row>
    <row r="589" ht="15.75" customHeight="1">
      <c r="A589" s="2"/>
      <c r="B589" s="2"/>
      <c r="C589" s="2"/>
    </row>
    <row r="590" ht="15.75" customHeight="1">
      <c r="A590" s="2"/>
      <c r="B590" s="2"/>
      <c r="C590" s="2"/>
    </row>
    <row r="591" ht="15.75" customHeight="1">
      <c r="A591" s="2"/>
      <c r="B591" s="2"/>
      <c r="C591" s="2"/>
    </row>
    <row r="592" ht="15.75" customHeight="1">
      <c r="A592" s="2"/>
      <c r="B592" s="2"/>
      <c r="C592" s="2"/>
    </row>
    <row r="593" ht="15.75" customHeight="1">
      <c r="A593" s="2"/>
      <c r="B593" s="2"/>
      <c r="C593" s="2"/>
    </row>
    <row r="594" ht="15.75" customHeight="1">
      <c r="A594" s="2"/>
      <c r="B594" s="2"/>
      <c r="C594" s="2"/>
    </row>
    <row r="595" ht="15.75" customHeight="1">
      <c r="A595" s="2"/>
      <c r="B595" s="2"/>
      <c r="C595" s="2"/>
    </row>
    <row r="596" ht="15.75" customHeight="1">
      <c r="A596" s="2"/>
      <c r="B596" s="2"/>
      <c r="C596" s="2"/>
    </row>
    <row r="597" ht="15.75" customHeight="1">
      <c r="A597" s="2"/>
      <c r="B597" s="2"/>
      <c r="C597" s="2"/>
    </row>
    <row r="598" ht="15.75" customHeight="1">
      <c r="A598" s="2"/>
      <c r="B598" s="2"/>
      <c r="C598" s="2"/>
    </row>
    <row r="599" ht="15.75" customHeight="1">
      <c r="A599" s="2"/>
      <c r="B599" s="2"/>
      <c r="C599" s="2"/>
    </row>
    <row r="600" ht="15.75" customHeight="1">
      <c r="A600" s="2"/>
      <c r="B600" s="2"/>
      <c r="C600" s="2"/>
    </row>
    <row r="601" ht="15.75" customHeight="1">
      <c r="A601" s="2"/>
      <c r="B601" s="2"/>
      <c r="C601" s="2"/>
    </row>
    <row r="602" ht="15.75" customHeight="1">
      <c r="A602" s="2"/>
      <c r="B602" s="2"/>
      <c r="C602" s="2"/>
    </row>
    <row r="603" ht="15.75" customHeight="1">
      <c r="A603" s="2"/>
      <c r="B603" s="2"/>
      <c r="C603" s="2"/>
    </row>
    <row r="604" ht="15.75" customHeight="1">
      <c r="A604" s="2"/>
      <c r="B604" s="2"/>
      <c r="C604" s="2"/>
    </row>
    <row r="605" ht="15.75" customHeight="1">
      <c r="A605" s="2"/>
      <c r="B605" s="2"/>
      <c r="C605" s="2"/>
    </row>
    <row r="606" ht="15.75" customHeight="1">
      <c r="A606" s="2"/>
      <c r="B606" s="2"/>
      <c r="C606" s="2"/>
    </row>
    <row r="607" ht="15.75" customHeight="1">
      <c r="A607" s="2"/>
      <c r="B607" s="2"/>
      <c r="C607" s="2"/>
    </row>
    <row r="608" ht="15.75" customHeight="1">
      <c r="A608" s="2"/>
      <c r="B608" s="2"/>
      <c r="C608" s="2"/>
    </row>
    <row r="609" ht="15.75" customHeight="1">
      <c r="A609" s="2"/>
      <c r="B609" s="2"/>
      <c r="C609" s="2"/>
    </row>
    <row r="610" ht="15.75" customHeight="1">
      <c r="A610" s="2"/>
      <c r="B610" s="2"/>
      <c r="C610" s="2"/>
    </row>
    <row r="611" ht="15.75" customHeight="1">
      <c r="A611" s="2"/>
      <c r="B611" s="2"/>
      <c r="C611" s="2"/>
    </row>
    <row r="612" ht="15.75" customHeight="1">
      <c r="A612" s="2"/>
      <c r="B612" s="2"/>
      <c r="C612" s="2"/>
    </row>
    <row r="613" ht="15.75" customHeight="1">
      <c r="A613" s="2"/>
      <c r="B613" s="2"/>
      <c r="C613" s="2"/>
    </row>
    <row r="614" ht="15.75" customHeight="1">
      <c r="A614" s="2"/>
      <c r="B614" s="2"/>
      <c r="C614" s="2"/>
    </row>
    <row r="615" ht="15.75" customHeight="1">
      <c r="A615" s="2"/>
      <c r="B615" s="2"/>
      <c r="C615" s="2"/>
    </row>
    <row r="616" ht="15.75" customHeight="1">
      <c r="A616" s="2"/>
      <c r="B616" s="2"/>
      <c r="C616" s="2"/>
    </row>
    <row r="617" ht="15.75" customHeight="1">
      <c r="A617" s="2"/>
      <c r="B617" s="2"/>
      <c r="C617" s="2"/>
    </row>
    <row r="618" ht="15.75" customHeight="1">
      <c r="A618" s="2"/>
      <c r="B618" s="2"/>
      <c r="C618" s="2"/>
    </row>
    <row r="619" ht="15.75" customHeight="1">
      <c r="A619" s="2"/>
      <c r="B619" s="2"/>
      <c r="C619" s="2"/>
    </row>
    <row r="620" ht="15.75" customHeight="1">
      <c r="A620" s="2"/>
      <c r="B620" s="2"/>
      <c r="C620" s="2"/>
    </row>
    <row r="621" ht="15.75" customHeight="1">
      <c r="A621" s="2"/>
      <c r="B621" s="2"/>
      <c r="C621" s="2"/>
    </row>
    <row r="622" ht="15.75" customHeight="1">
      <c r="A622" s="2"/>
      <c r="B622" s="2"/>
      <c r="C622" s="2"/>
    </row>
    <row r="623" ht="15.75" customHeight="1">
      <c r="A623" s="2"/>
      <c r="B623" s="2"/>
      <c r="C623" s="2"/>
    </row>
    <row r="624" ht="15.75" customHeight="1">
      <c r="A624" s="2"/>
      <c r="B624" s="2"/>
      <c r="C624" s="2"/>
    </row>
    <row r="625" ht="15.75" customHeight="1">
      <c r="A625" s="2"/>
      <c r="B625" s="2"/>
      <c r="C625" s="2"/>
    </row>
    <row r="626" ht="15.75" customHeight="1">
      <c r="A626" s="2"/>
      <c r="B626" s="2"/>
      <c r="C626" s="2"/>
    </row>
    <row r="627" ht="15.75" customHeight="1">
      <c r="A627" s="2"/>
      <c r="B627" s="2"/>
      <c r="C627" s="2"/>
    </row>
    <row r="628" ht="15.75" customHeight="1">
      <c r="A628" s="2"/>
      <c r="B628" s="2"/>
      <c r="C628" s="2"/>
    </row>
    <row r="629" ht="15.75" customHeight="1">
      <c r="A629" s="2"/>
      <c r="B629" s="2"/>
      <c r="C629" s="2"/>
    </row>
    <row r="630" ht="15.75" customHeight="1">
      <c r="A630" s="2"/>
      <c r="B630" s="2"/>
      <c r="C630" s="2"/>
    </row>
    <row r="631" ht="15.75" customHeight="1">
      <c r="A631" s="2"/>
      <c r="B631" s="2"/>
      <c r="C631" s="2"/>
    </row>
    <row r="632" ht="15.75" customHeight="1">
      <c r="A632" s="2"/>
      <c r="B632" s="2"/>
      <c r="C632" s="2"/>
    </row>
    <row r="633" ht="15.75" customHeight="1">
      <c r="A633" s="2"/>
      <c r="B633" s="2"/>
      <c r="C633" s="2"/>
    </row>
    <row r="634" ht="15.75" customHeight="1">
      <c r="A634" s="2"/>
      <c r="B634" s="2"/>
      <c r="C634" s="2"/>
    </row>
    <row r="635" ht="15.75" customHeight="1">
      <c r="A635" s="2"/>
      <c r="B635" s="2"/>
      <c r="C635" s="2"/>
    </row>
    <row r="636" ht="15.75" customHeight="1">
      <c r="A636" s="2"/>
      <c r="B636" s="2"/>
      <c r="C636" s="2"/>
    </row>
    <row r="637" ht="15.75" customHeight="1">
      <c r="A637" s="2"/>
      <c r="B637" s="2"/>
      <c r="C637" s="2"/>
    </row>
    <row r="638" ht="15.75" customHeight="1">
      <c r="A638" s="2"/>
      <c r="B638" s="2"/>
      <c r="C638" s="2"/>
    </row>
    <row r="639" ht="15.75" customHeight="1">
      <c r="A639" s="2"/>
      <c r="B639" s="2"/>
      <c r="C639" s="2"/>
    </row>
    <row r="640" ht="15.75" customHeight="1">
      <c r="A640" s="2"/>
      <c r="B640" s="2"/>
      <c r="C640" s="2"/>
    </row>
    <row r="641" ht="15.75" customHeight="1">
      <c r="A641" s="2"/>
      <c r="B641" s="2"/>
      <c r="C641" s="2"/>
    </row>
    <row r="642" ht="15.75" customHeight="1">
      <c r="A642" s="2"/>
      <c r="B642" s="2"/>
      <c r="C642" s="2"/>
    </row>
    <row r="643" ht="15.75" customHeight="1">
      <c r="A643" s="2"/>
      <c r="B643" s="2"/>
      <c r="C643" s="2"/>
    </row>
    <row r="644" ht="15.75" customHeight="1">
      <c r="A644" s="2"/>
      <c r="B644" s="2"/>
      <c r="C644" s="2"/>
    </row>
    <row r="645" ht="15.75" customHeight="1">
      <c r="A645" s="2"/>
      <c r="B645" s="2"/>
      <c r="C645" s="2"/>
    </row>
    <row r="646" ht="15.75" customHeight="1">
      <c r="A646" s="2"/>
      <c r="B646" s="2"/>
      <c r="C646" s="2"/>
    </row>
    <row r="647" ht="15.75" customHeight="1">
      <c r="A647" s="2"/>
      <c r="B647" s="2"/>
      <c r="C647" s="2"/>
    </row>
    <row r="648" ht="15.75" customHeight="1">
      <c r="A648" s="2"/>
      <c r="B648" s="2"/>
      <c r="C648" s="2"/>
    </row>
    <row r="649" ht="15.75" customHeight="1">
      <c r="A649" s="2"/>
      <c r="B649" s="2"/>
      <c r="C649" s="2"/>
    </row>
    <row r="650" ht="15.75" customHeight="1">
      <c r="A650" s="2"/>
      <c r="B650" s="2"/>
      <c r="C650" s="2"/>
    </row>
    <row r="651" ht="15.75" customHeight="1">
      <c r="A651" s="2"/>
      <c r="B651" s="2"/>
      <c r="C651" s="2"/>
    </row>
    <row r="652" ht="15.75" customHeight="1">
      <c r="A652" s="2"/>
      <c r="B652" s="2"/>
      <c r="C652" s="2"/>
    </row>
    <row r="653" ht="15.75" customHeight="1">
      <c r="A653" s="2"/>
      <c r="B653" s="2"/>
      <c r="C653" s="2"/>
    </row>
    <row r="654" ht="15.75" customHeight="1">
      <c r="A654" s="2"/>
      <c r="B654" s="2"/>
      <c r="C654" s="2"/>
    </row>
    <row r="655" ht="15.75" customHeight="1">
      <c r="A655" s="2"/>
      <c r="B655" s="2"/>
      <c r="C655" s="2"/>
    </row>
    <row r="656" ht="15.75" customHeight="1">
      <c r="A656" s="2"/>
      <c r="B656" s="2"/>
      <c r="C656" s="2"/>
    </row>
    <row r="657" ht="15.75" customHeight="1">
      <c r="A657" s="2"/>
      <c r="B657" s="2"/>
      <c r="C657" s="2"/>
    </row>
    <row r="658" ht="15.75" customHeight="1">
      <c r="A658" s="2"/>
      <c r="B658" s="2"/>
      <c r="C658" s="2"/>
    </row>
    <row r="659" ht="15.75" customHeight="1">
      <c r="A659" s="2"/>
      <c r="B659" s="2"/>
      <c r="C659" s="2"/>
    </row>
    <row r="660" ht="15.75" customHeight="1">
      <c r="A660" s="2"/>
      <c r="B660" s="2"/>
      <c r="C660" s="2"/>
    </row>
    <row r="661" ht="15.75" customHeight="1">
      <c r="A661" s="2"/>
      <c r="B661" s="2"/>
      <c r="C661" s="2"/>
    </row>
    <row r="662" ht="15.75" customHeight="1">
      <c r="A662" s="2"/>
      <c r="B662" s="2"/>
      <c r="C662" s="2"/>
    </row>
    <row r="663" ht="15.75" customHeight="1">
      <c r="A663" s="2"/>
      <c r="B663" s="2"/>
      <c r="C663" s="2"/>
    </row>
    <row r="664" ht="15.75" customHeight="1">
      <c r="A664" s="2"/>
      <c r="B664" s="2"/>
      <c r="C664" s="2"/>
    </row>
    <row r="665" ht="15.75" customHeight="1">
      <c r="A665" s="2"/>
      <c r="B665" s="2"/>
      <c r="C665" s="2"/>
    </row>
    <row r="666" ht="15.75" customHeight="1">
      <c r="A666" s="2"/>
      <c r="B666" s="2"/>
      <c r="C666" s="2"/>
    </row>
    <row r="667" ht="15.75" customHeight="1">
      <c r="A667" s="2"/>
      <c r="B667" s="2"/>
      <c r="C667" s="2"/>
    </row>
    <row r="668" ht="15.75" customHeight="1">
      <c r="A668" s="2"/>
      <c r="B668" s="2"/>
      <c r="C668" s="2"/>
    </row>
    <row r="669" ht="15.75" customHeight="1">
      <c r="A669" s="2"/>
      <c r="B669" s="2"/>
      <c r="C669" s="2"/>
    </row>
    <row r="670" ht="15.75" customHeight="1">
      <c r="A670" s="2"/>
      <c r="B670" s="2"/>
      <c r="C670" s="2"/>
    </row>
    <row r="671" ht="15.75" customHeight="1">
      <c r="A671" s="2"/>
      <c r="B671" s="2"/>
      <c r="C671" s="2"/>
    </row>
    <row r="672" ht="15.75" customHeight="1">
      <c r="A672" s="2"/>
      <c r="B672" s="2"/>
      <c r="C672" s="2"/>
    </row>
    <row r="673" ht="15.75" customHeight="1">
      <c r="A673" s="2"/>
      <c r="B673" s="2"/>
      <c r="C673" s="2"/>
    </row>
    <row r="674" ht="15.75" customHeight="1">
      <c r="A674" s="2"/>
      <c r="B674" s="2"/>
      <c r="C674" s="2"/>
    </row>
    <row r="675" ht="15.75" customHeight="1">
      <c r="A675" s="2"/>
      <c r="B675" s="2"/>
      <c r="C675" s="2"/>
    </row>
    <row r="676" ht="15.75" customHeight="1">
      <c r="A676" s="2"/>
      <c r="B676" s="2"/>
      <c r="C676" s="2"/>
    </row>
    <row r="677" ht="15.75" customHeight="1">
      <c r="A677" s="2"/>
      <c r="B677" s="2"/>
      <c r="C677" s="2"/>
    </row>
    <row r="678" ht="15.75" customHeight="1">
      <c r="A678" s="2"/>
      <c r="B678" s="2"/>
      <c r="C678" s="2"/>
    </row>
    <row r="679" ht="15.75" customHeight="1">
      <c r="A679" s="2"/>
      <c r="B679" s="2"/>
      <c r="C679" s="2"/>
    </row>
    <row r="680" ht="15.75" customHeight="1">
      <c r="A680" s="2"/>
      <c r="B680" s="2"/>
      <c r="C680" s="2"/>
    </row>
    <row r="681" ht="15.75" customHeight="1">
      <c r="A681" s="2"/>
      <c r="B681" s="2"/>
      <c r="C681" s="2"/>
    </row>
    <row r="682" ht="15.75" customHeight="1">
      <c r="A682" s="2"/>
      <c r="B682" s="2"/>
      <c r="C682" s="2"/>
    </row>
    <row r="683" ht="15.75" customHeight="1">
      <c r="A683" s="2"/>
      <c r="B683" s="2"/>
      <c r="C683" s="2"/>
    </row>
    <row r="684" ht="15.75" customHeight="1">
      <c r="A684" s="2"/>
      <c r="B684" s="2"/>
      <c r="C684" s="2"/>
    </row>
    <row r="685" ht="15.75" customHeight="1">
      <c r="A685" s="2"/>
      <c r="B685" s="2"/>
      <c r="C685" s="2"/>
    </row>
    <row r="686" ht="15.75" customHeight="1">
      <c r="A686" s="2"/>
      <c r="B686" s="2"/>
      <c r="C686" s="2"/>
    </row>
    <row r="687" ht="15.75" customHeight="1">
      <c r="A687" s="2"/>
      <c r="B687" s="2"/>
      <c r="C687" s="2"/>
    </row>
    <row r="688" ht="15.75" customHeight="1">
      <c r="A688" s="2"/>
      <c r="B688" s="2"/>
      <c r="C688" s="2"/>
    </row>
    <row r="689" ht="15.75" customHeight="1">
      <c r="A689" s="2"/>
      <c r="B689" s="2"/>
      <c r="C689" s="2"/>
    </row>
    <row r="690" ht="15.75" customHeight="1">
      <c r="A690" s="2"/>
      <c r="B690" s="2"/>
      <c r="C690" s="2"/>
    </row>
    <row r="691" ht="15.75" customHeight="1">
      <c r="A691" s="2"/>
      <c r="B691" s="2"/>
      <c r="C691" s="2"/>
    </row>
    <row r="692" ht="15.75" customHeight="1">
      <c r="A692" s="2"/>
      <c r="B692" s="2"/>
      <c r="C692" s="2"/>
    </row>
    <row r="693" ht="15.75" customHeight="1">
      <c r="A693" s="2"/>
      <c r="B693" s="2"/>
      <c r="C693" s="2"/>
    </row>
    <row r="694" ht="15.75" customHeight="1">
      <c r="A694" s="2"/>
      <c r="B694" s="2"/>
      <c r="C694" s="2"/>
    </row>
    <row r="695" ht="15.75" customHeight="1">
      <c r="A695" s="2"/>
      <c r="B695" s="2"/>
      <c r="C695" s="2"/>
    </row>
    <row r="696" ht="15.75" customHeight="1">
      <c r="A696" s="2"/>
      <c r="B696" s="2"/>
      <c r="C696" s="2"/>
    </row>
    <row r="697" ht="15.75" customHeight="1">
      <c r="A697" s="2"/>
      <c r="B697" s="2"/>
      <c r="C697" s="2"/>
    </row>
    <row r="698" ht="15.75" customHeight="1">
      <c r="A698" s="2"/>
      <c r="B698" s="2"/>
      <c r="C698" s="2"/>
    </row>
    <row r="699" ht="15.75" customHeight="1">
      <c r="A699" s="2"/>
      <c r="B699" s="2"/>
      <c r="C699" s="2"/>
    </row>
    <row r="700" ht="15.75" customHeight="1">
      <c r="A700" s="2"/>
      <c r="B700" s="2"/>
      <c r="C700" s="2"/>
    </row>
    <row r="701" ht="15.75" customHeight="1">
      <c r="A701" s="2"/>
      <c r="B701" s="2"/>
      <c r="C701" s="2"/>
    </row>
    <row r="702" ht="15.75" customHeight="1">
      <c r="A702" s="2"/>
      <c r="B702" s="2"/>
      <c r="C702" s="2"/>
    </row>
    <row r="703" ht="15.75" customHeight="1">
      <c r="A703" s="2"/>
      <c r="B703" s="2"/>
      <c r="C703" s="2"/>
    </row>
    <row r="704" ht="15.75" customHeight="1">
      <c r="A704" s="2"/>
      <c r="B704" s="2"/>
      <c r="C704" s="2"/>
    </row>
    <row r="705" ht="15.75" customHeight="1">
      <c r="A705" s="2"/>
      <c r="B705" s="2"/>
      <c r="C705" s="2"/>
    </row>
    <row r="706" ht="15.75" customHeight="1">
      <c r="A706" s="2"/>
      <c r="B706" s="2"/>
      <c r="C706" s="2"/>
    </row>
    <row r="707" ht="15.75" customHeight="1">
      <c r="A707" s="2"/>
      <c r="B707" s="2"/>
      <c r="C707" s="2"/>
    </row>
    <row r="708" ht="15.75" customHeight="1">
      <c r="A708" s="2"/>
      <c r="B708" s="2"/>
      <c r="C708" s="2"/>
    </row>
    <row r="709" ht="15.75" customHeight="1">
      <c r="A709" s="2"/>
      <c r="B709" s="2"/>
      <c r="C709" s="2"/>
    </row>
    <row r="710" ht="15.75" customHeight="1">
      <c r="A710" s="2"/>
      <c r="B710" s="2"/>
      <c r="C710" s="2"/>
    </row>
    <row r="711" ht="15.75" customHeight="1">
      <c r="A711" s="2"/>
      <c r="B711" s="2"/>
      <c r="C711" s="2"/>
    </row>
    <row r="712" ht="15.75" customHeight="1">
      <c r="A712" s="2"/>
      <c r="B712" s="2"/>
      <c r="C712" s="2"/>
    </row>
    <row r="713" ht="15.75" customHeight="1">
      <c r="A713" s="2"/>
      <c r="B713" s="2"/>
      <c r="C713" s="2"/>
    </row>
    <row r="714" ht="15.75" customHeight="1">
      <c r="A714" s="2"/>
      <c r="B714" s="2"/>
      <c r="C714" s="2"/>
    </row>
    <row r="715" ht="15.75" customHeight="1">
      <c r="A715" s="2"/>
      <c r="B715" s="2"/>
      <c r="C715" s="2"/>
    </row>
    <row r="716" ht="15.75" customHeight="1">
      <c r="A716" s="2"/>
      <c r="B716" s="2"/>
      <c r="C716" s="2"/>
    </row>
    <row r="717" ht="15.75" customHeight="1">
      <c r="A717" s="2"/>
      <c r="B717" s="2"/>
      <c r="C717" s="2"/>
    </row>
    <row r="718" ht="15.75" customHeight="1">
      <c r="A718" s="2"/>
      <c r="B718" s="2"/>
      <c r="C718" s="2"/>
    </row>
    <row r="719" ht="15.75" customHeight="1">
      <c r="A719" s="2"/>
      <c r="B719" s="2"/>
      <c r="C719" s="2"/>
    </row>
    <row r="720" ht="15.75" customHeight="1">
      <c r="A720" s="2"/>
      <c r="B720" s="2"/>
      <c r="C720" s="2"/>
    </row>
    <row r="721" ht="15.75" customHeight="1">
      <c r="A721" s="2"/>
      <c r="B721" s="2"/>
      <c r="C721" s="2"/>
    </row>
    <row r="722" ht="15.75" customHeight="1">
      <c r="A722" s="2"/>
      <c r="B722" s="2"/>
      <c r="C722" s="2"/>
    </row>
    <row r="723" ht="15.75" customHeight="1">
      <c r="A723" s="2"/>
      <c r="B723" s="2"/>
      <c r="C723" s="2"/>
    </row>
    <row r="724" ht="15.75" customHeight="1">
      <c r="A724" s="2"/>
      <c r="B724" s="2"/>
      <c r="C724" s="2"/>
    </row>
    <row r="725" ht="15.75" customHeight="1">
      <c r="A725" s="2"/>
      <c r="B725" s="2"/>
      <c r="C725" s="2"/>
    </row>
    <row r="726" ht="15.75" customHeight="1">
      <c r="A726" s="2"/>
      <c r="B726" s="2"/>
      <c r="C726" s="2"/>
    </row>
    <row r="727" ht="15.75" customHeight="1">
      <c r="A727" s="2"/>
      <c r="B727" s="2"/>
      <c r="C727" s="2"/>
    </row>
    <row r="728" ht="15.75" customHeight="1">
      <c r="A728" s="2"/>
      <c r="B728" s="2"/>
      <c r="C728" s="2"/>
    </row>
    <row r="729" ht="15.75" customHeight="1">
      <c r="A729" s="2"/>
      <c r="B729" s="2"/>
      <c r="C729" s="2"/>
    </row>
    <row r="730" ht="15.75" customHeight="1">
      <c r="A730" s="2"/>
      <c r="B730" s="2"/>
      <c r="C730" s="2"/>
    </row>
    <row r="731" ht="15.75" customHeight="1">
      <c r="A731" s="2"/>
      <c r="B731" s="2"/>
      <c r="C731" s="2"/>
    </row>
    <row r="732" ht="15.75" customHeight="1">
      <c r="A732" s="2"/>
      <c r="B732" s="2"/>
      <c r="C732" s="2"/>
    </row>
    <row r="733" ht="15.75" customHeight="1">
      <c r="A733" s="2"/>
      <c r="B733" s="2"/>
      <c r="C733" s="2"/>
    </row>
    <row r="734" ht="15.75" customHeight="1">
      <c r="A734" s="2"/>
      <c r="B734" s="2"/>
      <c r="C734" s="2"/>
    </row>
    <row r="735" ht="15.75" customHeight="1">
      <c r="A735" s="2"/>
      <c r="B735" s="2"/>
      <c r="C735" s="2"/>
    </row>
    <row r="736" ht="15.75" customHeight="1">
      <c r="A736" s="2"/>
      <c r="B736" s="2"/>
      <c r="C736" s="2"/>
    </row>
    <row r="737" ht="15.75" customHeight="1">
      <c r="A737" s="2"/>
      <c r="B737" s="2"/>
      <c r="C737" s="2"/>
    </row>
    <row r="738" ht="15.75" customHeight="1">
      <c r="A738" s="2"/>
      <c r="B738" s="2"/>
      <c r="C738" s="2"/>
    </row>
    <row r="739" ht="15.75" customHeight="1">
      <c r="A739" s="2"/>
      <c r="B739" s="2"/>
      <c r="C739" s="2"/>
    </row>
    <row r="740" ht="15.75" customHeight="1">
      <c r="A740" s="2"/>
      <c r="B740" s="2"/>
      <c r="C740" s="2"/>
    </row>
    <row r="741" ht="15.75" customHeight="1">
      <c r="A741" s="2"/>
      <c r="B741" s="2"/>
      <c r="C741" s="2"/>
    </row>
    <row r="742" ht="15.75" customHeight="1">
      <c r="A742" s="2"/>
      <c r="B742" s="2"/>
      <c r="C742" s="2"/>
    </row>
    <row r="743" ht="15.75" customHeight="1">
      <c r="A743" s="2"/>
      <c r="B743" s="2"/>
      <c r="C743" s="2"/>
    </row>
    <row r="744" ht="15.75" customHeight="1">
      <c r="A744" s="2"/>
      <c r="B744" s="2"/>
      <c r="C744" s="2"/>
    </row>
    <row r="745" ht="15.75" customHeight="1">
      <c r="A745" s="2"/>
      <c r="B745" s="2"/>
      <c r="C745" s="2"/>
    </row>
    <row r="746" ht="15.75" customHeight="1">
      <c r="A746" s="2"/>
      <c r="B746" s="2"/>
      <c r="C746" s="2"/>
    </row>
    <row r="747" ht="15.75" customHeight="1">
      <c r="A747" s="2"/>
      <c r="B747" s="2"/>
      <c r="C747" s="2"/>
    </row>
    <row r="748" ht="15.75" customHeight="1">
      <c r="A748" s="2"/>
      <c r="B748" s="2"/>
      <c r="C748" s="2"/>
    </row>
    <row r="749" ht="15.75" customHeight="1">
      <c r="A749" s="2"/>
      <c r="B749" s="2"/>
      <c r="C749" s="2"/>
    </row>
    <row r="750" ht="15.75" customHeight="1">
      <c r="A750" s="2"/>
      <c r="B750" s="2"/>
      <c r="C750" s="2"/>
    </row>
    <row r="751" ht="15.75" customHeight="1">
      <c r="A751" s="2"/>
      <c r="B751" s="2"/>
      <c r="C751" s="2"/>
    </row>
    <row r="752" ht="15.75" customHeight="1">
      <c r="A752" s="2"/>
      <c r="B752" s="2"/>
      <c r="C752" s="2"/>
    </row>
    <row r="753" ht="15.75" customHeight="1">
      <c r="A753" s="2"/>
      <c r="B753" s="2"/>
      <c r="C753" s="2"/>
    </row>
    <row r="754" ht="15.75" customHeight="1">
      <c r="A754" s="2"/>
      <c r="B754" s="2"/>
      <c r="C754" s="2"/>
    </row>
    <row r="755" ht="15.75" customHeight="1">
      <c r="A755" s="2"/>
      <c r="B755" s="2"/>
      <c r="C755" s="2"/>
    </row>
    <row r="756" ht="15.75" customHeight="1">
      <c r="A756" s="2"/>
      <c r="B756" s="2"/>
      <c r="C756" s="2"/>
    </row>
    <row r="757" ht="15.75" customHeight="1">
      <c r="A757" s="2"/>
      <c r="B757" s="2"/>
      <c r="C757" s="2"/>
    </row>
    <row r="758" ht="15.75" customHeight="1">
      <c r="A758" s="2"/>
      <c r="B758" s="2"/>
      <c r="C758" s="2"/>
    </row>
    <row r="759" ht="15.75" customHeight="1">
      <c r="A759" s="2"/>
      <c r="B759" s="2"/>
      <c r="C759" s="2"/>
    </row>
    <row r="760" ht="15.75" customHeight="1">
      <c r="A760" s="2"/>
      <c r="B760" s="2"/>
      <c r="C760" s="2"/>
    </row>
    <row r="761" ht="15.75" customHeight="1">
      <c r="A761" s="2"/>
      <c r="B761" s="2"/>
      <c r="C761" s="2"/>
    </row>
    <row r="762" ht="15.75" customHeight="1">
      <c r="A762" s="2"/>
      <c r="B762" s="2"/>
      <c r="C762" s="2"/>
    </row>
    <row r="763" ht="15.75" customHeight="1">
      <c r="A763" s="2"/>
      <c r="B763" s="2"/>
      <c r="C763" s="2"/>
    </row>
    <row r="764" ht="15.75" customHeight="1">
      <c r="A764" s="2"/>
      <c r="B764" s="2"/>
      <c r="C764" s="2"/>
    </row>
    <row r="765" ht="15.75" customHeight="1">
      <c r="A765" s="2"/>
      <c r="B765" s="2"/>
      <c r="C765" s="2"/>
    </row>
    <row r="766" ht="15.75" customHeight="1">
      <c r="A766" s="2"/>
      <c r="B766" s="2"/>
      <c r="C766" s="2"/>
    </row>
    <row r="767" ht="15.75" customHeight="1">
      <c r="A767" s="2"/>
      <c r="B767" s="2"/>
      <c r="C767" s="2"/>
    </row>
    <row r="768" ht="15.75" customHeight="1">
      <c r="A768" s="2"/>
      <c r="B768" s="2"/>
      <c r="C768" s="2"/>
    </row>
    <row r="769" ht="15.75" customHeight="1">
      <c r="A769" s="2"/>
      <c r="B769" s="2"/>
      <c r="C769" s="2"/>
    </row>
    <row r="770" ht="15.75" customHeight="1">
      <c r="A770" s="2"/>
      <c r="B770" s="2"/>
      <c r="C770" s="2"/>
    </row>
    <row r="771" ht="15.75" customHeight="1">
      <c r="A771" s="2"/>
      <c r="B771" s="2"/>
      <c r="C771" s="2"/>
    </row>
    <row r="772" ht="15.75" customHeight="1">
      <c r="A772" s="2"/>
      <c r="B772" s="2"/>
      <c r="C772" s="2"/>
    </row>
    <row r="773" ht="15.75" customHeight="1">
      <c r="A773" s="2"/>
      <c r="B773" s="2"/>
      <c r="C773" s="2"/>
    </row>
    <row r="774" ht="15.75" customHeight="1">
      <c r="A774" s="2"/>
      <c r="B774" s="2"/>
      <c r="C774" s="2"/>
    </row>
    <row r="775" ht="15.75" customHeight="1">
      <c r="A775" s="2"/>
      <c r="B775" s="2"/>
      <c r="C775" s="2"/>
    </row>
    <row r="776" ht="15.75" customHeight="1">
      <c r="A776" s="2"/>
      <c r="B776" s="2"/>
      <c r="C776" s="2"/>
    </row>
    <row r="777" ht="15.75" customHeight="1">
      <c r="A777" s="2"/>
      <c r="B777" s="2"/>
      <c r="C777" s="2"/>
    </row>
    <row r="778" ht="15.75" customHeight="1">
      <c r="A778" s="2"/>
      <c r="B778" s="2"/>
      <c r="C778" s="2"/>
    </row>
    <row r="779" ht="15.75" customHeight="1">
      <c r="A779" s="2"/>
      <c r="B779" s="2"/>
      <c r="C779" s="2"/>
    </row>
    <row r="780" ht="15.75" customHeight="1">
      <c r="A780" s="2"/>
      <c r="B780" s="2"/>
      <c r="C780" s="2"/>
    </row>
    <row r="781" ht="15.75" customHeight="1">
      <c r="A781" s="2"/>
      <c r="B781" s="2"/>
      <c r="C781" s="2"/>
    </row>
    <row r="782" ht="15.75" customHeight="1">
      <c r="A782" s="2"/>
      <c r="B782" s="2"/>
      <c r="C782" s="2"/>
    </row>
    <row r="783" ht="15.75" customHeight="1">
      <c r="A783" s="2"/>
      <c r="B783" s="2"/>
      <c r="C783" s="2"/>
    </row>
    <row r="784" ht="15.75" customHeight="1">
      <c r="A784" s="2"/>
      <c r="B784" s="2"/>
      <c r="C784" s="2"/>
    </row>
    <row r="785" ht="15.75" customHeight="1">
      <c r="A785" s="2"/>
      <c r="B785" s="2"/>
      <c r="C785" s="2"/>
    </row>
    <row r="786" ht="15.75" customHeight="1">
      <c r="A786" s="2"/>
      <c r="B786" s="2"/>
      <c r="C786" s="2"/>
    </row>
    <row r="787" ht="15.75" customHeight="1">
      <c r="A787" s="2"/>
      <c r="B787" s="2"/>
      <c r="C787" s="2"/>
    </row>
    <row r="788" ht="15.75" customHeight="1">
      <c r="A788" s="2"/>
      <c r="B788" s="2"/>
      <c r="C788" s="2"/>
    </row>
    <row r="789" ht="15.75" customHeight="1">
      <c r="A789" s="2"/>
      <c r="B789" s="2"/>
      <c r="C789" s="2"/>
    </row>
    <row r="790" ht="15.75" customHeight="1">
      <c r="A790" s="2"/>
      <c r="B790" s="2"/>
      <c r="C790" s="2"/>
    </row>
    <row r="791" ht="15.75" customHeight="1">
      <c r="A791" s="2"/>
      <c r="B791" s="2"/>
      <c r="C791" s="2"/>
    </row>
    <row r="792" ht="15.75" customHeight="1">
      <c r="A792" s="2"/>
      <c r="B792" s="2"/>
      <c r="C792" s="2"/>
    </row>
    <row r="793" ht="15.75" customHeight="1">
      <c r="A793" s="2"/>
      <c r="B793" s="2"/>
      <c r="C793" s="2"/>
    </row>
    <row r="794" ht="15.75" customHeight="1">
      <c r="A794" s="2"/>
      <c r="B794" s="2"/>
      <c r="C794" s="2"/>
    </row>
    <row r="795" ht="15.75" customHeight="1">
      <c r="A795" s="2"/>
      <c r="B795" s="2"/>
      <c r="C795" s="2"/>
    </row>
    <row r="796" ht="15.75" customHeight="1">
      <c r="A796" s="2"/>
      <c r="B796" s="2"/>
      <c r="C796" s="2"/>
    </row>
    <row r="797" ht="15.75" customHeight="1">
      <c r="A797" s="2"/>
      <c r="B797" s="2"/>
      <c r="C797" s="2"/>
    </row>
    <row r="798" ht="15.75" customHeight="1">
      <c r="A798" s="2"/>
      <c r="B798" s="2"/>
      <c r="C798" s="2"/>
    </row>
    <row r="799" ht="15.75" customHeight="1">
      <c r="A799" s="2"/>
      <c r="B799" s="2"/>
      <c r="C799" s="2"/>
    </row>
    <row r="800" ht="15.75" customHeight="1">
      <c r="A800" s="2"/>
      <c r="B800" s="2"/>
      <c r="C800" s="2"/>
    </row>
    <row r="801" ht="15.75" customHeight="1">
      <c r="A801" s="2"/>
      <c r="B801" s="2"/>
      <c r="C801" s="2"/>
    </row>
    <row r="802" ht="15.75" customHeight="1">
      <c r="A802" s="2"/>
      <c r="B802" s="2"/>
      <c r="C802" s="2"/>
    </row>
    <row r="803" ht="15.75" customHeight="1">
      <c r="A803" s="2"/>
      <c r="B803" s="2"/>
      <c r="C803" s="2"/>
    </row>
    <row r="804" ht="15.75" customHeight="1">
      <c r="A804" s="2"/>
      <c r="B804" s="2"/>
      <c r="C804" s="2"/>
    </row>
    <row r="805" ht="15.75" customHeight="1">
      <c r="A805" s="2"/>
      <c r="B805" s="2"/>
      <c r="C805" s="2"/>
    </row>
    <row r="806" ht="15.75" customHeight="1">
      <c r="A806" s="2"/>
      <c r="B806" s="2"/>
      <c r="C806" s="2"/>
    </row>
    <row r="807" ht="15.75" customHeight="1">
      <c r="A807" s="2"/>
      <c r="B807" s="2"/>
      <c r="C807" s="2"/>
    </row>
    <row r="808" ht="15.75" customHeight="1">
      <c r="A808" s="2"/>
      <c r="B808" s="2"/>
      <c r="C808" s="2"/>
    </row>
    <row r="809" ht="15.75" customHeight="1">
      <c r="A809" s="2"/>
      <c r="B809" s="2"/>
      <c r="C809" s="2"/>
    </row>
    <row r="810" ht="15.75" customHeight="1">
      <c r="A810" s="2"/>
      <c r="B810" s="2"/>
      <c r="C810" s="2"/>
    </row>
    <row r="811" ht="15.75" customHeight="1">
      <c r="A811" s="2"/>
      <c r="B811" s="2"/>
      <c r="C811" s="2"/>
    </row>
    <row r="812" ht="15.75" customHeight="1">
      <c r="A812" s="2"/>
      <c r="B812" s="2"/>
      <c r="C812" s="2"/>
    </row>
    <row r="813" ht="15.75" customHeight="1">
      <c r="A813" s="2"/>
      <c r="B813" s="2"/>
      <c r="C813" s="2"/>
    </row>
    <row r="814" ht="15.75" customHeight="1">
      <c r="A814" s="2"/>
      <c r="B814" s="2"/>
      <c r="C814" s="2"/>
    </row>
    <row r="815" ht="15.75" customHeight="1">
      <c r="A815" s="2"/>
      <c r="B815" s="2"/>
      <c r="C815" s="2"/>
    </row>
    <row r="816" ht="15.75" customHeight="1">
      <c r="A816" s="2"/>
      <c r="B816" s="2"/>
      <c r="C816" s="2"/>
    </row>
    <row r="817" ht="15.75" customHeight="1">
      <c r="A817" s="2"/>
      <c r="B817" s="2"/>
      <c r="C817" s="2"/>
    </row>
    <row r="818" ht="15.75" customHeight="1">
      <c r="A818" s="2"/>
      <c r="B818" s="2"/>
      <c r="C818" s="2"/>
    </row>
    <row r="819" ht="15.75" customHeight="1">
      <c r="A819" s="2"/>
      <c r="B819" s="2"/>
      <c r="C819" s="2"/>
    </row>
    <row r="820" ht="15.75" customHeight="1">
      <c r="A820" s="2"/>
      <c r="B820" s="2"/>
      <c r="C820" s="2"/>
    </row>
    <row r="821" ht="15.75" customHeight="1">
      <c r="A821" s="2"/>
      <c r="B821" s="2"/>
      <c r="C821" s="2"/>
    </row>
    <row r="822" ht="15.75" customHeight="1">
      <c r="A822" s="2"/>
      <c r="B822" s="2"/>
      <c r="C822" s="2"/>
    </row>
    <row r="823" ht="15.75" customHeight="1">
      <c r="A823" s="2"/>
      <c r="B823" s="2"/>
      <c r="C823" s="2"/>
    </row>
    <row r="824" ht="15.75" customHeight="1">
      <c r="A824" s="2"/>
      <c r="B824" s="2"/>
      <c r="C824" s="2"/>
    </row>
    <row r="825" ht="15.75" customHeight="1">
      <c r="A825" s="2"/>
      <c r="B825" s="2"/>
      <c r="C825" s="2"/>
    </row>
    <row r="826" ht="15.75" customHeight="1">
      <c r="A826" s="2"/>
      <c r="B826" s="2"/>
      <c r="C826" s="2"/>
    </row>
    <row r="827" ht="15.75" customHeight="1">
      <c r="A827" s="2"/>
      <c r="B827" s="2"/>
      <c r="C827" s="2"/>
    </row>
    <row r="828" ht="15.75" customHeight="1">
      <c r="A828" s="2"/>
      <c r="B828" s="2"/>
      <c r="C828" s="2"/>
    </row>
    <row r="829" ht="15.75" customHeight="1">
      <c r="A829" s="2"/>
      <c r="B829" s="2"/>
      <c r="C829" s="2"/>
    </row>
    <row r="830" ht="15.75" customHeight="1">
      <c r="A830" s="2"/>
      <c r="B830" s="2"/>
      <c r="C830" s="2"/>
    </row>
    <row r="831" ht="15.75" customHeight="1">
      <c r="A831" s="2"/>
      <c r="B831" s="2"/>
      <c r="C831" s="2"/>
    </row>
    <row r="832" ht="15.75" customHeight="1">
      <c r="A832" s="2"/>
      <c r="B832" s="2"/>
      <c r="C832" s="2"/>
    </row>
    <row r="833" ht="15.75" customHeight="1">
      <c r="A833" s="2"/>
      <c r="B833" s="2"/>
      <c r="C833" s="2"/>
    </row>
    <row r="834" ht="15.75" customHeight="1">
      <c r="A834" s="2"/>
      <c r="B834" s="2"/>
      <c r="C834" s="2"/>
    </row>
    <row r="835" ht="15.75" customHeight="1">
      <c r="A835" s="2"/>
      <c r="B835" s="2"/>
      <c r="C835" s="2"/>
    </row>
    <row r="836" ht="15.75" customHeight="1">
      <c r="A836" s="2"/>
      <c r="B836" s="2"/>
      <c r="C836" s="2"/>
    </row>
    <row r="837" ht="15.75" customHeight="1">
      <c r="A837" s="2"/>
      <c r="B837" s="2"/>
      <c r="C837" s="2"/>
    </row>
    <row r="838" ht="15.75" customHeight="1">
      <c r="A838" s="2"/>
      <c r="B838" s="2"/>
      <c r="C838" s="2"/>
    </row>
    <row r="839" ht="15.75" customHeight="1">
      <c r="A839" s="2"/>
      <c r="B839" s="2"/>
      <c r="C839" s="2"/>
    </row>
    <row r="840" ht="15.75" customHeight="1">
      <c r="A840" s="2"/>
      <c r="B840" s="2"/>
      <c r="C840" s="2"/>
    </row>
    <row r="841" ht="15.75" customHeight="1">
      <c r="A841" s="2"/>
      <c r="B841" s="2"/>
      <c r="C841" s="2"/>
    </row>
    <row r="842" ht="15.75" customHeight="1">
      <c r="A842" s="2"/>
      <c r="B842" s="2"/>
      <c r="C842" s="2"/>
    </row>
    <row r="843" ht="15.75" customHeight="1">
      <c r="A843" s="2"/>
      <c r="B843" s="2"/>
      <c r="C843" s="2"/>
    </row>
    <row r="844" ht="15.75" customHeight="1">
      <c r="A844" s="2"/>
      <c r="B844" s="2"/>
      <c r="C844" s="2"/>
    </row>
    <row r="845" ht="15.75" customHeight="1">
      <c r="A845" s="2"/>
      <c r="B845" s="2"/>
      <c r="C845" s="2"/>
    </row>
    <row r="846" ht="15.75" customHeight="1">
      <c r="A846" s="2"/>
      <c r="B846" s="2"/>
      <c r="C846" s="2"/>
    </row>
    <row r="847" ht="15.75" customHeight="1">
      <c r="A847" s="2"/>
      <c r="B847" s="2"/>
      <c r="C847" s="2"/>
    </row>
    <row r="848" ht="15.75" customHeight="1">
      <c r="A848" s="2"/>
      <c r="B848" s="2"/>
      <c r="C848" s="2"/>
    </row>
    <row r="849" ht="15.75" customHeight="1">
      <c r="A849" s="2"/>
      <c r="B849" s="2"/>
      <c r="C849" s="2"/>
    </row>
    <row r="850" ht="15.75" customHeight="1">
      <c r="A850" s="2"/>
      <c r="B850" s="2"/>
      <c r="C850" s="2"/>
    </row>
    <row r="851" ht="15.75" customHeight="1">
      <c r="A851" s="2"/>
      <c r="B851" s="2"/>
      <c r="C851" s="2"/>
    </row>
    <row r="852" ht="15.75" customHeight="1">
      <c r="A852" s="2"/>
      <c r="B852" s="2"/>
      <c r="C852" s="2"/>
    </row>
    <row r="853" ht="15.75" customHeight="1">
      <c r="A853" s="2"/>
      <c r="B853" s="2"/>
      <c r="C853" s="2"/>
    </row>
    <row r="854" ht="15.75" customHeight="1">
      <c r="A854" s="2"/>
      <c r="B854" s="2"/>
      <c r="C854" s="2"/>
    </row>
    <row r="855" ht="15.75" customHeight="1">
      <c r="A855" s="2"/>
      <c r="B855" s="2"/>
      <c r="C855" s="2"/>
    </row>
    <row r="856" ht="15.75" customHeight="1">
      <c r="A856" s="2"/>
      <c r="B856" s="2"/>
      <c r="C856" s="2"/>
    </row>
    <row r="857" ht="15.75" customHeight="1">
      <c r="A857" s="2"/>
      <c r="B857" s="2"/>
      <c r="C857" s="2"/>
    </row>
    <row r="858" ht="15.75" customHeight="1">
      <c r="A858" s="2"/>
      <c r="B858" s="2"/>
      <c r="C858" s="2"/>
    </row>
    <row r="859" ht="15.75" customHeight="1">
      <c r="A859" s="2"/>
      <c r="B859" s="2"/>
      <c r="C859" s="2"/>
    </row>
    <row r="860" ht="15.75" customHeight="1">
      <c r="A860" s="2"/>
      <c r="B860" s="2"/>
      <c r="C860" s="2"/>
    </row>
    <row r="861" ht="15.75" customHeight="1">
      <c r="A861" s="2"/>
      <c r="B861" s="2"/>
      <c r="C861" s="2"/>
    </row>
    <row r="862" ht="15.75" customHeight="1">
      <c r="A862" s="2"/>
      <c r="B862" s="2"/>
      <c r="C862" s="2"/>
    </row>
    <row r="863" ht="15.75" customHeight="1">
      <c r="A863" s="2"/>
      <c r="B863" s="2"/>
      <c r="C863" s="2"/>
    </row>
    <row r="864" ht="15.75" customHeight="1">
      <c r="A864" s="2"/>
      <c r="B864" s="2"/>
      <c r="C864" s="2"/>
    </row>
    <row r="865" ht="15.75" customHeight="1">
      <c r="A865" s="2"/>
      <c r="B865" s="2"/>
      <c r="C865" s="2"/>
    </row>
    <row r="866" ht="15.75" customHeight="1">
      <c r="A866" s="2"/>
      <c r="B866" s="2"/>
      <c r="C866" s="2"/>
    </row>
    <row r="867" ht="15.75" customHeight="1">
      <c r="A867" s="2"/>
      <c r="B867" s="2"/>
      <c r="C867" s="2"/>
    </row>
    <row r="868" ht="15.75" customHeight="1">
      <c r="A868" s="2"/>
      <c r="B868" s="2"/>
      <c r="C868" s="2"/>
    </row>
    <row r="869" ht="15.75" customHeight="1">
      <c r="A869" s="2"/>
      <c r="B869" s="2"/>
      <c r="C869" s="2"/>
    </row>
    <row r="870" ht="15.75" customHeight="1">
      <c r="A870" s="2"/>
      <c r="B870" s="2"/>
      <c r="C870" s="2"/>
    </row>
    <row r="871" ht="15.75" customHeight="1">
      <c r="A871" s="2"/>
      <c r="B871" s="2"/>
      <c r="C871" s="2"/>
    </row>
    <row r="872" ht="15.75" customHeight="1">
      <c r="A872" s="2"/>
      <c r="B872" s="2"/>
      <c r="C872" s="2"/>
    </row>
    <row r="873" ht="15.75" customHeight="1">
      <c r="A873" s="2"/>
      <c r="B873" s="2"/>
      <c r="C873" s="2"/>
    </row>
    <row r="874" ht="15.75" customHeight="1">
      <c r="A874" s="2"/>
      <c r="B874" s="2"/>
      <c r="C874" s="2"/>
    </row>
    <row r="875" ht="15.75" customHeight="1">
      <c r="A875" s="2"/>
      <c r="B875" s="2"/>
      <c r="C875" s="2"/>
    </row>
    <row r="876" ht="15.75" customHeight="1">
      <c r="A876" s="2"/>
      <c r="B876" s="2"/>
      <c r="C876" s="2"/>
    </row>
    <row r="877" ht="15.75" customHeight="1">
      <c r="A877" s="2"/>
      <c r="B877" s="2"/>
      <c r="C877" s="2"/>
    </row>
    <row r="878" ht="15.75" customHeight="1">
      <c r="A878" s="2"/>
      <c r="B878" s="2"/>
      <c r="C878" s="2"/>
    </row>
    <row r="879" ht="15.75" customHeight="1">
      <c r="A879" s="2"/>
      <c r="B879" s="2"/>
      <c r="C879" s="2"/>
    </row>
    <row r="880" ht="15.75" customHeight="1">
      <c r="A880" s="2"/>
      <c r="B880" s="2"/>
      <c r="C880" s="2"/>
    </row>
    <row r="881" ht="15.75" customHeight="1">
      <c r="A881" s="2"/>
      <c r="B881" s="2"/>
      <c r="C881" s="2"/>
    </row>
    <row r="882" ht="15.75" customHeight="1">
      <c r="A882" s="2"/>
      <c r="B882" s="2"/>
      <c r="C882" s="2"/>
    </row>
    <row r="883" ht="15.75" customHeight="1">
      <c r="A883" s="2"/>
      <c r="B883" s="2"/>
      <c r="C883" s="2"/>
    </row>
    <row r="884" ht="15.75" customHeight="1">
      <c r="A884" s="2"/>
      <c r="B884" s="2"/>
      <c r="C884" s="2"/>
    </row>
    <row r="885" ht="15.75" customHeight="1">
      <c r="A885" s="2"/>
      <c r="B885" s="2"/>
      <c r="C885" s="2"/>
    </row>
    <row r="886" ht="15.75" customHeight="1">
      <c r="A886" s="2"/>
      <c r="B886" s="2"/>
      <c r="C886" s="2"/>
    </row>
    <row r="887" ht="15.75" customHeight="1">
      <c r="A887" s="2"/>
      <c r="B887" s="2"/>
      <c r="C887" s="2"/>
    </row>
    <row r="888" ht="15.75" customHeight="1">
      <c r="A888" s="2"/>
      <c r="B888" s="2"/>
      <c r="C888" s="2"/>
    </row>
    <row r="889" ht="15.75" customHeight="1">
      <c r="A889" s="2"/>
      <c r="B889" s="2"/>
      <c r="C889" s="2"/>
    </row>
    <row r="890" ht="15.75" customHeight="1">
      <c r="A890" s="2"/>
      <c r="B890" s="2"/>
      <c r="C890" s="2"/>
    </row>
    <row r="891" ht="15.75" customHeight="1">
      <c r="A891" s="2"/>
      <c r="B891" s="2"/>
      <c r="C891" s="2"/>
    </row>
    <row r="892" ht="15.75" customHeight="1">
      <c r="A892" s="2"/>
      <c r="B892" s="2"/>
      <c r="C892" s="2"/>
    </row>
    <row r="893" ht="15.75" customHeight="1">
      <c r="A893" s="2"/>
      <c r="B893" s="2"/>
      <c r="C893" s="2"/>
    </row>
    <row r="894" ht="15.75" customHeight="1">
      <c r="A894" s="2"/>
      <c r="B894" s="2"/>
      <c r="C894" s="2"/>
    </row>
    <row r="895" ht="15.75" customHeight="1">
      <c r="A895" s="2"/>
      <c r="B895" s="2"/>
      <c r="C895" s="2"/>
    </row>
    <row r="896" ht="15.75" customHeight="1">
      <c r="A896" s="2"/>
      <c r="B896" s="2"/>
      <c r="C896" s="2"/>
    </row>
    <row r="897" ht="15.75" customHeight="1">
      <c r="A897" s="2"/>
      <c r="B897" s="2"/>
      <c r="C897" s="2"/>
    </row>
    <row r="898" ht="15.75" customHeight="1">
      <c r="A898" s="2"/>
      <c r="B898" s="2"/>
      <c r="C898" s="2"/>
    </row>
    <row r="899" ht="15.75" customHeight="1">
      <c r="A899" s="2"/>
      <c r="B899" s="2"/>
      <c r="C899" s="2"/>
    </row>
    <row r="900" ht="15.75" customHeight="1">
      <c r="A900" s="2"/>
      <c r="B900" s="2"/>
      <c r="C900" s="2"/>
    </row>
    <row r="901" ht="15.75" customHeight="1">
      <c r="A901" s="2"/>
      <c r="B901" s="2"/>
      <c r="C901" s="2"/>
    </row>
    <row r="902" ht="15.75" customHeight="1">
      <c r="A902" s="2"/>
      <c r="B902" s="2"/>
      <c r="C902" s="2"/>
    </row>
    <row r="903" ht="15.75" customHeight="1">
      <c r="A903" s="2"/>
      <c r="B903" s="2"/>
      <c r="C903" s="2"/>
    </row>
    <row r="904" ht="15.75" customHeight="1">
      <c r="A904" s="2"/>
      <c r="B904" s="2"/>
      <c r="C904" s="2"/>
    </row>
    <row r="905" ht="15.75" customHeight="1">
      <c r="A905" s="2"/>
      <c r="B905" s="2"/>
      <c r="C905" s="2"/>
    </row>
    <row r="906" ht="15.75" customHeight="1">
      <c r="A906" s="2"/>
      <c r="B906" s="2"/>
      <c r="C906" s="2"/>
    </row>
    <row r="907" ht="15.75" customHeight="1">
      <c r="A907" s="2"/>
      <c r="B907" s="2"/>
      <c r="C907" s="2"/>
    </row>
    <row r="908" ht="15.75" customHeight="1">
      <c r="A908" s="2"/>
      <c r="B908" s="2"/>
      <c r="C908" s="2"/>
    </row>
    <row r="909" ht="15.75" customHeight="1">
      <c r="A909" s="2"/>
      <c r="B909" s="2"/>
      <c r="C909" s="2"/>
    </row>
    <row r="910" ht="15.75" customHeight="1">
      <c r="A910" s="2"/>
      <c r="B910" s="2"/>
      <c r="C910" s="2"/>
    </row>
    <row r="911" ht="15.75" customHeight="1">
      <c r="A911" s="2"/>
      <c r="B911" s="2"/>
      <c r="C911" s="2"/>
    </row>
    <row r="912" ht="15.75" customHeight="1">
      <c r="A912" s="2"/>
      <c r="B912" s="2"/>
      <c r="C912" s="2"/>
    </row>
    <row r="913" ht="15.75" customHeight="1">
      <c r="A913" s="2"/>
      <c r="B913" s="2"/>
      <c r="C913" s="2"/>
    </row>
    <row r="914" ht="15.75" customHeight="1">
      <c r="A914" s="2"/>
      <c r="B914" s="2"/>
      <c r="C914" s="2"/>
    </row>
    <row r="915" ht="15.75" customHeight="1">
      <c r="A915" s="2"/>
      <c r="B915" s="2"/>
      <c r="C915" s="2"/>
    </row>
    <row r="916" ht="15.75" customHeight="1">
      <c r="A916" s="2"/>
      <c r="B916" s="2"/>
      <c r="C916" s="2"/>
    </row>
    <row r="917" ht="15.75" customHeight="1">
      <c r="A917" s="2"/>
      <c r="B917" s="2"/>
      <c r="C917" s="2"/>
    </row>
    <row r="918" ht="15.75" customHeight="1">
      <c r="A918" s="2"/>
      <c r="B918" s="2"/>
      <c r="C918" s="2"/>
    </row>
    <row r="919" ht="15.75" customHeight="1">
      <c r="A919" s="2"/>
      <c r="B919" s="2"/>
      <c r="C919" s="2"/>
    </row>
    <row r="920" ht="15.75" customHeight="1">
      <c r="A920" s="2"/>
      <c r="B920" s="2"/>
      <c r="C920" s="2"/>
    </row>
    <row r="921" ht="15.75" customHeight="1">
      <c r="A921" s="2"/>
      <c r="B921" s="2"/>
      <c r="C921" s="2"/>
    </row>
    <row r="922" ht="15.75" customHeight="1">
      <c r="A922" s="2"/>
      <c r="B922" s="2"/>
      <c r="C922" s="2"/>
    </row>
    <row r="923" ht="15.75" customHeight="1">
      <c r="A923" s="2"/>
      <c r="B923" s="2"/>
      <c r="C923" s="2"/>
    </row>
    <row r="924" ht="15.75" customHeight="1">
      <c r="A924" s="2"/>
      <c r="B924" s="2"/>
      <c r="C924" s="2"/>
    </row>
    <row r="925" ht="15.75" customHeight="1">
      <c r="A925" s="2"/>
      <c r="B925" s="2"/>
      <c r="C925" s="2"/>
    </row>
    <row r="926" ht="15.75" customHeight="1">
      <c r="A926" s="2"/>
      <c r="B926" s="2"/>
      <c r="C926" s="2"/>
    </row>
    <row r="927" ht="15.75" customHeight="1">
      <c r="A927" s="2"/>
      <c r="B927" s="2"/>
      <c r="C927" s="2"/>
    </row>
    <row r="928" ht="15.75" customHeight="1">
      <c r="A928" s="2"/>
      <c r="B928" s="2"/>
      <c r="C928" s="2"/>
    </row>
    <row r="929" ht="15.75" customHeight="1">
      <c r="A929" s="2"/>
      <c r="B929" s="2"/>
      <c r="C929" s="2"/>
    </row>
    <row r="930" ht="15.75" customHeight="1">
      <c r="A930" s="2"/>
      <c r="B930" s="2"/>
      <c r="C930" s="2"/>
    </row>
    <row r="931" ht="15.75" customHeight="1">
      <c r="A931" s="2"/>
      <c r="B931" s="2"/>
      <c r="C931" s="2"/>
    </row>
    <row r="932" ht="15.75" customHeight="1">
      <c r="A932" s="2"/>
      <c r="B932" s="2"/>
      <c r="C932" s="2"/>
    </row>
    <row r="933" ht="15.75" customHeight="1">
      <c r="A933" s="2"/>
      <c r="B933" s="2"/>
      <c r="C933" s="2"/>
    </row>
    <row r="934" ht="15.75" customHeight="1">
      <c r="A934" s="2"/>
      <c r="B934" s="2"/>
      <c r="C934" s="2"/>
    </row>
    <row r="935" ht="15.75" customHeight="1">
      <c r="A935" s="2"/>
      <c r="B935" s="2"/>
      <c r="C935" s="2"/>
    </row>
    <row r="936" ht="15.75" customHeight="1">
      <c r="A936" s="2"/>
      <c r="B936" s="2"/>
      <c r="C936" s="2"/>
    </row>
    <row r="937" ht="15.75" customHeight="1">
      <c r="A937" s="2"/>
      <c r="B937" s="2"/>
      <c r="C937" s="2"/>
    </row>
    <row r="938" ht="15.75" customHeight="1">
      <c r="A938" s="2"/>
      <c r="B938" s="2"/>
      <c r="C938" s="2"/>
    </row>
    <row r="939" ht="15.75" customHeight="1">
      <c r="A939" s="2"/>
      <c r="B939" s="2"/>
      <c r="C939" s="2"/>
    </row>
    <row r="940" ht="15.75" customHeight="1">
      <c r="A940" s="2"/>
      <c r="B940" s="2"/>
      <c r="C940" s="2"/>
    </row>
    <row r="941" ht="15.75" customHeight="1">
      <c r="A941" s="2"/>
      <c r="B941" s="2"/>
      <c r="C941" s="2"/>
    </row>
    <row r="942" ht="15.75" customHeight="1">
      <c r="A942" s="2"/>
      <c r="B942" s="2"/>
      <c r="C942" s="2"/>
    </row>
    <row r="943" ht="15.75" customHeight="1">
      <c r="A943" s="2"/>
      <c r="B943" s="2"/>
      <c r="C943" s="2"/>
    </row>
    <row r="944" ht="15.75" customHeight="1">
      <c r="A944" s="2"/>
      <c r="B944" s="2"/>
      <c r="C944" s="2"/>
    </row>
    <row r="945" ht="15.75" customHeight="1">
      <c r="A945" s="2"/>
      <c r="B945" s="2"/>
      <c r="C945" s="2"/>
    </row>
    <row r="946" ht="15.75" customHeight="1">
      <c r="A946" s="2"/>
      <c r="B946" s="2"/>
      <c r="C946" s="2"/>
    </row>
    <row r="947" ht="15.75" customHeight="1">
      <c r="A947" s="2"/>
      <c r="B947" s="2"/>
      <c r="C947" s="2"/>
    </row>
    <row r="948" ht="15.75" customHeight="1">
      <c r="A948" s="2"/>
      <c r="B948" s="2"/>
      <c r="C948" s="2"/>
    </row>
    <row r="949" ht="15.75" customHeight="1">
      <c r="A949" s="2"/>
      <c r="B949" s="2"/>
      <c r="C949" s="2"/>
    </row>
    <row r="950" ht="15.75" customHeight="1">
      <c r="A950" s="2"/>
      <c r="B950" s="2"/>
      <c r="C950" s="2"/>
    </row>
    <row r="951" ht="15.75" customHeight="1">
      <c r="A951" s="2"/>
      <c r="B951" s="2"/>
      <c r="C951" s="2"/>
    </row>
    <row r="952" ht="15.75" customHeight="1">
      <c r="A952" s="2"/>
      <c r="B952" s="2"/>
      <c r="C952" s="2"/>
    </row>
    <row r="953" ht="15.75" customHeight="1">
      <c r="A953" s="2"/>
      <c r="B953" s="2"/>
      <c r="C953" s="2"/>
    </row>
    <row r="954" ht="15.75" customHeight="1">
      <c r="A954" s="2"/>
      <c r="B954" s="2"/>
      <c r="C954" s="2"/>
    </row>
    <row r="955" ht="15.75" customHeight="1">
      <c r="A955" s="2"/>
      <c r="B955" s="2"/>
      <c r="C955" s="2"/>
    </row>
    <row r="956" ht="15.75" customHeight="1">
      <c r="A956" s="2"/>
      <c r="B956" s="2"/>
      <c r="C956" s="2"/>
    </row>
    <row r="957" ht="15.75" customHeight="1">
      <c r="A957" s="2"/>
      <c r="B957" s="2"/>
      <c r="C957" s="2"/>
    </row>
    <row r="958" ht="15.75" customHeight="1">
      <c r="A958" s="2"/>
      <c r="B958" s="2"/>
      <c r="C958" s="2"/>
    </row>
    <row r="959" ht="15.75" customHeight="1">
      <c r="A959" s="2"/>
      <c r="B959" s="2"/>
      <c r="C959" s="2"/>
    </row>
    <row r="960" ht="15.75" customHeight="1">
      <c r="A960" s="2"/>
      <c r="B960" s="2"/>
      <c r="C960" s="2"/>
    </row>
    <row r="961" ht="15.75" customHeight="1">
      <c r="A961" s="2"/>
      <c r="B961" s="2"/>
      <c r="C961" s="2"/>
    </row>
    <row r="962" ht="15.75" customHeight="1">
      <c r="A962" s="2"/>
      <c r="B962" s="2"/>
      <c r="C962" s="2"/>
    </row>
    <row r="963" ht="15.75" customHeight="1">
      <c r="A963" s="2"/>
      <c r="B963" s="2"/>
      <c r="C963" s="2"/>
    </row>
    <row r="964" ht="15.75" customHeight="1">
      <c r="A964" s="2"/>
      <c r="B964" s="2"/>
      <c r="C964" s="2"/>
    </row>
    <row r="965" ht="15.75" customHeight="1">
      <c r="A965" s="2"/>
      <c r="B965" s="2"/>
      <c r="C965" s="2"/>
    </row>
    <row r="966" ht="15.75" customHeight="1">
      <c r="A966" s="2"/>
      <c r="B966" s="2"/>
      <c r="C966" s="2"/>
    </row>
    <row r="967" ht="15.75" customHeight="1">
      <c r="A967" s="2"/>
      <c r="B967" s="2"/>
      <c r="C967" s="2"/>
    </row>
    <row r="968" ht="15.75" customHeight="1">
      <c r="A968" s="2"/>
      <c r="B968" s="2"/>
      <c r="C968" s="2"/>
    </row>
    <row r="969" ht="15.75" customHeight="1">
      <c r="A969" s="2"/>
      <c r="B969" s="2"/>
      <c r="C969" s="2"/>
    </row>
    <row r="970" ht="15.75" customHeight="1">
      <c r="A970" s="2"/>
      <c r="B970" s="2"/>
      <c r="C970" s="2"/>
    </row>
    <row r="971" ht="15.75" customHeight="1">
      <c r="A971" s="2"/>
      <c r="B971" s="2"/>
      <c r="C971" s="2"/>
    </row>
    <row r="972" ht="15.75" customHeight="1">
      <c r="A972" s="2"/>
      <c r="B972" s="2"/>
      <c r="C972" s="2"/>
    </row>
    <row r="973" ht="15.75" customHeight="1">
      <c r="A973" s="2"/>
      <c r="B973" s="2"/>
      <c r="C973" s="2"/>
    </row>
    <row r="974" ht="15.75" customHeight="1">
      <c r="A974" s="2"/>
      <c r="B974" s="2"/>
      <c r="C974" s="2"/>
    </row>
    <row r="975" ht="15.75" customHeight="1">
      <c r="A975" s="2"/>
      <c r="B975" s="2"/>
      <c r="C975" s="2"/>
    </row>
    <row r="976" ht="15.75" customHeight="1">
      <c r="A976" s="2"/>
      <c r="B976" s="2"/>
      <c r="C976" s="2"/>
    </row>
    <row r="977" ht="15.75" customHeight="1">
      <c r="A977" s="2"/>
      <c r="B977" s="2"/>
      <c r="C977" s="2"/>
    </row>
    <row r="978" ht="15.75" customHeight="1">
      <c r="A978" s="2"/>
      <c r="B978" s="2"/>
      <c r="C978" s="2"/>
    </row>
    <row r="979" ht="15.75" customHeight="1">
      <c r="A979" s="2"/>
      <c r="B979" s="2"/>
      <c r="C979" s="2"/>
    </row>
    <row r="980" ht="15.75" customHeight="1">
      <c r="A980" s="2"/>
      <c r="B980" s="2"/>
      <c r="C980" s="2"/>
    </row>
    <row r="981" ht="15.75" customHeight="1">
      <c r="A981" s="2"/>
      <c r="B981" s="2"/>
      <c r="C981" s="2"/>
    </row>
    <row r="982" ht="15.75" customHeight="1">
      <c r="A982" s="2"/>
      <c r="B982" s="2"/>
      <c r="C982" s="2"/>
    </row>
    <row r="983" ht="15.75" customHeight="1">
      <c r="A983" s="2"/>
      <c r="B983" s="2"/>
      <c r="C983" s="2"/>
    </row>
    <row r="984" ht="15.75" customHeight="1">
      <c r="A984" s="2"/>
      <c r="B984" s="2"/>
      <c r="C984" s="2"/>
    </row>
    <row r="985" ht="15.75" customHeight="1">
      <c r="A985" s="2"/>
      <c r="B985" s="2"/>
      <c r="C985" s="2"/>
    </row>
    <row r="986" ht="15.75" customHeight="1">
      <c r="A986" s="2"/>
      <c r="B986" s="2"/>
      <c r="C986" s="2"/>
    </row>
    <row r="987" ht="15.75" customHeight="1">
      <c r="A987" s="2"/>
      <c r="B987" s="2"/>
      <c r="C987" s="2"/>
    </row>
    <row r="988" ht="15.75" customHeight="1">
      <c r="A988" s="2"/>
      <c r="B988" s="2"/>
      <c r="C988" s="2"/>
    </row>
    <row r="989" ht="15.75" customHeight="1">
      <c r="A989" s="2"/>
      <c r="B989" s="2"/>
      <c r="C989" s="2"/>
    </row>
    <row r="990" ht="15.75" customHeight="1">
      <c r="A990" s="2"/>
      <c r="B990" s="2"/>
      <c r="C990" s="2"/>
    </row>
    <row r="991" ht="15.75" customHeight="1">
      <c r="A991" s="2"/>
      <c r="B991" s="2"/>
      <c r="C991" s="2"/>
    </row>
    <row r="992" ht="15.75" customHeight="1">
      <c r="A992" s="2"/>
      <c r="B992" s="2"/>
      <c r="C992" s="2"/>
    </row>
    <row r="993" ht="15.75" customHeight="1">
      <c r="A993" s="2"/>
      <c r="B993" s="2"/>
      <c r="C993" s="2"/>
    </row>
    <row r="994" ht="15.75" customHeight="1">
      <c r="A994" s="2"/>
      <c r="B994" s="2"/>
      <c r="C994" s="2"/>
    </row>
    <row r="995" ht="15.75" customHeight="1">
      <c r="A995" s="2"/>
      <c r="B995" s="2"/>
      <c r="C995" s="2"/>
    </row>
    <row r="996" ht="15.75" customHeight="1">
      <c r="A996" s="2"/>
      <c r="B996" s="2"/>
      <c r="C996" s="2"/>
    </row>
    <row r="997" ht="15.75" customHeight="1">
      <c r="A997" s="2"/>
      <c r="B997" s="2"/>
      <c r="C997" s="2"/>
    </row>
    <row r="998" ht="15.75" customHeight="1">
      <c r="A998" s="2"/>
      <c r="B998" s="2"/>
      <c r="C998" s="2"/>
    </row>
    <row r="999" ht="15.75" customHeight="1">
      <c r="A999" s="2"/>
      <c r="B999" s="2"/>
      <c r="C999" s="2"/>
    </row>
    <row r="1000" ht="15.75" customHeight="1">
      <c r="A1000" s="2"/>
      <c r="B1000" s="2"/>
      <c r="C1000" s="2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8.0"/>
    <col customWidth="1" min="4" max="4" width="14.0"/>
    <col customWidth="1" min="5" max="5" width="16.0"/>
    <col customWidth="1" min="6" max="6" width="14.0"/>
    <col customWidth="1" min="7" max="7" width="12.0"/>
    <col customWidth="1" min="8" max="26" width="8.71"/>
  </cols>
  <sheetData>
    <row r="1" ht="21.75" customHeight="1">
      <c r="A1" s="1" t="s">
        <v>103</v>
      </c>
    </row>
    <row r="2" ht="15.0" customHeight="1">
      <c r="A2" s="3" t="s">
        <v>104</v>
      </c>
    </row>
    <row r="3">
      <c r="A3" s="2"/>
      <c r="B3" s="2"/>
      <c r="C3" s="2"/>
      <c r="D3" s="2"/>
      <c r="E3" s="2"/>
      <c r="F3" s="2"/>
      <c r="G3" s="2"/>
    </row>
    <row r="4" ht="15.0" customHeight="1">
      <c r="A4" s="7" t="s">
        <v>105</v>
      </c>
      <c r="B4" s="7" t="s">
        <v>106</v>
      </c>
      <c r="C4" s="7" t="s">
        <v>107</v>
      </c>
      <c r="D4" s="7" t="s">
        <v>108</v>
      </c>
      <c r="E4" s="7" t="s">
        <v>109</v>
      </c>
      <c r="F4" s="7" t="s">
        <v>110</v>
      </c>
      <c r="G4" s="7" t="s">
        <v>111</v>
      </c>
    </row>
    <row r="5" ht="15.0" customHeight="1">
      <c r="A5" s="8" t="s">
        <v>112</v>
      </c>
      <c r="B5" s="8" t="s">
        <v>113</v>
      </c>
      <c r="C5" s="8" t="s">
        <v>114</v>
      </c>
      <c r="D5" s="9">
        <v>150.0</v>
      </c>
      <c r="E5" s="9">
        <v>90.0</v>
      </c>
      <c r="F5" s="12">
        <f t="shared" ref="F5:F7" si="1">D5-E5</f>
        <v>60</v>
      </c>
      <c r="G5" s="37">
        <f t="shared" ref="G5:G7" si="2">IF(D5=0,0,F5/D5)</f>
        <v>0.4</v>
      </c>
    </row>
    <row r="6" ht="15.0" customHeight="1">
      <c r="A6" s="8" t="s">
        <v>115</v>
      </c>
      <c r="B6" s="8" t="s">
        <v>116</v>
      </c>
      <c r="C6" s="8" t="s">
        <v>114</v>
      </c>
      <c r="D6" s="9">
        <v>850.0</v>
      </c>
      <c r="E6" s="9">
        <v>520.0</v>
      </c>
      <c r="F6" s="12">
        <f t="shared" si="1"/>
        <v>330</v>
      </c>
      <c r="G6" s="37">
        <f t="shared" si="2"/>
        <v>0.3882352941</v>
      </c>
    </row>
    <row r="7" ht="15.0" customHeight="1">
      <c r="A7" s="8" t="s">
        <v>117</v>
      </c>
      <c r="B7" s="8" t="s">
        <v>118</v>
      </c>
      <c r="C7" s="8" t="s">
        <v>114</v>
      </c>
      <c r="D7" s="9">
        <v>620.0</v>
      </c>
      <c r="E7" s="9">
        <v>400.0</v>
      </c>
      <c r="F7" s="12">
        <f t="shared" si="1"/>
        <v>220</v>
      </c>
      <c r="G7" s="37">
        <f t="shared" si="2"/>
        <v>0.3548387097</v>
      </c>
    </row>
    <row r="8" ht="15.0" customHeight="1">
      <c r="A8" s="15"/>
      <c r="B8" s="15"/>
      <c r="C8" s="15"/>
      <c r="D8" s="20"/>
      <c r="E8" s="20"/>
      <c r="F8" s="12" t="str">
        <f t="shared" ref="F8:F200" si="3">IF(A8="","",D8-E8)</f>
        <v/>
      </c>
      <c r="G8" s="37" t="str">
        <f t="shared" ref="G8:G200" si="4">IF(OR(A8="",D8=0),"",F8/D8)</f>
        <v/>
      </c>
    </row>
    <row r="9" ht="15.0" customHeight="1">
      <c r="A9" s="15"/>
      <c r="B9" s="15"/>
      <c r="C9" s="15"/>
      <c r="D9" s="20"/>
      <c r="E9" s="20"/>
      <c r="F9" s="12" t="str">
        <f t="shared" si="3"/>
        <v/>
      </c>
      <c r="G9" s="37" t="str">
        <f t="shared" si="4"/>
        <v/>
      </c>
    </row>
    <row r="10" ht="15.0" customHeight="1">
      <c r="A10" s="15"/>
      <c r="B10" s="15"/>
      <c r="C10" s="15"/>
      <c r="D10" s="20"/>
      <c r="E10" s="20"/>
      <c r="F10" s="12" t="str">
        <f t="shared" si="3"/>
        <v/>
      </c>
      <c r="G10" s="37" t="str">
        <f t="shared" si="4"/>
        <v/>
      </c>
    </row>
    <row r="11" ht="15.0" customHeight="1">
      <c r="A11" s="15"/>
      <c r="B11" s="15"/>
      <c r="C11" s="15"/>
      <c r="D11" s="20"/>
      <c r="E11" s="20"/>
      <c r="F11" s="12" t="str">
        <f t="shared" si="3"/>
        <v/>
      </c>
      <c r="G11" s="37" t="str">
        <f t="shared" si="4"/>
        <v/>
      </c>
    </row>
    <row r="12" ht="15.0" customHeight="1">
      <c r="A12" s="15"/>
      <c r="B12" s="15"/>
      <c r="C12" s="15"/>
      <c r="D12" s="20"/>
      <c r="E12" s="20"/>
      <c r="F12" s="12" t="str">
        <f t="shared" si="3"/>
        <v/>
      </c>
      <c r="G12" s="37" t="str">
        <f t="shared" si="4"/>
        <v/>
      </c>
    </row>
    <row r="13" ht="15.0" customHeight="1">
      <c r="A13" s="15"/>
      <c r="B13" s="15"/>
      <c r="C13" s="15"/>
      <c r="D13" s="20"/>
      <c r="E13" s="20"/>
      <c r="F13" s="12" t="str">
        <f t="shared" si="3"/>
        <v/>
      </c>
      <c r="G13" s="37" t="str">
        <f t="shared" si="4"/>
        <v/>
      </c>
    </row>
    <row r="14" ht="15.0" customHeight="1">
      <c r="A14" s="15"/>
      <c r="B14" s="15"/>
      <c r="C14" s="15"/>
      <c r="D14" s="20"/>
      <c r="E14" s="20"/>
      <c r="F14" s="12" t="str">
        <f t="shared" si="3"/>
        <v/>
      </c>
      <c r="G14" s="37" t="str">
        <f t="shared" si="4"/>
        <v/>
      </c>
    </row>
    <row r="15" ht="15.0" customHeight="1">
      <c r="A15" s="15"/>
      <c r="B15" s="15"/>
      <c r="C15" s="15"/>
      <c r="D15" s="20"/>
      <c r="E15" s="20"/>
      <c r="F15" s="12" t="str">
        <f t="shared" si="3"/>
        <v/>
      </c>
      <c r="G15" s="37" t="str">
        <f t="shared" si="4"/>
        <v/>
      </c>
    </row>
    <row r="16" ht="15.0" customHeight="1">
      <c r="A16" s="15"/>
      <c r="B16" s="15"/>
      <c r="C16" s="15"/>
      <c r="D16" s="20"/>
      <c r="E16" s="20"/>
      <c r="F16" s="12" t="str">
        <f t="shared" si="3"/>
        <v/>
      </c>
      <c r="G16" s="37" t="str">
        <f t="shared" si="4"/>
        <v/>
      </c>
    </row>
    <row r="17" ht="15.0" customHeight="1">
      <c r="A17" s="15"/>
      <c r="B17" s="15"/>
      <c r="C17" s="15"/>
      <c r="D17" s="20"/>
      <c r="E17" s="20"/>
      <c r="F17" s="12" t="str">
        <f t="shared" si="3"/>
        <v/>
      </c>
      <c r="G17" s="37" t="str">
        <f t="shared" si="4"/>
        <v/>
      </c>
    </row>
    <row r="18" ht="15.0" customHeight="1">
      <c r="A18" s="15"/>
      <c r="B18" s="15"/>
      <c r="C18" s="15"/>
      <c r="D18" s="20"/>
      <c r="E18" s="20"/>
      <c r="F18" s="12" t="str">
        <f t="shared" si="3"/>
        <v/>
      </c>
      <c r="G18" s="37" t="str">
        <f t="shared" si="4"/>
        <v/>
      </c>
    </row>
    <row r="19" ht="15.0" customHeight="1">
      <c r="A19" s="15"/>
      <c r="B19" s="15"/>
      <c r="C19" s="15"/>
      <c r="D19" s="20"/>
      <c r="E19" s="20"/>
      <c r="F19" s="12" t="str">
        <f t="shared" si="3"/>
        <v/>
      </c>
      <c r="G19" s="37" t="str">
        <f t="shared" si="4"/>
        <v/>
      </c>
    </row>
    <row r="20" ht="15.0" customHeight="1">
      <c r="A20" s="15"/>
      <c r="B20" s="15"/>
      <c r="C20" s="15"/>
      <c r="D20" s="20"/>
      <c r="E20" s="20"/>
      <c r="F20" s="12" t="str">
        <f t="shared" si="3"/>
        <v/>
      </c>
      <c r="G20" s="37" t="str">
        <f t="shared" si="4"/>
        <v/>
      </c>
    </row>
    <row r="21" ht="15.0" customHeight="1">
      <c r="A21" s="15"/>
      <c r="B21" s="15"/>
      <c r="C21" s="15"/>
      <c r="D21" s="20"/>
      <c r="E21" s="20"/>
      <c r="F21" s="12" t="str">
        <f t="shared" si="3"/>
        <v/>
      </c>
      <c r="G21" s="37" t="str">
        <f t="shared" si="4"/>
        <v/>
      </c>
    </row>
    <row r="22" ht="15.0" customHeight="1">
      <c r="A22" s="15"/>
      <c r="B22" s="15"/>
      <c r="C22" s="15"/>
      <c r="D22" s="20"/>
      <c r="E22" s="20"/>
      <c r="F22" s="12" t="str">
        <f t="shared" si="3"/>
        <v/>
      </c>
      <c r="G22" s="37" t="str">
        <f t="shared" si="4"/>
        <v/>
      </c>
    </row>
    <row r="23" ht="15.0" customHeight="1">
      <c r="A23" s="15"/>
      <c r="B23" s="15"/>
      <c r="C23" s="15"/>
      <c r="D23" s="20"/>
      <c r="E23" s="20"/>
      <c r="F23" s="12" t="str">
        <f t="shared" si="3"/>
        <v/>
      </c>
      <c r="G23" s="37" t="str">
        <f t="shared" si="4"/>
        <v/>
      </c>
    </row>
    <row r="24" ht="15.0" customHeight="1">
      <c r="A24" s="15"/>
      <c r="B24" s="15"/>
      <c r="C24" s="15"/>
      <c r="D24" s="20"/>
      <c r="E24" s="20"/>
      <c r="F24" s="12" t="str">
        <f t="shared" si="3"/>
        <v/>
      </c>
      <c r="G24" s="37" t="str">
        <f t="shared" si="4"/>
        <v/>
      </c>
    </row>
    <row r="25" ht="15.0" customHeight="1">
      <c r="A25" s="15"/>
      <c r="B25" s="15"/>
      <c r="C25" s="15"/>
      <c r="D25" s="20"/>
      <c r="E25" s="20"/>
      <c r="F25" s="12" t="str">
        <f t="shared" si="3"/>
        <v/>
      </c>
      <c r="G25" s="37" t="str">
        <f t="shared" si="4"/>
        <v/>
      </c>
    </row>
    <row r="26" ht="15.0" customHeight="1">
      <c r="A26" s="15"/>
      <c r="B26" s="15"/>
      <c r="C26" s="15"/>
      <c r="D26" s="20"/>
      <c r="E26" s="20"/>
      <c r="F26" s="12" t="str">
        <f t="shared" si="3"/>
        <v/>
      </c>
      <c r="G26" s="37" t="str">
        <f t="shared" si="4"/>
        <v/>
      </c>
    </row>
    <row r="27" ht="15.0" customHeight="1">
      <c r="A27" s="15"/>
      <c r="B27" s="15"/>
      <c r="C27" s="15"/>
      <c r="D27" s="20"/>
      <c r="E27" s="20"/>
      <c r="F27" s="12" t="str">
        <f t="shared" si="3"/>
        <v/>
      </c>
      <c r="G27" s="37" t="str">
        <f t="shared" si="4"/>
        <v/>
      </c>
    </row>
    <row r="28" ht="15.0" customHeight="1">
      <c r="A28" s="15"/>
      <c r="B28" s="15"/>
      <c r="C28" s="15"/>
      <c r="D28" s="20"/>
      <c r="E28" s="20"/>
      <c r="F28" s="12" t="str">
        <f t="shared" si="3"/>
        <v/>
      </c>
      <c r="G28" s="37" t="str">
        <f t="shared" si="4"/>
        <v/>
      </c>
    </row>
    <row r="29" ht="15.0" customHeight="1">
      <c r="A29" s="15"/>
      <c r="B29" s="15"/>
      <c r="C29" s="15"/>
      <c r="D29" s="20"/>
      <c r="E29" s="20"/>
      <c r="F29" s="12" t="str">
        <f t="shared" si="3"/>
        <v/>
      </c>
      <c r="G29" s="37" t="str">
        <f t="shared" si="4"/>
        <v/>
      </c>
    </row>
    <row r="30" ht="15.0" customHeight="1">
      <c r="A30" s="15"/>
      <c r="B30" s="15"/>
      <c r="C30" s="15"/>
      <c r="D30" s="20"/>
      <c r="E30" s="20"/>
      <c r="F30" s="12" t="str">
        <f t="shared" si="3"/>
        <v/>
      </c>
      <c r="G30" s="37" t="str">
        <f t="shared" si="4"/>
        <v/>
      </c>
    </row>
    <row r="31" ht="15.0" customHeight="1">
      <c r="A31" s="15"/>
      <c r="B31" s="15"/>
      <c r="C31" s="15"/>
      <c r="D31" s="20"/>
      <c r="E31" s="20"/>
      <c r="F31" s="12" t="str">
        <f t="shared" si="3"/>
        <v/>
      </c>
      <c r="G31" s="37" t="str">
        <f t="shared" si="4"/>
        <v/>
      </c>
    </row>
    <row r="32" ht="15.0" customHeight="1">
      <c r="A32" s="15"/>
      <c r="B32" s="15"/>
      <c r="C32" s="15"/>
      <c r="D32" s="20"/>
      <c r="E32" s="20"/>
      <c r="F32" s="12" t="str">
        <f t="shared" si="3"/>
        <v/>
      </c>
      <c r="G32" s="37" t="str">
        <f t="shared" si="4"/>
        <v/>
      </c>
    </row>
    <row r="33" ht="15.0" customHeight="1">
      <c r="A33" s="15"/>
      <c r="B33" s="15"/>
      <c r="C33" s="15"/>
      <c r="D33" s="20"/>
      <c r="E33" s="20"/>
      <c r="F33" s="12" t="str">
        <f t="shared" si="3"/>
        <v/>
      </c>
      <c r="G33" s="37" t="str">
        <f t="shared" si="4"/>
        <v/>
      </c>
    </row>
    <row r="34" ht="15.0" customHeight="1">
      <c r="A34" s="15"/>
      <c r="B34" s="15"/>
      <c r="C34" s="15"/>
      <c r="D34" s="20"/>
      <c r="E34" s="20"/>
      <c r="F34" s="12" t="str">
        <f t="shared" si="3"/>
        <v/>
      </c>
      <c r="G34" s="37" t="str">
        <f t="shared" si="4"/>
        <v/>
      </c>
    </row>
    <row r="35" ht="15.0" customHeight="1">
      <c r="A35" s="15"/>
      <c r="B35" s="15"/>
      <c r="C35" s="15"/>
      <c r="D35" s="20"/>
      <c r="E35" s="20"/>
      <c r="F35" s="12" t="str">
        <f t="shared" si="3"/>
        <v/>
      </c>
      <c r="G35" s="37" t="str">
        <f t="shared" si="4"/>
        <v/>
      </c>
    </row>
    <row r="36" ht="15.0" customHeight="1">
      <c r="A36" s="15"/>
      <c r="B36" s="15"/>
      <c r="C36" s="15"/>
      <c r="D36" s="20"/>
      <c r="E36" s="20"/>
      <c r="F36" s="12" t="str">
        <f t="shared" si="3"/>
        <v/>
      </c>
      <c r="G36" s="37" t="str">
        <f t="shared" si="4"/>
        <v/>
      </c>
    </row>
    <row r="37" ht="15.0" customHeight="1">
      <c r="A37" s="15"/>
      <c r="B37" s="15"/>
      <c r="C37" s="15"/>
      <c r="D37" s="20"/>
      <c r="E37" s="20"/>
      <c r="F37" s="12" t="str">
        <f t="shared" si="3"/>
        <v/>
      </c>
      <c r="G37" s="37" t="str">
        <f t="shared" si="4"/>
        <v/>
      </c>
    </row>
    <row r="38" ht="15.0" customHeight="1">
      <c r="A38" s="15"/>
      <c r="B38" s="15"/>
      <c r="C38" s="15"/>
      <c r="D38" s="20"/>
      <c r="E38" s="20"/>
      <c r="F38" s="12" t="str">
        <f t="shared" si="3"/>
        <v/>
      </c>
      <c r="G38" s="37" t="str">
        <f t="shared" si="4"/>
        <v/>
      </c>
    </row>
    <row r="39" ht="15.0" customHeight="1">
      <c r="A39" s="15"/>
      <c r="B39" s="15"/>
      <c r="C39" s="15"/>
      <c r="D39" s="20"/>
      <c r="E39" s="20"/>
      <c r="F39" s="12" t="str">
        <f t="shared" si="3"/>
        <v/>
      </c>
      <c r="G39" s="37" t="str">
        <f t="shared" si="4"/>
        <v/>
      </c>
    </row>
    <row r="40" ht="15.0" customHeight="1">
      <c r="A40" s="15"/>
      <c r="B40" s="15"/>
      <c r="C40" s="15"/>
      <c r="D40" s="20"/>
      <c r="E40" s="20"/>
      <c r="F40" s="12" t="str">
        <f t="shared" si="3"/>
        <v/>
      </c>
      <c r="G40" s="37" t="str">
        <f t="shared" si="4"/>
        <v/>
      </c>
    </row>
    <row r="41" ht="15.0" customHeight="1">
      <c r="A41" s="15"/>
      <c r="B41" s="15"/>
      <c r="C41" s="15"/>
      <c r="D41" s="20"/>
      <c r="E41" s="20"/>
      <c r="F41" s="12" t="str">
        <f t="shared" si="3"/>
        <v/>
      </c>
      <c r="G41" s="37" t="str">
        <f t="shared" si="4"/>
        <v/>
      </c>
    </row>
    <row r="42" ht="15.0" customHeight="1">
      <c r="A42" s="15"/>
      <c r="B42" s="15"/>
      <c r="C42" s="15"/>
      <c r="D42" s="20"/>
      <c r="E42" s="20"/>
      <c r="F42" s="12" t="str">
        <f t="shared" si="3"/>
        <v/>
      </c>
      <c r="G42" s="37" t="str">
        <f t="shared" si="4"/>
        <v/>
      </c>
    </row>
    <row r="43" ht="15.0" customHeight="1">
      <c r="A43" s="15"/>
      <c r="B43" s="15"/>
      <c r="C43" s="15"/>
      <c r="D43" s="20"/>
      <c r="E43" s="20"/>
      <c r="F43" s="12" t="str">
        <f t="shared" si="3"/>
        <v/>
      </c>
      <c r="G43" s="37" t="str">
        <f t="shared" si="4"/>
        <v/>
      </c>
    </row>
    <row r="44" ht="15.0" customHeight="1">
      <c r="A44" s="15"/>
      <c r="B44" s="15"/>
      <c r="C44" s="15"/>
      <c r="D44" s="20"/>
      <c r="E44" s="20"/>
      <c r="F44" s="12" t="str">
        <f t="shared" si="3"/>
        <v/>
      </c>
      <c r="G44" s="37" t="str">
        <f t="shared" si="4"/>
        <v/>
      </c>
    </row>
    <row r="45" ht="15.0" customHeight="1">
      <c r="A45" s="15"/>
      <c r="B45" s="15"/>
      <c r="C45" s="15"/>
      <c r="D45" s="20"/>
      <c r="E45" s="20"/>
      <c r="F45" s="12" t="str">
        <f t="shared" si="3"/>
        <v/>
      </c>
      <c r="G45" s="37" t="str">
        <f t="shared" si="4"/>
        <v/>
      </c>
    </row>
    <row r="46" ht="15.0" customHeight="1">
      <c r="A46" s="15"/>
      <c r="B46" s="15"/>
      <c r="C46" s="15"/>
      <c r="D46" s="20"/>
      <c r="E46" s="20"/>
      <c r="F46" s="12" t="str">
        <f t="shared" si="3"/>
        <v/>
      </c>
      <c r="G46" s="37" t="str">
        <f t="shared" si="4"/>
        <v/>
      </c>
    </row>
    <row r="47" ht="15.0" customHeight="1">
      <c r="A47" s="15"/>
      <c r="B47" s="15"/>
      <c r="C47" s="15"/>
      <c r="D47" s="20"/>
      <c r="E47" s="20"/>
      <c r="F47" s="12" t="str">
        <f t="shared" si="3"/>
        <v/>
      </c>
      <c r="G47" s="37" t="str">
        <f t="shared" si="4"/>
        <v/>
      </c>
    </row>
    <row r="48" ht="15.0" customHeight="1">
      <c r="A48" s="15"/>
      <c r="B48" s="15"/>
      <c r="C48" s="15"/>
      <c r="D48" s="20"/>
      <c r="E48" s="20"/>
      <c r="F48" s="12" t="str">
        <f t="shared" si="3"/>
        <v/>
      </c>
      <c r="G48" s="37" t="str">
        <f t="shared" si="4"/>
        <v/>
      </c>
    </row>
    <row r="49" ht="15.0" customHeight="1">
      <c r="A49" s="15"/>
      <c r="B49" s="15"/>
      <c r="C49" s="15"/>
      <c r="D49" s="20"/>
      <c r="E49" s="20"/>
      <c r="F49" s="12" t="str">
        <f t="shared" si="3"/>
        <v/>
      </c>
      <c r="G49" s="37" t="str">
        <f t="shared" si="4"/>
        <v/>
      </c>
    </row>
    <row r="50" ht="15.0" customHeight="1">
      <c r="A50" s="15"/>
      <c r="B50" s="15"/>
      <c r="C50" s="15"/>
      <c r="D50" s="20"/>
      <c r="E50" s="20"/>
      <c r="F50" s="12" t="str">
        <f t="shared" si="3"/>
        <v/>
      </c>
      <c r="G50" s="37" t="str">
        <f t="shared" si="4"/>
        <v/>
      </c>
    </row>
    <row r="51" ht="15.0" customHeight="1">
      <c r="A51" s="15"/>
      <c r="B51" s="15"/>
      <c r="C51" s="15"/>
      <c r="D51" s="20"/>
      <c r="E51" s="20"/>
      <c r="F51" s="12" t="str">
        <f t="shared" si="3"/>
        <v/>
      </c>
      <c r="G51" s="37" t="str">
        <f t="shared" si="4"/>
        <v/>
      </c>
    </row>
    <row r="52" ht="15.0" customHeight="1">
      <c r="A52" s="15"/>
      <c r="B52" s="15"/>
      <c r="C52" s="15"/>
      <c r="D52" s="20"/>
      <c r="E52" s="20"/>
      <c r="F52" s="12" t="str">
        <f t="shared" si="3"/>
        <v/>
      </c>
      <c r="G52" s="37" t="str">
        <f t="shared" si="4"/>
        <v/>
      </c>
    </row>
    <row r="53" ht="15.0" customHeight="1">
      <c r="A53" s="15"/>
      <c r="B53" s="15"/>
      <c r="C53" s="15"/>
      <c r="D53" s="20"/>
      <c r="E53" s="20"/>
      <c r="F53" s="12" t="str">
        <f t="shared" si="3"/>
        <v/>
      </c>
      <c r="G53" s="37" t="str">
        <f t="shared" si="4"/>
        <v/>
      </c>
    </row>
    <row r="54" ht="15.0" customHeight="1">
      <c r="A54" s="15"/>
      <c r="B54" s="15"/>
      <c r="C54" s="15"/>
      <c r="D54" s="20"/>
      <c r="E54" s="20"/>
      <c r="F54" s="12" t="str">
        <f t="shared" si="3"/>
        <v/>
      </c>
      <c r="G54" s="37" t="str">
        <f t="shared" si="4"/>
        <v/>
      </c>
    </row>
    <row r="55" ht="15.0" customHeight="1">
      <c r="A55" s="15"/>
      <c r="B55" s="15"/>
      <c r="C55" s="15"/>
      <c r="D55" s="20"/>
      <c r="E55" s="20"/>
      <c r="F55" s="12" t="str">
        <f t="shared" si="3"/>
        <v/>
      </c>
      <c r="G55" s="37" t="str">
        <f t="shared" si="4"/>
        <v/>
      </c>
    </row>
    <row r="56" ht="15.0" customHeight="1">
      <c r="A56" s="15"/>
      <c r="B56" s="15"/>
      <c r="C56" s="15"/>
      <c r="D56" s="20"/>
      <c r="E56" s="20"/>
      <c r="F56" s="12" t="str">
        <f t="shared" si="3"/>
        <v/>
      </c>
      <c r="G56" s="37" t="str">
        <f t="shared" si="4"/>
        <v/>
      </c>
    </row>
    <row r="57" ht="15.0" customHeight="1">
      <c r="A57" s="15"/>
      <c r="B57" s="15"/>
      <c r="C57" s="15"/>
      <c r="D57" s="20"/>
      <c r="E57" s="20"/>
      <c r="F57" s="12" t="str">
        <f t="shared" si="3"/>
        <v/>
      </c>
      <c r="G57" s="37" t="str">
        <f t="shared" si="4"/>
        <v/>
      </c>
    </row>
    <row r="58" ht="15.0" customHeight="1">
      <c r="A58" s="15"/>
      <c r="B58" s="15"/>
      <c r="C58" s="15"/>
      <c r="D58" s="20"/>
      <c r="E58" s="20"/>
      <c r="F58" s="12" t="str">
        <f t="shared" si="3"/>
        <v/>
      </c>
      <c r="G58" s="37" t="str">
        <f t="shared" si="4"/>
        <v/>
      </c>
    </row>
    <row r="59" ht="15.0" customHeight="1">
      <c r="A59" s="15"/>
      <c r="B59" s="15"/>
      <c r="C59" s="15"/>
      <c r="D59" s="20"/>
      <c r="E59" s="20"/>
      <c r="F59" s="12" t="str">
        <f t="shared" si="3"/>
        <v/>
      </c>
      <c r="G59" s="37" t="str">
        <f t="shared" si="4"/>
        <v/>
      </c>
    </row>
    <row r="60" ht="15.0" customHeight="1">
      <c r="A60" s="15"/>
      <c r="B60" s="15"/>
      <c r="C60" s="15"/>
      <c r="D60" s="20"/>
      <c r="E60" s="20"/>
      <c r="F60" s="12" t="str">
        <f t="shared" si="3"/>
        <v/>
      </c>
      <c r="G60" s="37" t="str">
        <f t="shared" si="4"/>
        <v/>
      </c>
    </row>
    <row r="61" ht="15.0" customHeight="1">
      <c r="A61" s="15"/>
      <c r="B61" s="15"/>
      <c r="C61" s="15"/>
      <c r="D61" s="20"/>
      <c r="E61" s="20"/>
      <c r="F61" s="12" t="str">
        <f t="shared" si="3"/>
        <v/>
      </c>
      <c r="G61" s="37" t="str">
        <f t="shared" si="4"/>
        <v/>
      </c>
    </row>
    <row r="62" ht="15.0" customHeight="1">
      <c r="A62" s="15"/>
      <c r="B62" s="15"/>
      <c r="C62" s="15"/>
      <c r="D62" s="20"/>
      <c r="E62" s="20"/>
      <c r="F62" s="12" t="str">
        <f t="shared" si="3"/>
        <v/>
      </c>
      <c r="G62" s="37" t="str">
        <f t="shared" si="4"/>
        <v/>
      </c>
    </row>
    <row r="63" ht="15.0" customHeight="1">
      <c r="A63" s="15"/>
      <c r="B63" s="15"/>
      <c r="C63" s="15"/>
      <c r="D63" s="20"/>
      <c r="E63" s="20"/>
      <c r="F63" s="12" t="str">
        <f t="shared" si="3"/>
        <v/>
      </c>
      <c r="G63" s="37" t="str">
        <f t="shared" si="4"/>
        <v/>
      </c>
    </row>
    <row r="64" ht="15.0" customHeight="1">
      <c r="A64" s="15"/>
      <c r="B64" s="15"/>
      <c r="C64" s="15"/>
      <c r="D64" s="20"/>
      <c r="E64" s="20"/>
      <c r="F64" s="12" t="str">
        <f t="shared" si="3"/>
        <v/>
      </c>
      <c r="G64" s="37" t="str">
        <f t="shared" si="4"/>
        <v/>
      </c>
    </row>
    <row r="65" ht="15.0" customHeight="1">
      <c r="A65" s="15"/>
      <c r="B65" s="15"/>
      <c r="C65" s="15"/>
      <c r="D65" s="20"/>
      <c r="E65" s="20"/>
      <c r="F65" s="12" t="str">
        <f t="shared" si="3"/>
        <v/>
      </c>
      <c r="G65" s="37" t="str">
        <f t="shared" si="4"/>
        <v/>
      </c>
    </row>
    <row r="66" ht="15.0" customHeight="1">
      <c r="A66" s="15"/>
      <c r="B66" s="15"/>
      <c r="C66" s="15"/>
      <c r="D66" s="20"/>
      <c r="E66" s="20"/>
      <c r="F66" s="12" t="str">
        <f t="shared" si="3"/>
        <v/>
      </c>
      <c r="G66" s="37" t="str">
        <f t="shared" si="4"/>
        <v/>
      </c>
    </row>
    <row r="67" ht="15.0" customHeight="1">
      <c r="A67" s="15"/>
      <c r="B67" s="15"/>
      <c r="C67" s="15"/>
      <c r="D67" s="20"/>
      <c r="E67" s="20"/>
      <c r="F67" s="12" t="str">
        <f t="shared" si="3"/>
        <v/>
      </c>
      <c r="G67" s="37" t="str">
        <f t="shared" si="4"/>
        <v/>
      </c>
    </row>
    <row r="68" ht="15.0" customHeight="1">
      <c r="A68" s="15"/>
      <c r="B68" s="15"/>
      <c r="C68" s="15"/>
      <c r="D68" s="20"/>
      <c r="E68" s="20"/>
      <c r="F68" s="12" t="str">
        <f t="shared" si="3"/>
        <v/>
      </c>
      <c r="G68" s="37" t="str">
        <f t="shared" si="4"/>
        <v/>
      </c>
    </row>
    <row r="69" ht="15.0" customHeight="1">
      <c r="A69" s="15"/>
      <c r="B69" s="15"/>
      <c r="C69" s="15"/>
      <c r="D69" s="20"/>
      <c r="E69" s="20"/>
      <c r="F69" s="12" t="str">
        <f t="shared" si="3"/>
        <v/>
      </c>
      <c r="G69" s="37" t="str">
        <f t="shared" si="4"/>
        <v/>
      </c>
    </row>
    <row r="70" ht="15.0" customHeight="1">
      <c r="A70" s="15"/>
      <c r="B70" s="15"/>
      <c r="C70" s="15"/>
      <c r="D70" s="20"/>
      <c r="E70" s="20"/>
      <c r="F70" s="12" t="str">
        <f t="shared" si="3"/>
        <v/>
      </c>
      <c r="G70" s="37" t="str">
        <f t="shared" si="4"/>
        <v/>
      </c>
    </row>
    <row r="71" ht="15.0" customHeight="1">
      <c r="A71" s="15"/>
      <c r="B71" s="15"/>
      <c r="C71" s="15"/>
      <c r="D71" s="20"/>
      <c r="E71" s="20"/>
      <c r="F71" s="12" t="str">
        <f t="shared" si="3"/>
        <v/>
      </c>
      <c r="G71" s="37" t="str">
        <f t="shared" si="4"/>
        <v/>
      </c>
    </row>
    <row r="72" ht="15.0" customHeight="1">
      <c r="A72" s="15"/>
      <c r="B72" s="15"/>
      <c r="C72" s="15"/>
      <c r="D72" s="20"/>
      <c r="E72" s="20"/>
      <c r="F72" s="12" t="str">
        <f t="shared" si="3"/>
        <v/>
      </c>
      <c r="G72" s="37" t="str">
        <f t="shared" si="4"/>
        <v/>
      </c>
    </row>
    <row r="73" ht="15.0" customHeight="1">
      <c r="A73" s="15"/>
      <c r="B73" s="15"/>
      <c r="C73" s="15"/>
      <c r="D73" s="20"/>
      <c r="E73" s="20"/>
      <c r="F73" s="12" t="str">
        <f t="shared" si="3"/>
        <v/>
      </c>
      <c r="G73" s="37" t="str">
        <f t="shared" si="4"/>
        <v/>
      </c>
    </row>
    <row r="74" ht="15.0" customHeight="1">
      <c r="A74" s="15"/>
      <c r="B74" s="15"/>
      <c r="C74" s="15"/>
      <c r="D74" s="20"/>
      <c r="E74" s="20"/>
      <c r="F74" s="12" t="str">
        <f t="shared" si="3"/>
        <v/>
      </c>
      <c r="G74" s="37" t="str">
        <f t="shared" si="4"/>
        <v/>
      </c>
    </row>
    <row r="75" ht="15.0" customHeight="1">
      <c r="A75" s="15"/>
      <c r="B75" s="15"/>
      <c r="C75" s="15"/>
      <c r="D75" s="20"/>
      <c r="E75" s="20"/>
      <c r="F75" s="12" t="str">
        <f t="shared" si="3"/>
        <v/>
      </c>
      <c r="G75" s="37" t="str">
        <f t="shared" si="4"/>
        <v/>
      </c>
    </row>
    <row r="76" ht="15.0" customHeight="1">
      <c r="A76" s="15"/>
      <c r="B76" s="15"/>
      <c r="C76" s="15"/>
      <c r="D76" s="20"/>
      <c r="E76" s="20"/>
      <c r="F76" s="12" t="str">
        <f t="shared" si="3"/>
        <v/>
      </c>
      <c r="G76" s="37" t="str">
        <f t="shared" si="4"/>
        <v/>
      </c>
    </row>
    <row r="77" ht="15.0" customHeight="1">
      <c r="A77" s="15"/>
      <c r="B77" s="15"/>
      <c r="C77" s="15"/>
      <c r="D77" s="20"/>
      <c r="E77" s="20"/>
      <c r="F77" s="12" t="str">
        <f t="shared" si="3"/>
        <v/>
      </c>
      <c r="G77" s="37" t="str">
        <f t="shared" si="4"/>
        <v/>
      </c>
    </row>
    <row r="78" ht="15.0" customHeight="1">
      <c r="A78" s="15"/>
      <c r="B78" s="15"/>
      <c r="C78" s="15"/>
      <c r="D78" s="20"/>
      <c r="E78" s="20"/>
      <c r="F78" s="12" t="str">
        <f t="shared" si="3"/>
        <v/>
      </c>
      <c r="G78" s="37" t="str">
        <f t="shared" si="4"/>
        <v/>
      </c>
    </row>
    <row r="79" ht="15.0" customHeight="1">
      <c r="A79" s="15"/>
      <c r="B79" s="15"/>
      <c r="C79" s="15"/>
      <c r="D79" s="20"/>
      <c r="E79" s="20"/>
      <c r="F79" s="12" t="str">
        <f t="shared" si="3"/>
        <v/>
      </c>
      <c r="G79" s="37" t="str">
        <f t="shared" si="4"/>
        <v/>
      </c>
    </row>
    <row r="80" ht="15.0" customHeight="1">
      <c r="A80" s="15"/>
      <c r="B80" s="15"/>
      <c r="C80" s="15"/>
      <c r="D80" s="20"/>
      <c r="E80" s="20"/>
      <c r="F80" s="12" t="str">
        <f t="shared" si="3"/>
        <v/>
      </c>
      <c r="G80" s="37" t="str">
        <f t="shared" si="4"/>
        <v/>
      </c>
    </row>
    <row r="81" ht="15.0" customHeight="1">
      <c r="A81" s="15"/>
      <c r="B81" s="15"/>
      <c r="C81" s="15"/>
      <c r="D81" s="20"/>
      <c r="E81" s="20"/>
      <c r="F81" s="12" t="str">
        <f t="shared" si="3"/>
        <v/>
      </c>
      <c r="G81" s="37" t="str">
        <f t="shared" si="4"/>
        <v/>
      </c>
    </row>
    <row r="82" ht="15.0" customHeight="1">
      <c r="A82" s="15"/>
      <c r="B82" s="15"/>
      <c r="C82" s="15"/>
      <c r="D82" s="20"/>
      <c r="E82" s="20"/>
      <c r="F82" s="12" t="str">
        <f t="shared" si="3"/>
        <v/>
      </c>
      <c r="G82" s="37" t="str">
        <f t="shared" si="4"/>
        <v/>
      </c>
    </row>
    <row r="83" ht="15.0" customHeight="1">
      <c r="A83" s="15"/>
      <c r="B83" s="15"/>
      <c r="C83" s="15"/>
      <c r="D83" s="20"/>
      <c r="E83" s="20"/>
      <c r="F83" s="12" t="str">
        <f t="shared" si="3"/>
        <v/>
      </c>
      <c r="G83" s="37" t="str">
        <f t="shared" si="4"/>
        <v/>
      </c>
    </row>
    <row r="84" ht="15.0" customHeight="1">
      <c r="A84" s="15"/>
      <c r="B84" s="15"/>
      <c r="C84" s="15"/>
      <c r="D84" s="20"/>
      <c r="E84" s="20"/>
      <c r="F84" s="12" t="str">
        <f t="shared" si="3"/>
        <v/>
      </c>
      <c r="G84" s="37" t="str">
        <f t="shared" si="4"/>
        <v/>
      </c>
    </row>
    <row r="85" ht="15.0" customHeight="1">
      <c r="A85" s="15"/>
      <c r="B85" s="15"/>
      <c r="C85" s="15"/>
      <c r="D85" s="20"/>
      <c r="E85" s="20"/>
      <c r="F85" s="12" t="str">
        <f t="shared" si="3"/>
        <v/>
      </c>
      <c r="G85" s="37" t="str">
        <f t="shared" si="4"/>
        <v/>
      </c>
    </row>
    <row r="86" ht="15.0" customHeight="1">
      <c r="A86" s="15"/>
      <c r="B86" s="15"/>
      <c r="C86" s="15"/>
      <c r="D86" s="20"/>
      <c r="E86" s="20"/>
      <c r="F86" s="12" t="str">
        <f t="shared" si="3"/>
        <v/>
      </c>
      <c r="G86" s="37" t="str">
        <f t="shared" si="4"/>
        <v/>
      </c>
    </row>
    <row r="87" ht="15.0" customHeight="1">
      <c r="A87" s="15"/>
      <c r="B87" s="15"/>
      <c r="C87" s="15"/>
      <c r="D87" s="20"/>
      <c r="E87" s="20"/>
      <c r="F87" s="12" t="str">
        <f t="shared" si="3"/>
        <v/>
      </c>
      <c r="G87" s="37" t="str">
        <f t="shared" si="4"/>
        <v/>
      </c>
    </row>
    <row r="88" ht="15.0" customHeight="1">
      <c r="A88" s="15"/>
      <c r="B88" s="15"/>
      <c r="C88" s="15"/>
      <c r="D88" s="20"/>
      <c r="E88" s="20"/>
      <c r="F88" s="12" t="str">
        <f t="shared" si="3"/>
        <v/>
      </c>
      <c r="G88" s="37" t="str">
        <f t="shared" si="4"/>
        <v/>
      </c>
    </row>
    <row r="89" ht="15.0" customHeight="1">
      <c r="A89" s="15"/>
      <c r="B89" s="15"/>
      <c r="C89" s="15"/>
      <c r="D89" s="20"/>
      <c r="E89" s="20"/>
      <c r="F89" s="12" t="str">
        <f t="shared" si="3"/>
        <v/>
      </c>
      <c r="G89" s="37" t="str">
        <f t="shared" si="4"/>
        <v/>
      </c>
    </row>
    <row r="90" ht="15.0" customHeight="1">
      <c r="A90" s="15"/>
      <c r="B90" s="15"/>
      <c r="C90" s="15"/>
      <c r="D90" s="20"/>
      <c r="E90" s="20"/>
      <c r="F90" s="12" t="str">
        <f t="shared" si="3"/>
        <v/>
      </c>
      <c r="G90" s="37" t="str">
        <f t="shared" si="4"/>
        <v/>
      </c>
    </row>
    <row r="91" ht="15.0" customHeight="1">
      <c r="A91" s="15"/>
      <c r="B91" s="15"/>
      <c r="C91" s="15"/>
      <c r="D91" s="20"/>
      <c r="E91" s="20"/>
      <c r="F91" s="12" t="str">
        <f t="shared" si="3"/>
        <v/>
      </c>
      <c r="G91" s="37" t="str">
        <f t="shared" si="4"/>
        <v/>
      </c>
    </row>
    <row r="92" ht="15.0" customHeight="1">
      <c r="A92" s="15"/>
      <c r="B92" s="15"/>
      <c r="C92" s="15"/>
      <c r="D92" s="20"/>
      <c r="E92" s="20"/>
      <c r="F92" s="12" t="str">
        <f t="shared" si="3"/>
        <v/>
      </c>
      <c r="G92" s="37" t="str">
        <f t="shared" si="4"/>
        <v/>
      </c>
    </row>
    <row r="93" ht="15.0" customHeight="1">
      <c r="A93" s="15"/>
      <c r="B93" s="15"/>
      <c r="C93" s="15"/>
      <c r="D93" s="20"/>
      <c r="E93" s="20"/>
      <c r="F93" s="12" t="str">
        <f t="shared" si="3"/>
        <v/>
      </c>
      <c r="G93" s="37" t="str">
        <f t="shared" si="4"/>
        <v/>
      </c>
    </row>
    <row r="94" ht="15.0" customHeight="1">
      <c r="A94" s="15"/>
      <c r="B94" s="15"/>
      <c r="C94" s="15"/>
      <c r="D94" s="20"/>
      <c r="E94" s="20"/>
      <c r="F94" s="12" t="str">
        <f t="shared" si="3"/>
        <v/>
      </c>
      <c r="G94" s="37" t="str">
        <f t="shared" si="4"/>
        <v/>
      </c>
    </row>
    <row r="95" ht="15.0" customHeight="1">
      <c r="A95" s="15"/>
      <c r="B95" s="15"/>
      <c r="C95" s="15"/>
      <c r="D95" s="20"/>
      <c r="E95" s="20"/>
      <c r="F95" s="12" t="str">
        <f t="shared" si="3"/>
        <v/>
      </c>
      <c r="G95" s="37" t="str">
        <f t="shared" si="4"/>
        <v/>
      </c>
    </row>
    <row r="96" ht="15.0" customHeight="1">
      <c r="A96" s="15"/>
      <c r="B96" s="15"/>
      <c r="C96" s="15"/>
      <c r="D96" s="20"/>
      <c r="E96" s="20"/>
      <c r="F96" s="12" t="str">
        <f t="shared" si="3"/>
        <v/>
      </c>
      <c r="G96" s="37" t="str">
        <f t="shared" si="4"/>
        <v/>
      </c>
    </row>
    <row r="97" ht="15.0" customHeight="1">
      <c r="A97" s="15"/>
      <c r="B97" s="15"/>
      <c r="C97" s="15"/>
      <c r="D97" s="20"/>
      <c r="E97" s="20"/>
      <c r="F97" s="12" t="str">
        <f t="shared" si="3"/>
        <v/>
      </c>
      <c r="G97" s="37" t="str">
        <f t="shared" si="4"/>
        <v/>
      </c>
    </row>
    <row r="98" ht="15.0" customHeight="1">
      <c r="A98" s="15"/>
      <c r="B98" s="15"/>
      <c r="C98" s="15"/>
      <c r="D98" s="20"/>
      <c r="E98" s="20"/>
      <c r="F98" s="12" t="str">
        <f t="shared" si="3"/>
        <v/>
      </c>
      <c r="G98" s="37" t="str">
        <f t="shared" si="4"/>
        <v/>
      </c>
    </row>
    <row r="99" ht="15.0" customHeight="1">
      <c r="A99" s="15"/>
      <c r="B99" s="15"/>
      <c r="C99" s="15"/>
      <c r="D99" s="20"/>
      <c r="E99" s="20"/>
      <c r="F99" s="12" t="str">
        <f t="shared" si="3"/>
        <v/>
      </c>
      <c r="G99" s="37" t="str">
        <f t="shared" si="4"/>
        <v/>
      </c>
    </row>
    <row r="100" ht="15.0" customHeight="1">
      <c r="A100" s="15"/>
      <c r="B100" s="15"/>
      <c r="C100" s="15"/>
      <c r="D100" s="20"/>
      <c r="E100" s="20"/>
      <c r="F100" s="12" t="str">
        <f t="shared" si="3"/>
        <v/>
      </c>
      <c r="G100" s="37" t="str">
        <f t="shared" si="4"/>
        <v/>
      </c>
    </row>
    <row r="101" ht="15.0" customHeight="1">
      <c r="A101" s="15"/>
      <c r="B101" s="15"/>
      <c r="C101" s="15"/>
      <c r="D101" s="20"/>
      <c r="E101" s="20"/>
      <c r="F101" s="12" t="str">
        <f t="shared" si="3"/>
        <v/>
      </c>
      <c r="G101" s="37" t="str">
        <f t="shared" si="4"/>
        <v/>
      </c>
    </row>
    <row r="102" ht="15.0" customHeight="1">
      <c r="A102" s="15"/>
      <c r="B102" s="15"/>
      <c r="C102" s="15"/>
      <c r="D102" s="20"/>
      <c r="E102" s="20"/>
      <c r="F102" s="12" t="str">
        <f t="shared" si="3"/>
        <v/>
      </c>
      <c r="G102" s="37" t="str">
        <f t="shared" si="4"/>
        <v/>
      </c>
    </row>
    <row r="103" ht="15.0" customHeight="1">
      <c r="A103" s="15"/>
      <c r="B103" s="15"/>
      <c r="C103" s="15"/>
      <c r="D103" s="20"/>
      <c r="E103" s="20"/>
      <c r="F103" s="12" t="str">
        <f t="shared" si="3"/>
        <v/>
      </c>
      <c r="G103" s="37" t="str">
        <f t="shared" si="4"/>
        <v/>
      </c>
    </row>
    <row r="104" ht="15.0" customHeight="1">
      <c r="A104" s="15"/>
      <c r="B104" s="15"/>
      <c r="C104" s="15"/>
      <c r="D104" s="20"/>
      <c r="E104" s="20"/>
      <c r="F104" s="12" t="str">
        <f t="shared" si="3"/>
        <v/>
      </c>
      <c r="G104" s="37" t="str">
        <f t="shared" si="4"/>
        <v/>
      </c>
    </row>
    <row r="105" ht="15.0" customHeight="1">
      <c r="A105" s="15"/>
      <c r="B105" s="15"/>
      <c r="C105" s="15"/>
      <c r="D105" s="20"/>
      <c r="E105" s="20"/>
      <c r="F105" s="12" t="str">
        <f t="shared" si="3"/>
        <v/>
      </c>
      <c r="G105" s="37" t="str">
        <f t="shared" si="4"/>
        <v/>
      </c>
    </row>
    <row r="106" ht="15.0" customHeight="1">
      <c r="A106" s="15"/>
      <c r="B106" s="15"/>
      <c r="C106" s="15"/>
      <c r="D106" s="20"/>
      <c r="E106" s="20"/>
      <c r="F106" s="12" t="str">
        <f t="shared" si="3"/>
        <v/>
      </c>
      <c r="G106" s="37" t="str">
        <f t="shared" si="4"/>
        <v/>
      </c>
    </row>
    <row r="107" ht="15.0" customHeight="1">
      <c r="A107" s="15"/>
      <c r="B107" s="15"/>
      <c r="C107" s="15"/>
      <c r="D107" s="20"/>
      <c r="E107" s="20"/>
      <c r="F107" s="12" t="str">
        <f t="shared" si="3"/>
        <v/>
      </c>
      <c r="G107" s="37" t="str">
        <f t="shared" si="4"/>
        <v/>
      </c>
    </row>
    <row r="108" ht="15.0" customHeight="1">
      <c r="A108" s="15"/>
      <c r="B108" s="15"/>
      <c r="C108" s="15"/>
      <c r="D108" s="20"/>
      <c r="E108" s="20"/>
      <c r="F108" s="12" t="str">
        <f t="shared" si="3"/>
        <v/>
      </c>
      <c r="G108" s="37" t="str">
        <f t="shared" si="4"/>
        <v/>
      </c>
    </row>
    <row r="109" ht="15.0" customHeight="1">
      <c r="A109" s="15"/>
      <c r="B109" s="15"/>
      <c r="C109" s="15"/>
      <c r="D109" s="20"/>
      <c r="E109" s="20"/>
      <c r="F109" s="12" t="str">
        <f t="shared" si="3"/>
        <v/>
      </c>
      <c r="G109" s="37" t="str">
        <f t="shared" si="4"/>
        <v/>
      </c>
    </row>
    <row r="110" ht="15.0" customHeight="1">
      <c r="A110" s="15"/>
      <c r="B110" s="15"/>
      <c r="C110" s="15"/>
      <c r="D110" s="20"/>
      <c r="E110" s="20"/>
      <c r="F110" s="12" t="str">
        <f t="shared" si="3"/>
        <v/>
      </c>
      <c r="G110" s="37" t="str">
        <f t="shared" si="4"/>
        <v/>
      </c>
    </row>
    <row r="111" ht="15.0" customHeight="1">
      <c r="A111" s="15"/>
      <c r="B111" s="15"/>
      <c r="C111" s="15"/>
      <c r="D111" s="20"/>
      <c r="E111" s="20"/>
      <c r="F111" s="12" t="str">
        <f t="shared" si="3"/>
        <v/>
      </c>
      <c r="G111" s="37" t="str">
        <f t="shared" si="4"/>
        <v/>
      </c>
    </row>
    <row r="112" ht="15.0" customHeight="1">
      <c r="A112" s="15"/>
      <c r="B112" s="15"/>
      <c r="C112" s="15"/>
      <c r="D112" s="20"/>
      <c r="E112" s="20"/>
      <c r="F112" s="12" t="str">
        <f t="shared" si="3"/>
        <v/>
      </c>
      <c r="G112" s="37" t="str">
        <f t="shared" si="4"/>
        <v/>
      </c>
    </row>
    <row r="113" ht="15.0" customHeight="1">
      <c r="A113" s="15"/>
      <c r="B113" s="15"/>
      <c r="C113" s="15"/>
      <c r="D113" s="20"/>
      <c r="E113" s="20"/>
      <c r="F113" s="12" t="str">
        <f t="shared" si="3"/>
        <v/>
      </c>
      <c r="G113" s="37" t="str">
        <f t="shared" si="4"/>
        <v/>
      </c>
    </row>
    <row r="114" ht="15.0" customHeight="1">
      <c r="A114" s="15"/>
      <c r="B114" s="15"/>
      <c r="C114" s="15"/>
      <c r="D114" s="20"/>
      <c r="E114" s="20"/>
      <c r="F114" s="12" t="str">
        <f t="shared" si="3"/>
        <v/>
      </c>
      <c r="G114" s="37" t="str">
        <f t="shared" si="4"/>
        <v/>
      </c>
    </row>
    <row r="115" ht="15.0" customHeight="1">
      <c r="A115" s="15"/>
      <c r="B115" s="15"/>
      <c r="C115" s="15"/>
      <c r="D115" s="20"/>
      <c r="E115" s="20"/>
      <c r="F115" s="12" t="str">
        <f t="shared" si="3"/>
        <v/>
      </c>
      <c r="G115" s="37" t="str">
        <f t="shared" si="4"/>
        <v/>
      </c>
    </row>
    <row r="116" ht="15.0" customHeight="1">
      <c r="A116" s="15"/>
      <c r="B116" s="15"/>
      <c r="C116" s="15"/>
      <c r="D116" s="20"/>
      <c r="E116" s="20"/>
      <c r="F116" s="12" t="str">
        <f t="shared" si="3"/>
        <v/>
      </c>
      <c r="G116" s="37" t="str">
        <f t="shared" si="4"/>
        <v/>
      </c>
    </row>
    <row r="117" ht="15.0" customHeight="1">
      <c r="A117" s="15"/>
      <c r="B117" s="15"/>
      <c r="C117" s="15"/>
      <c r="D117" s="20"/>
      <c r="E117" s="20"/>
      <c r="F117" s="12" t="str">
        <f t="shared" si="3"/>
        <v/>
      </c>
      <c r="G117" s="37" t="str">
        <f t="shared" si="4"/>
        <v/>
      </c>
    </row>
    <row r="118" ht="15.0" customHeight="1">
      <c r="A118" s="15"/>
      <c r="B118" s="15"/>
      <c r="C118" s="15"/>
      <c r="D118" s="20"/>
      <c r="E118" s="20"/>
      <c r="F118" s="12" t="str">
        <f t="shared" si="3"/>
        <v/>
      </c>
      <c r="G118" s="37" t="str">
        <f t="shared" si="4"/>
        <v/>
      </c>
    </row>
    <row r="119" ht="15.0" customHeight="1">
      <c r="A119" s="15"/>
      <c r="B119" s="15"/>
      <c r="C119" s="15"/>
      <c r="D119" s="20"/>
      <c r="E119" s="20"/>
      <c r="F119" s="12" t="str">
        <f t="shared" si="3"/>
        <v/>
      </c>
      <c r="G119" s="37" t="str">
        <f t="shared" si="4"/>
        <v/>
      </c>
    </row>
    <row r="120" ht="15.0" customHeight="1">
      <c r="A120" s="15"/>
      <c r="B120" s="15"/>
      <c r="C120" s="15"/>
      <c r="D120" s="20"/>
      <c r="E120" s="20"/>
      <c r="F120" s="12" t="str">
        <f t="shared" si="3"/>
        <v/>
      </c>
      <c r="G120" s="37" t="str">
        <f t="shared" si="4"/>
        <v/>
      </c>
    </row>
    <row r="121" ht="15.0" customHeight="1">
      <c r="A121" s="15"/>
      <c r="B121" s="15"/>
      <c r="C121" s="15"/>
      <c r="D121" s="20"/>
      <c r="E121" s="20"/>
      <c r="F121" s="12" t="str">
        <f t="shared" si="3"/>
        <v/>
      </c>
      <c r="G121" s="37" t="str">
        <f t="shared" si="4"/>
        <v/>
      </c>
    </row>
    <row r="122" ht="15.0" customHeight="1">
      <c r="A122" s="15"/>
      <c r="B122" s="15"/>
      <c r="C122" s="15"/>
      <c r="D122" s="20"/>
      <c r="E122" s="20"/>
      <c r="F122" s="12" t="str">
        <f t="shared" si="3"/>
        <v/>
      </c>
      <c r="G122" s="37" t="str">
        <f t="shared" si="4"/>
        <v/>
      </c>
    </row>
    <row r="123" ht="15.0" customHeight="1">
      <c r="A123" s="15"/>
      <c r="B123" s="15"/>
      <c r="C123" s="15"/>
      <c r="D123" s="20"/>
      <c r="E123" s="20"/>
      <c r="F123" s="12" t="str">
        <f t="shared" si="3"/>
        <v/>
      </c>
      <c r="G123" s="37" t="str">
        <f t="shared" si="4"/>
        <v/>
      </c>
    </row>
    <row r="124" ht="15.0" customHeight="1">
      <c r="A124" s="15"/>
      <c r="B124" s="15"/>
      <c r="C124" s="15"/>
      <c r="D124" s="20"/>
      <c r="E124" s="20"/>
      <c r="F124" s="12" t="str">
        <f t="shared" si="3"/>
        <v/>
      </c>
      <c r="G124" s="37" t="str">
        <f t="shared" si="4"/>
        <v/>
      </c>
    </row>
    <row r="125" ht="15.0" customHeight="1">
      <c r="A125" s="15"/>
      <c r="B125" s="15"/>
      <c r="C125" s="15"/>
      <c r="D125" s="20"/>
      <c r="E125" s="20"/>
      <c r="F125" s="12" t="str">
        <f t="shared" si="3"/>
        <v/>
      </c>
      <c r="G125" s="37" t="str">
        <f t="shared" si="4"/>
        <v/>
      </c>
    </row>
    <row r="126" ht="15.0" customHeight="1">
      <c r="A126" s="15"/>
      <c r="B126" s="15"/>
      <c r="C126" s="15"/>
      <c r="D126" s="20"/>
      <c r="E126" s="20"/>
      <c r="F126" s="12" t="str">
        <f t="shared" si="3"/>
        <v/>
      </c>
      <c r="G126" s="37" t="str">
        <f t="shared" si="4"/>
        <v/>
      </c>
    </row>
    <row r="127" ht="15.0" customHeight="1">
      <c r="A127" s="15"/>
      <c r="B127" s="15"/>
      <c r="C127" s="15"/>
      <c r="D127" s="20"/>
      <c r="E127" s="20"/>
      <c r="F127" s="12" t="str">
        <f t="shared" si="3"/>
        <v/>
      </c>
      <c r="G127" s="37" t="str">
        <f t="shared" si="4"/>
        <v/>
      </c>
    </row>
    <row r="128" ht="15.0" customHeight="1">
      <c r="A128" s="15"/>
      <c r="B128" s="15"/>
      <c r="C128" s="15"/>
      <c r="D128" s="20"/>
      <c r="E128" s="20"/>
      <c r="F128" s="12" t="str">
        <f t="shared" si="3"/>
        <v/>
      </c>
      <c r="G128" s="37" t="str">
        <f t="shared" si="4"/>
        <v/>
      </c>
    </row>
    <row r="129" ht="15.0" customHeight="1">
      <c r="A129" s="15"/>
      <c r="B129" s="15"/>
      <c r="C129" s="15"/>
      <c r="D129" s="20"/>
      <c r="E129" s="20"/>
      <c r="F129" s="12" t="str">
        <f t="shared" si="3"/>
        <v/>
      </c>
      <c r="G129" s="37" t="str">
        <f t="shared" si="4"/>
        <v/>
      </c>
    </row>
    <row r="130" ht="15.0" customHeight="1">
      <c r="A130" s="15"/>
      <c r="B130" s="15"/>
      <c r="C130" s="15"/>
      <c r="D130" s="20"/>
      <c r="E130" s="20"/>
      <c r="F130" s="12" t="str">
        <f t="shared" si="3"/>
        <v/>
      </c>
      <c r="G130" s="37" t="str">
        <f t="shared" si="4"/>
        <v/>
      </c>
    </row>
    <row r="131" ht="15.0" customHeight="1">
      <c r="A131" s="15"/>
      <c r="B131" s="15"/>
      <c r="C131" s="15"/>
      <c r="D131" s="20"/>
      <c r="E131" s="20"/>
      <c r="F131" s="12" t="str">
        <f t="shared" si="3"/>
        <v/>
      </c>
      <c r="G131" s="37" t="str">
        <f t="shared" si="4"/>
        <v/>
      </c>
    </row>
    <row r="132" ht="15.0" customHeight="1">
      <c r="A132" s="15"/>
      <c r="B132" s="15"/>
      <c r="C132" s="15"/>
      <c r="D132" s="20"/>
      <c r="E132" s="20"/>
      <c r="F132" s="12" t="str">
        <f t="shared" si="3"/>
        <v/>
      </c>
      <c r="G132" s="37" t="str">
        <f t="shared" si="4"/>
        <v/>
      </c>
    </row>
    <row r="133" ht="15.0" customHeight="1">
      <c r="A133" s="15"/>
      <c r="B133" s="15"/>
      <c r="C133" s="15"/>
      <c r="D133" s="20"/>
      <c r="E133" s="20"/>
      <c r="F133" s="12" t="str">
        <f t="shared" si="3"/>
        <v/>
      </c>
      <c r="G133" s="37" t="str">
        <f t="shared" si="4"/>
        <v/>
      </c>
    </row>
    <row r="134" ht="15.0" customHeight="1">
      <c r="A134" s="15"/>
      <c r="B134" s="15"/>
      <c r="C134" s="15"/>
      <c r="D134" s="20"/>
      <c r="E134" s="20"/>
      <c r="F134" s="12" t="str">
        <f t="shared" si="3"/>
        <v/>
      </c>
      <c r="G134" s="37" t="str">
        <f t="shared" si="4"/>
        <v/>
      </c>
    </row>
    <row r="135" ht="15.0" customHeight="1">
      <c r="A135" s="15"/>
      <c r="B135" s="15"/>
      <c r="C135" s="15"/>
      <c r="D135" s="20"/>
      <c r="E135" s="20"/>
      <c r="F135" s="12" t="str">
        <f t="shared" si="3"/>
        <v/>
      </c>
      <c r="G135" s="37" t="str">
        <f t="shared" si="4"/>
        <v/>
      </c>
    </row>
    <row r="136" ht="15.0" customHeight="1">
      <c r="A136" s="15"/>
      <c r="B136" s="15"/>
      <c r="C136" s="15"/>
      <c r="D136" s="20"/>
      <c r="E136" s="20"/>
      <c r="F136" s="12" t="str">
        <f t="shared" si="3"/>
        <v/>
      </c>
      <c r="G136" s="37" t="str">
        <f t="shared" si="4"/>
        <v/>
      </c>
    </row>
    <row r="137" ht="15.0" customHeight="1">
      <c r="A137" s="15"/>
      <c r="B137" s="15"/>
      <c r="C137" s="15"/>
      <c r="D137" s="20"/>
      <c r="E137" s="20"/>
      <c r="F137" s="12" t="str">
        <f t="shared" si="3"/>
        <v/>
      </c>
      <c r="G137" s="37" t="str">
        <f t="shared" si="4"/>
        <v/>
      </c>
    </row>
    <row r="138" ht="15.0" customHeight="1">
      <c r="A138" s="15"/>
      <c r="B138" s="15"/>
      <c r="C138" s="15"/>
      <c r="D138" s="20"/>
      <c r="E138" s="20"/>
      <c r="F138" s="12" t="str">
        <f t="shared" si="3"/>
        <v/>
      </c>
      <c r="G138" s="37" t="str">
        <f t="shared" si="4"/>
        <v/>
      </c>
    </row>
    <row r="139" ht="15.0" customHeight="1">
      <c r="A139" s="15"/>
      <c r="B139" s="15"/>
      <c r="C139" s="15"/>
      <c r="D139" s="20"/>
      <c r="E139" s="20"/>
      <c r="F139" s="12" t="str">
        <f t="shared" si="3"/>
        <v/>
      </c>
      <c r="G139" s="37" t="str">
        <f t="shared" si="4"/>
        <v/>
      </c>
    </row>
    <row r="140" ht="15.0" customHeight="1">
      <c r="A140" s="15"/>
      <c r="B140" s="15"/>
      <c r="C140" s="15"/>
      <c r="D140" s="20"/>
      <c r="E140" s="20"/>
      <c r="F140" s="12" t="str">
        <f t="shared" si="3"/>
        <v/>
      </c>
      <c r="G140" s="37" t="str">
        <f t="shared" si="4"/>
        <v/>
      </c>
    </row>
    <row r="141" ht="15.0" customHeight="1">
      <c r="A141" s="15"/>
      <c r="B141" s="15"/>
      <c r="C141" s="15"/>
      <c r="D141" s="20"/>
      <c r="E141" s="20"/>
      <c r="F141" s="12" t="str">
        <f t="shared" si="3"/>
        <v/>
      </c>
      <c r="G141" s="37" t="str">
        <f t="shared" si="4"/>
        <v/>
      </c>
    </row>
    <row r="142" ht="15.0" customHeight="1">
      <c r="A142" s="15"/>
      <c r="B142" s="15"/>
      <c r="C142" s="15"/>
      <c r="D142" s="20"/>
      <c r="E142" s="20"/>
      <c r="F142" s="12" t="str">
        <f t="shared" si="3"/>
        <v/>
      </c>
      <c r="G142" s="37" t="str">
        <f t="shared" si="4"/>
        <v/>
      </c>
    </row>
    <row r="143" ht="15.0" customHeight="1">
      <c r="A143" s="15"/>
      <c r="B143" s="15"/>
      <c r="C143" s="15"/>
      <c r="D143" s="20"/>
      <c r="E143" s="20"/>
      <c r="F143" s="12" t="str">
        <f t="shared" si="3"/>
        <v/>
      </c>
      <c r="G143" s="37" t="str">
        <f t="shared" si="4"/>
        <v/>
      </c>
    </row>
    <row r="144" ht="15.0" customHeight="1">
      <c r="A144" s="15"/>
      <c r="B144" s="15"/>
      <c r="C144" s="15"/>
      <c r="D144" s="20"/>
      <c r="E144" s="20"/>
      <c r="F144" s="12" t="str">
        <f t="shared" si="3"/>
        <v/>
      </c>
      <c r="G144" s="37" t="str">
        <f t="shared" si="4"/>
        <v/>
      </c>
    </row>
    <row r="145" ht="15.0" customHeight="1">
      <c r="A145" s="15"/>
      <c r="B145" s="15"/>
      <c r="C145" s="15"/>
      <c r="D145" s="20"/>
      <c r="E145" s="20"/>
      <c r="F145" s="12" t="str">
        <f t="shared" si="3"/>
        <v/>
      </c>
      <c r="G145" s="37" t="str">
        <f t="shared" si="4"/>
        <v/>
      </c>
    </row>
    <row r="146" ht="15.0" customHeight="1">
      <c r="A146" s="15"/>
      <c r="B146" s="15"/>
      <c r="C146" s="15"/>
      <c r="D146" s="20"/>
      <c r="E146" s="20"/>
      <c r="F146" s="12" t="str">
        <f t="shared" si="3"/>
        <v/>
      </c>
      <c r="G146" s="37" t="str">
        <f t="shared" si="4"/>
        <v/>
      </c>
    </row>
    <row r="147" ht="15.0" customHeight="1">
      <c r="A147" s="15"/>
      <c r="B147" s="15"/>
      <c r="C147" s="15"/>
      <c r="D147" s="20"/>
      <c r="E147" s="20"/>
      <c r="F147" s="12" t="str">
        <f t="shared" si="3"/>
        <v/>
      </c>
      <c r="G147" s="37" t="str">
        <f t="shared" si="4"/>
        <v/>
      </c>
    </row>
    <row r="148" ht="15.0" customHeight="1">
      <c r="A148" s="15"/>
      <c r="B148" s="15"/>
      <c r="C148" s="15"/>
      <c r="D148" s="20"/>
      <c r="E148" s="20"/>
      <c r="F148" s="12" t="str">
        <f t="shared" si="3"/>
        <v/>
      </c>
      <c r="G148" s="37" t="str">
        <f t="shared" si="4"/>
        <v/>
      </c>
    </row>
    <row r="149" ht="15.0" customHeight="1">
      <c r="A149" s="15"/>
      <c r="B149" s="15"/>
      <c r="C149" s="15"/>
      <c r="D149" s="20"/>
      <c r="E149" s="20"/>
      <c r="F149" s="12" t="str">
        <f t="shared" si="3"/>
        <v/>
      </c>
      <c r="G149" s="37" t="str">
        <f t="shared" si="4"/>
        <v/>
      </c>
    </row>
    <row r="150" ht="15.0" customHeight="1">
      <c r="A150" s="15"/>
      <c r="B150" s="15"/>
      <c r="C150" s="15"/>
      <c r="D150" s="20"/>
      <c r="E150" s="20"/>
      <c r="F150" s="12" t="str">
        <f t="shared" si="3"/>
        <v/>
      </c>
      <c r="G150" s="37" t="str">
        <f t="shared" si="4"/>
        <v/>
      </c>
    </row>
    <row r="151" ht="15.0" customHeight="1">
      <c r="A151" s="15"/>
      <c r="B151" s="15"/>
      <c r="C151" s="15"/>
      <c r="D151" s="20"/>
      <c r="E151" s="20"/>
      <c r="F151" s="12" t="str">
        <f t="shared" si="3"/>
        <v/>
      </c>
      <c r="G151" s="37" t="str">
        <f t="shared" si="4"/>
        <v/>
      </c>
    </row>
    <row r="152" ht="15.0" customHeight="1">
      <c r="A152" s="15"/>
      <c r="B152" s="15"/>
      <c r="C152" s="15"/>
      <c r="D152" s="20"/>
      <c r="E152" s="20"/>
      <c r="F152" s="12" t="str">
        <f t="shared" si="3"/>
        <v/>
      </c>
      <c r="G152" s="37" t="str">
        <f t="shared" si="4"/>
        <v/>
      </c>
    </row>
    <row r="153" ht="15.0" customHeight="1">
      <c r="A153" s="15"/>
      <c r="B153" s="15"/>
      <c r="C153" s="15"/>
      <c r="D153" s="20"/>
      <c r="E153" s="20"/>
      <c r="F153" s="12" t="str">
        <f t="shared" si="3"/>
        <v/>
      </c>
      <c r="G153" s="37" t="str">
        <f t="shared" si="4"/>
        <v/>
      </c>
    </row>
    <row r="154" ht="15.0" customHeight="1">
      <c r="A154" s="15"/>
      <c r="B154" s="15"/>
      <c r="C154" s="15"/>
      <c r="D154" s="20"/>
      <c r="E154" s="20"/>
      <c r="F154" s="12" t="str">
        <f t="shared" si="3"/>
        <v/>
      </c>
      <c r="G154" s="37" t="str">
        <f t="shared" si="4"/>
        <v/>
      </c>
    </row>
    <row r="155" ht="15.0" customHeight="1">
      <c r="A155" s="15"/>
      <c r="B155" s="15"/>
      <c r="C155" s="15"/>
      <c r="D155" s="20"/>
      <c r="E155" s="20"/>
      <c r="F155" s="12" t="str">
        <f t="shared" si="3"/>
        <v/>
      </c>
      <c r="G155" s="37" t="str">
        <f t="shared" si="4"/>
        <v/>
      </c>
    </row>
    <row r="156" ht="15.0" customHeight="1">
      <c r="A156" s="15"/>
      <c r="B156" s="15"/>
      <c r="C156" s="15"/>
      <c r="D156" s="20"/>
      <c r="E156" s="20"/>
      <c r="F156" s="12" t="str">
        <f t="shared" si="3"/>
        <v/>
      </c>
      <c r="G156" s="37" t="str">
        <f t="shared" si="4"/>
        <v/>
      </c>
    </row>
    <row r="157" ht="15.0" customHeight="1">
      <c r="A157" s="15"/>
      <c r="B157" s="15"/>
      <c r="C157" s="15"/>
      <c r="D157" s="20"/>
      <c r="E157" s="20"/>
      <c r="F157" s="12" t="str">
        <f t="shared" si="3"/>
        <v/>
      </c>
      <c r="G157" s="37" t="str">
        <f t="shared" si="4"/>
        <v/>
      </c>
    </row>
    <row r="158" ht="15.0" customHeight="1">
      <c r="A158" s="15"/>
      <c r="B158" s="15"/>
      <c r="C158" s="15"/>
      <c r="D158" s="20"/>
      <c r="E158" s="20"/>
      <c r="F158" s="12" t="str">
        <f t="shared" si="3"/>
        <v/>
      </c>
      <c r="G158" s="37" t="str">
        <f t="shared" si="4"/>
        <v/>
      </c>
    </row>
    <row r="159" ht="15.0" customHeight="1">
      <c r="A159" s="15"/>
      <c r="B159" s="15"/>
      <c r="C159" s="15"/>
      <c r="D159" s="20"/>
      <c r="E159" s="20"/>
      <c r="F159" s="12" t="str">
        <f t="shared" si="3"/>
        <v/>
      </c>
      <c r="G159" s="37" t="str">
        <f t="shared" si="4"/>
        <v/>
      </c>
    </row>
    <row r="160" ht="15.0" customHeight="1">
      <c r="A160" s="15"/>
      <c r="B160" s="15"/>
      <c r="C160" s="15"/>
      <c r="D160" s="20"/>
      <c r="E160" s="20"/>
      <c r="F160" s="12" t="str">
        <f t="shared" si="3"/>
        <v/>
      </c>
      <c r="G160" s="37" t="str">
        <f t="shared" si="4"/>
        <v/>
      </c>
    </row>
    <row r="161" ht="15.0" customHeight="1">
      <c r="A161" s="15"/>
      <c r="B161" s="15"/>
      <c r="C161" s="15"/>
      <c r="D161" s="20"/>
      <c r="E161" s="20"/>
      <c r="F161" s="12" t="str">
        <f t="shared" si="3"/>
        <v/>
      </c>
      <c r="G161" s="37" t="str">
        <f t="shared" si="4"/>
        <v/>
      </c>
    </row>
    <row r="162" ht="15.0" customHeight="1">
      <c r="A162" s="15"/>
      <c r="B162" s="15"/>
      <c r="C162" s="15"/>
      <c r="D162" s="20"/>
      <c r="E162" s="20"/>
      <c r="F162" s="12" t="str">
        <f t="shared" si="3"/>
        <v/>
      </c>
      <c r="G162" s="37" t="str">
        <f t="shared" si="4"/>
        <v/>
      </c>
    </row>
    <row r="163" ht="15.0" customHeight="1">
      <c r="A163" s="15"/>
      <c r="B163" s="15"/>
      <c r="C163" s="15"/>
      <c r="D163" s="20"/>
      <c r="E163" s="20"/>
      <c r="F163" s="12" t="str">
        <f t="shared" si="3"/>
        <v/>
      </c>
      <c r="G163" s="37" t="str">
        <f t="shared" si="4"/>
        <v/>
      </c>
    </row>
    <row r="164" ht="15.0" customHeight="1">
      <c r="A164" s="15"/>
      <c r="B164" s="15"/>
      <c r="C164" s="15"/>
      <c r="D164" s="20"/>
      <c r="E164" s="20"/>
      <c r="F164" s="12" t="str">
        <f t="shared" si="3"/>
        <v/>
      </c>
      <c r="G164" s="37" t="str">
        <f t="shared" si="4"/>
        <v/>
      </c>
    </row>
    <row r="165" ht="15.0" customHeight="1">
      <c r="A165" s="15"/>
      <c r="B165" s="15"/>
      <c r="C165" s="15"/>
      <c r="D165" s="20"/>
      <c r="E165" s="20"/>
      <c r="F165" s="12" t="str">
        <f t="shared" si="3"/>
        <v/>
      </c>
      <c r="G165" s="37" t="str">
        <f t="shared" si="4"/>
        <v/>
      </c>
    </row>
    <row r="166" ht="15.0" customHeight="1">
      <c r="A166" s="15"/>
      <c r="B166" s="15"/>
      <c r="C166" s="15"/>
      <c r="D166" s="20"/>
      <c r="E166" s="20"/>
      <c r="F166" s="12" t="str">
        <f t="shared" si="3"/>
        <v/>
      </c>
      <c r="G166" s="37" t="str">
        <f t="shared" si="4"/>
        <v/>
      </c>
    </row>
    <row r="167" ht="15.0" customHeight="1">
      <c r="A167" s="15"/>
      <c r="B167" s="15"/>
      <c r="C167" s="15"/>
      <c r="D167" s="20"/>
      <c r="E167" s="20"/>
      <c r="F167" s="12" t="str">
        <f t="shared" si="3"/>
        <v/>
      </c>
      <c r="G167" s="37" t="str">
        <f t="shared" si="4"/>
        <v/>
      </c>
    </row>
    <row r="168" ht="15.0" customHeight="1">
      <c r="A168" s="15"/>
      <c r="B168" s="15"/>
      <c r="C168" s="15"/>
      <c r="D168" s="20"/>
      <c r="E168" s="20"/>
      <c r="F168" s="12" t="str">
        <f t="shared" si="3"/>
        <v/>
      </c>
      <c r="G168" s="37" t="str">
        <f t="shared" si="4"/>
        <v/>
      </c>
    </row>
    <row r="169" ht="15.0" customHeight="1">
      <c r="A169" s="15"/>
      <c r="B169" s="15"/>
      <c r="C169" s="15"/>
      <c r="D169" s="20"/>
      <c r="E169" s="20"/>
      <c r="F169" s="12" t="str">
        <f t="shared" si="3"/>
        <v/>
      </c>
      <c r="G169" s="37" t="str">
        <f t="shared" si="4"/>
        <v/>
      </c>
    </row>
    <row r="170" ht="15.0" customHeight="1">
      <c r="A170" s="15"/>
      <c r="B170" s="15"/>
      <c r="C170" s="15"/>
      <c r="D170" s="20"/>
      <c r="E170" s="20"/>
      <c r="F170" s="12" t="str">
        <f t="shared" si="3"/>
        <v/>
      </c>
      <c r="G170" s="37" t="str">
        <f t="shared" si="4"/>
        <v/>
      </c>
    </row>
    <row r="171" ht="15.0" customHeight="1">
      <c r="A171" s="15"/>
      <c r="B171" s="15"/>
      <c r="C171" s="15"/>
      <c r="D171" s="20"/>
      <c r="E171" s="20"/>
      <c r="F171" s="12" t="str">
        <f t="shared" si="3"/>
        <v/>
      </c>
      <c r="G171" s="37" t="str">
        <f t="shared" si="4"/>
        <v/>
      </c>
    </row>
    <row r="172" ht="15.0" customHeight="1">
      <c r="A172" s="15"/>
      <c r="B172" s="15"/>
      <c r="C172" s="15"/>
      <c r="D172" s="20"/>
      <c r="E172" s="20"/>
      <c r="F172" s="12" t="str">
        <f t="shared" si="3"/>
        <v/>
      </c>
      <c r="G172" s="37" t="str">
        <f t="shared" si="4"/>
        <v/>
      </c>
    </row>
    <row r="173" ht="15.0" customHeight="1">
      <c r="A173" s="15"/>
      <c r="B173" s="15"/>
      <c r="C173" s="15"/>
      <c r="D173" s="20"/>
      <c r="E173" s="20"/>
      <c r="F173" s="12" t="str">
        <f t="shared" si="3"/>
        <v/>
      </c>
      <c r="G173" s="37" t="str">
        <f t="shared" si="4"/>
        <v/>
      </c>
    </row>
    <row r="174" ht="15.0" customHeight="1">
      <c r="A174" s="15"/>
      <c r="B174" s="15"/>
      <c r="C174" s="15"/>
      <c r="D174" s="20"/>
      <c r="E174" s="20"/>
      <c r="F174" s="12" t="str">
        <f t="shared" si="3"/>
        <v/>
      </c>
      <c r="G174" s="37" t="str">
        <f t="shared" si="4"/>
        <v/>
      </c>
    </row>
    <row r="175" ht="15.0" customHeight="1">
      <c r="A175" s="15"/>
      <c r="B175" s="15"/>
      <c r="C175" s="15"/>
      <c r="D175" s="20"/>
      <c r="E175" s="20"/>
      <c r="F175" s="12" t="str">
        <f t="shared" si="3"/>
        <v/>
      </c>
      <c r="G175" s="37" t="str">
        <f t="shared" si="4"/>
        <v/>
      </c>
    </row>
    <row r="176" ht="15.0" customHeight="1">
      <c r="A176" s="15"/>
      <c r="B176" s="15"/>
      <c r="C176" s="15"/>
      <c r="D176" s="20"/>
      <c r="E176" s="20"/>
      <c r="F176" s="12" t="str">
        <f t="shared" si="3"/>
        <v/>
      </c>
      <c r="G176" s="37" t="str">
        <f t="shared" si="4"/>
        <v/>
      </c>
    </row>
    <row r="177" ht="15.0" customHeight="1">
      <c r="A177" s="15"/>
      <c r="B177" s="15"/>
      <c r="C177" s="15"/>
      <c r="D177" s="20"/>
      <c r="E177" s="20"/>
      <c r="F177" s="12" t="str">
        <f t="shared" si="3"/>
        <v/>
      </c>
      <c r="G177" s="37" t="str">
        <f t="shared" si="4"/>
        <v/>
      </c>
    </row>
    <row r="178" ht="15.0" customHeight="1">
      <c r="A178" s="15"/>
      <c r="B178" s="15"/>
      <c r="C178" s="15"/>
      <c r="D178" s="20"/>
      <c r="E178" s="20"/>
      <c r="F178" s="12" t="str">
        <f t="shared" si="3"/>
        <v/>
      </c>
      <c r="G178" s="37" t="str">
        <f t="shared" si="4"/>
        <v/>
      </c>
    </row>
    <row r="179" ht="15.0" customHeight="1">
      <c r="A179" s="15"/>
      <c r="B179" s="15"/>
      <c r="C179" s="15"/>
      <c r="D179" s="20"/>
      <c r="E179" s="20"/>
      <c r="F179" s="12" t="str">
        <f t="shared" si="3"/>
        <v/>
      </c>
      <c r="G179" s="37" t="str">
        <f t="shared" si="4"/>
        <v/>
      </c>
    </row>
    <row r="180" ht="15.0" customHeight="1">
      <c r="A180" s="15"/>
      <c r="B180" s="15"/>
      <c r="C180" s="15"/>
      <c r="D180" s="20"/>
      <c r="E180" s="20"/>
      <c r="F180" s="12" t="str">
        <f t="shared" si="3"/>
        <v/>
      </c>
      <c r="G180" s="37" t="str">
        <f t="shared" si="4"/>
        <v/>
      </c>
    </row>
    <row r="181" ht="15.0" customHeight="1">
      <c r="A181" s="15"/>
      <c r="B181" s="15"/>
      <c r="C181" s="15"/>
      <c r="D181" s="20"/>
      <c r="E181" s="20"/>
      <c r="F181" s="12" t="str">
        <f t="shared" si="3"/>
        <v/>
      </c>
      <c r="G181" s="37" t="str">
        <f t="shared" si="4"/>
        <v/>
      </c>
    </row>
    <row r="182" ht="15.0" customHeight="1">
      <c r="A182" s="15"/>
      <c r="B182" s="15"/>
      <c r="C182" s="15"/>
      <c r="D182" s="20"/>
      <c r="E182" s="20"/>
      <c r="F182" s="12" t="str">
        <f t="shared" si="3"/>
        <v/>
      </c>
      <c r="G182" s="37" t="str">
        <f t="shared" si="4"/>
        <v/>
      </c>
    </row>
    <row r="183" ht="15.0" customHeight="1">
      <c r="A183" s="15"/>
      <c r="B183" s="15"/>
      <c r="C183" s="15"/>
      <c r="D183" s="20"/>
      <c r="E183" s="20"/>
      <c r="F183" s="12" t="str">
        <f t="shared" si="3"/>
        <v/>
      </c>
      <c r="G183" s="37" t="str">
        <f t="shared" si="4"/>
        <v/>
      </c>
    </row>
    <row r="184" ht="15.0" customHeight="1">
      <c r="A184" s="15"/>
      <c r="B184" s="15"/>
      <c r="C184" s="15"/>
      <c r="D184" s="20"/>
      <c r="E184" s="20"/>
      <c r="F184" s="12" t="str">
        <f t="shared" si="3"/>
        <v/>
      </c>
      <c r="G184" s="37" t="str">
        <f t="shared" si="4"/>
        <v/>
      </c>
    </row>
    <row r="185" ht="15.0" customHeight="1">
      <c r="A185" s="15"/>
      <c r="B185" s="15"/>
      <c r="C185" s="15"/>
      <c r="D185" s="20"/>
      <c r="E185" s="20"/>
      <c r="F185" s="12" t="str">
        <f t="shared" si="3"/>
        <v/>
      </c>
      <c r="G185" s="37" t="str">
        <f t="shared" si="4"/>
        <v/>
      </c>
    </row>
    <row r="186" ht="15.0" customHeight="1">
      <c r="A186" s="15"/>
      <c r="B186" s="15"/>
      <c r="C186" s="15"/>
      <c r="D186" s="20"/>
      <c r="E186" s="20"/>
      <c r="F186" s="12" t="str">
        <f t="shared" si="3"/>
        <v/>
      </c>
      <c r="G186" s="37" t="str">
        <f t="shared" si="4"/>
        <v/>
      </c>
    </row>
    <row r="187" ht="15.0" customHeight="1">
      <c r="A187" s="15"/>
      <c r="B187" s="15"/>
      <c r="C187" s="15"/>
      <c r="D187" s="20"/>
      <c r="E187" s="20"/>
      <c r="F187" s="12" t="str">
        <f t="shared" si="3"/>
        <v/>
      </c>
      <c r="G187" s="37" t="str">
        <f t="shared" si="4"/>
        <v/>
      </c>
    </row>
    <row r="188" ht="15.0" customHeight="1">
      <c r="A188" s="15"/>
      <c r="B188" s="15"/>
      <c r="C188" s="15"/>
      <c r="D188" s="20"/>
      <c r="E188" s="20"/>
      <c r="F188" s="12" t="str">
        <f t="shared" si="3"/>
        <v/>
      </c>
      <c r="G188" s="37" t="str">
        <f t="shared" si="4"/>
        <v/>
      </c>
    </row>
    <row r="189" ht="15.0" customHeight="1">
      <c r="A189" s="15"/>
      <c r="B189" s="15"/>
      <c r="C189" s="15"/>
      <c r="D189" s="20"/>
      <c r="E189" s="20"/>
      <c r="F189" s="12" t="str">
        <f t="shared" si="3"/>
        <v/>
      </c>
      <c r="G189" s="37" t="str">
        <f t="shared" si="4"/>
        <v/>
      </c>
    </row>
    <row r="190" ht="15.0" customHeight="1">
      <c r="A190" s="15"/>
      <c r="B190" s="15"/>
      <c r="C190" s="15"/>
      <c r="D190" s="20"/>
      <c r="E190" s="20"/>
      <c r="F190" s="12" t="str">
        <f t="shared" si="3"/>
        <v/>
      </c>
      <c r="G190" s="37" t="str">
        <f t="shared" si="4"/>
        <v/>
      </c>
    </row>
    <row r="191" ht="15.0" customHeight="1">
      <c r="A191" s="15"/>
      <c r="B191" s="15"/>
      <c r="C191" s="15"/>
      <c r="D191" s="20"/>
      <c r="E191" s="20"/>
      <c r="F191" s="12" t="str">
        <f t="shared" si="3"/>
        <v/>
      </c>
      <c r="G191" s="37" t="str">
        <f t="shared" si="4"/>
        <v/>
      </c>
    </row>
    <row r="192" ht="15.0" customHeight="1">
      <c r="A192" s="15"/>
      <c r="B192" s="15"/>
      <c r="C192" s="15"/>
      <c r="D192" s="20"/>
      <c r="E192" s="20"/>
      <c r="F192" s="12" t="str">
        <f t="shared" si="3"/>
        <v/>
      </c>
      <c r="G192" s="37" t="str">
        <f t="shared" si="4"/>
        <v/>
      </c>
    </row>
    <row r="193" ht="15.0" customHeight="1">
      <c r="A193" s="15"/>
      <c r="B193" s="15"/>
      <c r="C193" s="15"/>
      <c r="D193" s="20"/>
      <c r="E193" s="20"/>
      <c r="F193" s="12" t="str">
        <f t="shared" si="3"/>
        <v/>
      </c>
      <c r="G193" s="37" t="str">
        <f t="shared" si="4"/>
        <v/>
      </c>
    </row>
    <row r="194" ht="15.0" customHeight="1">
      <c r="A194" s="15"/>
      <c r="B194" s="15"/>
      <c r="C194" s="15"/>
      <c r="D194" s="20"/>
      <c r="E194" s="20"/>
      <c r="F194" s="12" t="str">
        <f t="shared" si="3"/>
        <v/>
      </c>
      <c r="G194" s="37" t="str">
        <f t="shared" si="4"/>
        <v/>
      </c>
    </row>
    <row r="195" ht="15.0" customHeight="1">
      <c r="A195" s="15"/>
      <c r="B195" s="15"/>
      <c r="C195" s="15"/>
      <c r="D195" s="20"/>
      <c r="E195" s="20"/>
      <c r="F195" s="12" t="str">
        <f t="shared" si="3"/>
        <v/>
      </c>
      <c r="G195" s="37" t="str">
        <f t="shared" si="4"/>
        <v/>
      </c>
    </row>
    <row r="196" ht="15.0" customHeight="1">
      <c r="A196" s="15"/>
      <c r="B196" s="15"/>
      <c r="C196" s="15"/>
      <c r="D196" s="20"/>
      <c r="E196" s="20"/>
      <c r="F196" s="12" t="str">
        <f t="shared" si="3"/>
        <v/>
      </c>
      <c r="G196" s="37" t="str">
        <f t="shared" si="4"/>
        <v/>
      </c>
    </row>
    <row r="197" ht="15.0" customHeight="1">
      <c r="A197" s="15"/>
      <c r="B197" s="15"/>
      <c r="C197" s="15"/>
      <c r="D197" s="20"/>
      <c r="E197" s="20"/>
      <c r="F197" s="12" t="str">
        <f t="shared" si="3"/>
        <v/>
      </c>
      <c r="G197" s="37" t="str">
        <f t="shared" si="4"/>
        <v/>
      </c>
    </row>
    <row r="198" ht="15.0" customHeight="1">
      <c r="A198" s="15"/>
      <c r="B198" s="15"/>
      <c r="C198" s="15"/>
      <c r="D198" s="20"/>
      <c r="E198" s="20"/>
      <c r="F198" s="12" t="str">
        <f t="shared" si="3"/>
        <v/>
      </c>
      <c r="G198" s="37" t="str">
        <f t="shared" si="4"/>
        <v/>
      </c>
    </row>
    <row r="199" ht="15.0" customHeight="1">
      <c r="A199" s="15"/>
      <c r="B199" s="15"/>
      <c r="C199" s="15"/>
      <c r="D199" s="20"/>
      <c r="E199" s="20"/>
      <c r="F199" s="12" t="str">
        <f t="shared" si="3"/>
        <v/>
      </c>
      <c r="G199" s="37" t="str">
        <f t="shared" si="4"/>
        <v/>
      </c>
    </row>
    <row r="200" ht="15.0" customHeight="1">
      <c r="A200" s="15"/>
      <c r="B200" s="15"/>
      <c r="C200" s="15"/>
      <c r="D200" s="20"/>
      <c r="E200" s="20"/>
      <c r="F200" s="12" t="str">
        <f t="shared" si="3"/>
        <v/>
      </c>
      <c r="G200" s="37" t="str">
        <f t="shared" si="4"/>
        <v/>
      </c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4" width="8.0"/>
    <col customWidth="1" min="5" max="5" width="14.0"/>
    <col customWidth="1" min="6" max="6" width="16.0"/>
    <col customWidth="1" min="7" max="7" width="14.0"/>
    <col customWidth="1" min="8" max="8" width="13.0"/>
    <col customWidth="1" min="9" max="9" width="16.0"/>
    <col customWidth="1" min="10" max="10" width="14.0"/>
    <col customWidth="1" min="11" max="11" width="16.0"/>
    <col customWidth="1" min="12" max="12" width="14.0"/>
    <col customWidth="1" min="13" max="27" width="8.71"/>
  </cols>
  <sheetData>
    <row r="1" ht="21.75" customHeight="1">
      <c r="A1" s="1" t="s">
        <v>126</v>
      </c>
    </row>
    <row r="2" ht="15.0" customHeight="1">
      <c r="A2" s="3" t="s">
        <v>127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15.0" customHeight="1">
      <c r="A4" s="7" t="s">
        <v>22</v>
      </c>
      <c r="B4" s="7" t="s">
        <v>27</v>
      </c>
      <c r="C4" s="48" t="s">
        <v>128</v>
      </c>
      <c r="D4" s="7" t="s">
        <v>28</v>
      </c>
      <c r="E4" s="7" t="s">
        <v>129</v>
      </c>
      <c r="F4" s="7" t="s">
        <v>130</v>
      </c>
      <c r="G4" s="7" t="s">
        <v>110</v>
      </c>
      <c r="H4" s="2"/>
      <c r="I4" s="2"/>
      <c r="J4" s="2"/>
      <c r="K4" s="2"/>
      <c r="L4" s="2"/>
    </row>
    <row r="5" ht="15.0" customHeight="1">
      <c r="A5" s="8" t="s">
        <v>59</v>
      </c>
      <c r="B5" s="11" t="str">
        <f t="array" ref="B5">IFERROR(INDEX('Patient Bills'!$B:$B,MATCH(A5,'Patient Bills'!$A:$A,0)),"")</f>
        <v>Pappu</v>
      </c>
      <c r="C5" s="8"/>
      <c r="D5" s="49">
        <v>6.0</v>
      </c>
      <c r="E5" s="8">
        <v>850.0</v>
      </c>
      <c r="F5" s="8">
        <v>520.0</v>
      </c>
      <c r="G5" s="12">
        <f t="shared" ref="G5:G400" si="1">IF($A5="","",E5-F5)</f>
        <v>330</v>
      </c>
      <c r="H5" s="2"/>
      <c r="I5" s="2"/>
      <c r="J5" s="2"/>
      <c r="K5" s="2"/>
      <c r="L5" s="2"/>
    </row>
    <row r="6" ht="15.0" customHeight="1">
      <c r="A6" s="8" t="s">
        <v>63</v>
      </c>
      <c r="B6" s="11" t="str">
        <f t="array" ref="B6">IFERROR(INDEX('Patient Bills'!$B:$B,MATCH(A6,'Patient Bills'!$A:$A,0)),"")</f>
        <v>Zara Morani</v>
      </c>
      <c r="C6" s="8"/>
      <c r="D6" s="8">
        <v>1.0</v>
      </c>
      <c r="E6" s="8">
        <v>1470.0</v>
      </c>
      <c r="F6" s="8">
        <v>920.0</v>
      </c>
      <c r="G6" s="12">
        <f t="shared" si="1"/>
        <v>550</v>
      </c>
      <c r="H6" s="2"/>
      <c r="I6" s="2"/>
      <c r="J6" s="2"/>
      <c r="K6" s="2"/>
      <c r="L6" s="2"/>
    </row>
    <row r="7" ht="15.0" customHeight="1">
      <c r="A7" s="8" t="s">
        <v>63</v>
      </c>
      <c r="B7" s="11" t="str">
        <f t="array" ref="B7">IFERROR(INDEX('Patient Bills'!$B:$B,MATCH(A7,'Patient Bills'!$A:$A,0)),"")</f>
        <v>Zara Morani</v>
      </c>
      <c r="C7" s="8"/>
      <c r="D7" s="8">
        <v>1.0</v>
      </c>
      <c r="E7" s="12"/>
      <c r="F7" s="12"/>
      <c r="G7" s="12">
        <f t="shared" si="1"/>
        <v>0</v>
      </c>
      <c r="H7" s="2"/>
      <c r="I7" s="2"/>
      <c r="J7" s="2"/>
      <c r="K7" s="2"/>
      <c r="L7" s="2"/>
    </row>
    <row r="8" ht="15.0" customHeight="1">
      <c r="A8" s="15"/>
      <c r="B8" s="11" t="str">
        <f t="array" ref="B8">IFERROR(INDEX('Patient Bills'!$B:$B,MATCH(A8,'Patient Bills'!$A:$A,0)),"")</f>
        <v/>
      </c>
      <c r="C8" s="15"/>
      <c r="D8" s="15"/>
      <c r="E8" s="12"/>
      <c r="F8" s="12"/>
      <c r="G8" s="12" t="str">
        <f t="shared" si="1"/>
        <v/>
      </c>
      <c r="H8" s="2"/>
      <c r="I8" s="2"/>
      <c r="J8" s="2"/>
      <c r="K8" s="2"/>
      <c r="L8" s="2"/>
    </row>
    <row r="9" ht="15.0" customHeight="1">
      <c r="A9" s="15"/>
      <c r="B9" s="11" t="str">
        <f t="array" ref="B9">IFERROR(INDEX('Patient Bills'!$B:$B,MATCH(A9,'Patient Bills'!$A:$A,0)),"")</f>
        <v/>
      </c>
      <c r="C9" s="15"/>
      <c r="D9" s="15"/>
      <c r="E9" s="12"/>
      <c r="F9" s="12"/>
      <c r="G9" s="12" t="str">
        <f t="shared" si="1"/>
        <v/>
      </c>
      <c r="H9" s="2"/>
      <c r="I9" s="2"/>
      <c r="J9" s="2"/>
      <c r="K9" s="2"/>
      <c r="L9" s="2"/>
    </row>
    <row r="10" ht="15.0" customHeight="1">
      <c r="A10" s="15"/>
      <c r="B10" s="11" t="str">
        <f t="array" ref="B10">IFERROR(INDEX('Patient Bills'!$B:$B,MATCH(A10,'Patient Bills'!$A:$A,0)),"")</f>
        <v/>
      </c>
      <c r="C10" s="15"/>
      <c r="D10" s="15"/>
      <c r="E10" s="12"/>
      <c r="F10" s="12"/>
      <c r="G10" s="12" t="str">
        <f t="shared" si="1"/>
        <v/>
      </c>
      <c r="H10" s="2"/>
      <c r="I10" s="2"/>
      <c r="J10" s="2"/>
      <c r="K10" s="2"/>
      <c r="L10" s="2"/>
    </row>
    <row r="11" ht="15.0" customHeight="1">
      <c r="A11" s="15"/>
      <c r="B11" s="11" t="str">
        <f t="array" ref="B11">IFERROR(INDEX('Patient Bills'!$B:$B,MATCH(A11,'Patient Bills'!$A:$A,0)),"")</f>
        <v/>
      </c>
      <c r="C11" s="15"/>
      <c r="D11" s="15"/>
      <c r="E11" s="12"/>
      <c r="F11" s="12"/>
      <c r="G11" s="12" t="str">
        <f t="shared" si="1"/>
        <v/>
      </c>
      <c r="H11" s="2"/>
      <c r="I11" s="2"/>
      <c r="J11" s="2"/>
      <c r="K11" s="2"/>
      <c r="L11" s="2"/>
    </row>
    <row r="12" ht="15.0" customHeight="1">
      <c r="A12" s="15"/>
      <c r="B12" s="11" t="str">
        <f t="array" ref="B12">IFERROR(INDEX('Patient Bills'!$B:$B,MATCH(A12,'Patient Bills'!$A:$A,0)),"")</f>
        <v/>
      </c>
      <c r="C12" s="15"/>
      <c r="D12" s="15"/>
      <c r="E12" s="12"/>
      <c r="F12" s="12"/>
      <c r="G12" s="12" t="str">
        <f t="shared" si="1"/>
        <v/>
      </c>
      <c r="H12" s="2"/>
      <c r="I12" s="2"/>
      <c r="J12" s="2"/>
      <c r="K12" s="2"/>
      <c r="L12" s="2"/>
    </row>
    <row r="13" ht="15.0" customHeight="1">
      <c r="A13" s="15"/>
      <c r="B13" s="11" t="str">
        <f t="array" ref="B13">IFERROR(INDEX('Patient Bills'!$B:$B,MATCH(A13,'Patient Bills'!$A:$A,0)),"")</f>
        <v/>
      </c>
      <c r="C13" s="15"/>
      <c r="D13" s="15"/>
      <c r="E13" s="12"/>
      <c r="F13" s="12"/>
      <c r="G13" s="12" t="str">
        <f t="shared" si="1"/>
        <v/>
      </c>
      <c r="H13" s="2"/>
      <c r="I13" s="2"/>
      <c r="J13" s="2"/>
      <c r="K13" s="2"/>
      <c r="L13" s="2"/>
    </row>
    <row r="14" ht="15.0" customHeight="1">
      <c r="A14" s="15"/>
      <c r="B14" s="11" t="str">
        <f t="array" ref="B14">IFERROR(INDEX('Patient Bills'!$B:$B,MATCH(A14,'Patient Bills'!$A:$A,0)),"")</f>
        <v/>
      </c>
      <c r="C14" s="15"/>
      <c r="D14" s="15"/>
      <c r="E14" s="12"/>
      <c r="F14" s="12"/>
      <c r="G14" s="12" t="str">
        <f t="shared" si="1"/>
        <v/>
      </c>
      <c r="H14" s="2"/>
      <c r="I14" s="2"/>
      <c r="J14" s="2"/>
      <c r="K14" s="2"/>
      <c r="L14" s="2"/>
    </row>
    <row r="15" ht="15.0" customHeight="1">
      <c r="A15" s="15"/>
      <c r="B15" s="11" t="str">
        <f t="array" ref="B15">IFERROR(INDEX('Patient Bills'!$B:$B,MATCH(A15,'Patient Bills'!$A:$A,0)),"")</f>
        <v/>
      </c>
      <c r="C15" s="15"/>
      <c r="D15" s="15"/>
      <c r="E15" s="12"/>
      <c r="F15" s="12"/>
      <c r="G15" s="12" t="str">
        <f t="shared" si="1"/>
        <v/>
      </c>
      <c r="H15" s="2"/>
      <c r="I15" s="2"/>
      <c r="J15" s="2"/>
      <c r="K15" s="2"/>
      <c r="L15" s="2"/>
    </row>
    <row r="16" ht="15.0" customHeight="1">
      <c r="A16" s="15"/>
      <c r="B16" s="11" t="str">
        <f t="array" ref="B16">IFERROR(INDEX('Patient Bills'!$B:$B,MATCH(A16,'Patient Bills'!$A:$A,0)),"")</f>
        <v/>
      </c>
      <c r="C16" s="15"/>
      <c r="D16" s="15"/>
      <c r="E16" s="12"/>
      <c r="F16" s="12"/>
      <c r="G16" s="12" t="str">
        <f t="shared" si="1"/>
        <v/>
      </c>
      <c r="H16" s="2"/>
      <c r="I16" s="2"/>
      <c r="J16" s="2"/>
      <c r="K16" s="2"/>
      <c r="L16" s="2"/>
    </row>
    <row r="17" ht="15.0" customHeight="1">
      <c r="A17" s="15"/>
      <c r="B17" s="11" t="str">
        <f t="array" ref="B17">IFERROR(INDEX('Patient Bills'!$B:$B,MATCH(A17,'Patient Bills'!$A:$A,0)),"")</f>
        <v/>
      </c>
      <c r="C17" s="15"/>
      <c r="D17" s="15"/>
      <c r="E17" s="12"/>
      <c r="F17" s="12"/>
      <c r="G17" s="12" t="str">
        <f t="shared" si="1"/>
        <v/>
      </c>
      <c r="H17" s="2"/>
      <c r="I17" s="2"/>
      <c r="J17" s="2"/>
      <c r="K17" s="2"/>
      <c r="L17" s="2"/>
    </row>
    <row r="18" ht="15.0" customHeight="1">
      <c r="A18" s="15"/>
      <c r="B18" s="11" t="str">
        <f t="array" ref="B18">IFERROR(INDEX('Patient Bills'!$B:$B,MATCH(A18,'Patient Bills'!$A:$A,0)),"")</f>
        <v/>
      </c>
      <c r="C18" s="15"/>
      <c r="D18" s="15"/>
      <c r="E18" s="12"/>
      <c r="F18" s="12"/>
      <c r="G18" s="12" t="str">
        <f t="shared" si="1"/>
        <v/>
      </c>
      <c r="H18" s="2"/>
      <c r="I18" s="2"/>
      <c r="J18" s="2"/>
      <c r="K18" s="2"/>
      <c r="L18" s="2"/>
    </row>
    <row r="19" ht="15.0" customHeight="1">
      <c r="A19" s="15"/>
      <c r="B19" s="11" t="str">
        <f t="array" ref="B19">IFERROR(INDEX('Patient Bills'!$B:$B,MATCH(A19,'Patient Bills'!$A:$A,0)),"")</f>
        <v/>
      </c>
      <c r="C19" s="15"/>
      <c r="D19" s="15"/>
      <c r="E19" s="12"/>
      <c r="F19" s="12"/>
      <c r="G19" s="12" t="str">
        <f t="shared" si="1"/>
        <v/>
      </c>
      <c r="H19" s="2"/>
      <c r="I19" s="2"/>
      <c r="J19" s="2"/>
      <c r="K19" s="2"/>
      <c r="L19" s="2"/>
    </row>
    <row r="20" ht="15.0" customHeight="1">
      <c r="A20" s="15"/>
      <c r="B20" s="11" t="str">
        <f t="array" ref="B20">IFERROR(INDEX('Patient Bills'!$B:$B,MATCH(A20,'Patient Bills'!$A:$A,0)),"")</f>
        <v/>
      </c>
      <c r="C20" s="15"/>
      <c r="D20" s="15"/>
      <c r="E20" s="12"/>
      <c r="F20" s="12"/>
      <c r="G20" s="12" t="str">
        <f t="shared" si="1"/>
        <v/>
      </c>
      <c r="H20" s="2"/>
      <c r="I20" s="2"/>
      <c r="J20" s="2"/>
      <c r="K20" s="2"/>
      <c r="L20" s="2"/>
    </row>
    <row r="21" ht="15.0" customHeight="1">
      <c r="A21" s="15"/>
      <c r="B21" s="11" t="str">
        <f t="array" ref="B21">IFERROR(INDEX('Patient Bills'!$B:$B,MATCH(A21,'Patient Bills'!$A:$A,0)),"")</f>
        <v/>
      </c>
      <c r="C21" s="15"/>
      <c r="D21" s="15"/>
      <c r="E21" s="12"/>
      <c r="F21" s="12"/>
      <c r="G21" s="12" t="str">
        <f t="shared" si="1"/>
        <v/>
      </c>
      <c r="H21" s="2"/>
      <c r="I21" s="2"/>
      <c r="J21" s="2"/>
      <c r="K21" s="2"/>
      <c r="L21" s="2"/>
    </row>
    <row r="22" ht="15.0" customHeight="1">
      <c r="A22" s="15"/>
      <c r="B22" s="11" t="str">
        <f t="array" ref="B22">IFERROR(INDEX('Patient Bills'!$B:$B,MATCH(A22,'Patient Bills'!$A:$A,0)),"")</f>
        <v/>
      </c>
      <c r="C22" s="15"/>
      <c r="D22" s="15"/>
      <c r="E22" s="12"/>
      <c r="F22" s="12"/>
      <c r="G22" s="12" t="str">
        <f t="shared" si="1"/>
        <v/>
      </c>
      <c r="H22" s="2"/>
      <c r="I22" s="2"/>
      <c r="J22" s="2"/>
      <c r="K22" s="2"/>
      <c r="L22" s="2"/>
    </row>
    <row r="23" ht="15.0" customHeight="1">
      <c r="A23" s="15"/>
      <c r="B23" s="11" t="str">
        <f t="array" ref="B23">IFERROR(INDEX('Patient Bills'!$B:$B,MATCH(A23,'Patient Bills'!$A:$A,0)),"")</f>
        <v/>
      </c>
      <c r="C23" s="15"/>
      <c r="D23" s="15"/>
      <c r="E23" s="12"/>
      <c r="F23" s="12"/>
      <c r="G23" s="12" t="str">
        <f t="shared" si="1"/>
        <v/>
      </c>
      <c r="H23" s="2"/>
      <c r="I23" s="2"/>
      <c r="J23" s="2"/>
      <c r="K23" s="2"/>
      <c r="L23" s="2"/>
    </row>
    <row r="24" ht="15.0" customHeight="1">
      <c r="A24" s="15"/>
      <c r="B24" s="11" t="str">
        <f t="array" ref="B24">IFERROR(INDEX('Patient Bills'!$B:$B,MATCH(A24,'Patient Bills'!$A:$A,0)),"")</f>
        <v/>
      </c>
      <c r="C24" s="15"/>
      <c r="D24" s="15"/>
      <c r="E24" s="12"/>
      <c r="F24" s="12"/>
      <c r="G24" s="12" t="str">
        <f t="shared" si="1"/>
        <v/>
      </c>
      <c r="H24" s="2"/>
      <c r="I24" s="2"/>
      <c r="J24" s="2"/>
      <c r="K24" s="2"/>
      <c r="L24" s="2"/>
    </row>
    <row r="25" ht="15.0" customHeight="1">
      <c r="A25" s="15"/>
      <c r="B25" s="11" t="str">
        <f t="array" ref="B25">IFERROR(INDEX('Patient Bills'!$B:$B,MATCH(A25,'Patient Bills'!$A:$A,0)),"")</f>
        <v/>
      </c>
      <c r="C25" s="15"/>
      <c r="D25" s="15"/>
      <c r="E25" s="12"/>
      <c r="F25" s="12"/>
      <c r="G25" s="12" t="str">
        <f t="shared" si="1"/>
        <v/>
      </c>
      <c r="H25" s="2"/>
      <c r="I25" s="2"/>
      <c r="J25" s="2"/>
      <c r="K25" s="2"/>
      <c r="L25" s="2"/>
    </row>
    <row r="26" ht="15.0" customHeight="1">
      <c r="A26" s="15"/>
      <c r="B26" s="11" t="str">
        <f t="array" ref="B26">IFERROR(INDEX('Patient Bills'!$B:$B,MATCH(A26,'Patient Bills'!$A:$A,0)),"")</f>
        <v/>
      </c>
      <c r="C26" s="15"/>
      <c r="D26" s="15"/>
      <c r="E26" s="12"/>
      <c r="F26" s="12"/>
      <c r="G26" s="12" t="str">
        <f t="shared" si="1"/>
        <v/>
      </c>
      <c r="H26" s="2"/>
      <c r="I26" s="2"/>
      <c r="J26" s="2"/>
      <c r="K26" s="2"/>
      <c r="L26" s="2"/>
    </row>
    <row r="27" ht="15.0" customHeight="1">
      <c r="A27" s="15"/>
      <c r="B27" s="11" t="str">
        <f t="array" ref="B27">IFERROR(INDEX('Patient Bills'!$B:$B,MATCH(A27,'Patient Bills'!$A:$A,0)),"")</f>
        <v/>
      </c>
      <c r="C27" s="15"/>
      <c r="D27" s="15"/>
      <c r="E27" s="12"/>
      <c r="F27" s="12"/>
      <c r="G27" s="12" t="str">
        <f t="shared" si="1"/>
        <v/>
      </c>
      <c r="H27" s="2"/>
      <c r="I27" s="2"/>
      <c r="J27" s="2"/>
      <c r="K27" s="2"/>
      <c r="L27" s="2"/>
    </row>
    <row r="28" ht="15.0" customHeight="1">
      <c r="A28" s="15"/>
      <c r="B28" s="11" t="str">
        <f t="array" ref="B28">IFERROR(INDEX('Patient Bills'!$B:$B,MATCH(A28,'Patient Bills'!$A:$A,0)),"")</f>
        <v/>
      </c>
      <c r="C28" s="15"/>
      <c r="D28" s="15"/>
      <c r="E28" s="12"/>
      <c r="F28" s="12"/>
      <c r="G28" s="12" t="str">
        <f t="shared" si="1"/>
        <v/>
      </c>
      <c r="H28" s="2"/>
      <c r="I28" s="2"/>
      <c r="J28" s="2"/>
      <c r="K28" s="2"/>
      <c r="L28" s="2"/>
    </row>
    <row r="29" ht="15.0" customHeight="1">
      <c r="A29" s="15"/>
      <c r="B29" s="11" t="str">
        <f t="array" ref="B29">IFERROR(INDEX('Patient Bills'!$B:$B,MATCH(A29,'Patient Bills'!$A:$A,0)),"")</f>
        <v/>
      </c>
      <c r="C29" s="15"/>
      <c r="D29" s="15"/>
      <c r="E29" s="12"/>
      <c r="F29" s="12"/>
      <c r="G29" s="12" t="str">
        <f t="shared" si="1"/>
        <v/>
      </c>
      <c r="H29" s="2"/>
      <c r="I29" s="2"/>
      <c r="J29" s="2"/>
      <c r="K29" s="2"/>
      <c r="L29" s="2"/>
    </row>
    <row r="30" ht="15.0" customHeight="1">
      <c r="A30" s="15"/>
      <c r="B30" s="11" t="str">
        <f t="array" ref="B30">IFERROR(INDEX('Patient Bills'!$B:$B,MATCH(A30,'Patient Bills'!$A:$A,0)),"")</f>
        <v/>
      </c>
      <c r="C30" s="15"/>
      <c r="D30" s="15"/>
      <c r="E30" s="12"/>
      <c r="F30" s="12"/>
      <c r="G30" s="12" t="str">
        <f t="shared" si="1"/>
        <v/>
      </c>
      <c r="H30" s="2"/>
      <c r="I30" s="2"/>
      <c r="J30" s="2"/>
      <c r="K30" s="2"/>
      <c r="L30" s="2"/>
    </row>
    <row r="31" ht="15.0" customHeight="1">
      <c r="A31" s="15"/>
      <c r="B31" s="11" t="str">
        <f t="array" ref="B31">IFERROR(INDEX('Patient Bills'!$B:$B,MATCH(A31,'Patient Bills'!$A:$A,0)),"")</f>
        <v/>
      </c>
      <c r="C31" s="15"/>
      <c r="D31" s="15"/>
      <c r="E31" s="12"/>
      <c r="F31" s="12"/>
      <c r="G31" s="12" t="str">
        <f t="shared" si="1"/>
        <v/>
      </c>
      <c r="H31" s="2"/>
      <c r="I31" s="2"/>
      <c r="J31" s="2"/>
      <c r="K31" s="2"/>
      <c r="L31" s="2"/>
    </row>
    <row r="32" ht="15.0" customHeight="1">
      <c r="A32" s="15"/>
      <c r="B32" s="11" t="str">
        <f t="array" ref="B32">IFERROR(INDEX('Patient Bills'!$B:$B,MATCH(A32,'Patient Bills'!$A:$A,0)),"")</f>
        <v/>
      </c>
      <c r="C32" s="15"/>
      <c r="D32" s="15"/>
      <c r="E32" s="12"/>
      <c r="F32" s="12"/>
      <c r="G32" s="12" t="str">
        <f t="shared" si="1"/>
        <v/>
      </c>
      <c r="H32" s="2"/>
      <c r="I32" s="2"/>
      <c r="J32" s="2"/>
      <c r="K32" s="2"/>
      <c r="L32" s="2"/>
    </row>
    <row r="33" ht="15.0" customHeight="1">
      <c r="A33" s="15"/>
      <c r="B33" s="11" t="str">
        <f t="array" ref="B33">IFERROR(INDEX('Patient Bills'!$B:$B,MATCH(A33,'Patient Bills'!$A:$A,0)),"")</f>
        <v/>
      </c>
      <c r="C33" s="15"/>
      <c r="D33" s="15"/>
      <c r="E33" s="12"/>
      <c r="F33" s="12"/>
      <c r="G33" s="12" t="str">
        <f t="shared" si="1"/>
        <v/>
      </c>
      <c r="H33" s="2"/>
      <c r="I33" s="2"/>
      <c r="J33" s="2"/>
      <c r="K33" s="2"/>
      <c r="L33" s="2"/>
    </row>
    <row r="34" ht="15.0" customHeight="1">
      <c r="A34" s="15"/>
      <c r="B34" s="11" t="str">
        <f t="array" ref="B34">IFERROR(INDEX('Patient Bills'!$B:$B,MATCH(A34,'Patient Bills'!$A:$A,0)),"")</f>
        <v/>
      </c>
      <c r="C34" s="15"/>
      <c r="D34" s="15"/>
      <c r="E34" s="12"/>
      <c r="F34" s="12"/>
      <c r="G34" s="12" t="str">
        <f t="shared" si="1"/>
        <v/>
      </c>
      <c r="H34" s="2"/>
      <c r="I34" s="2"/>
      <c r="J34" s="2"/>
      <c r="K34" s="2"/>
      <c r="L34" s="2"/>
    </row>
    <row r="35" ht="15.0" customHeight="1">
      <c r="A35" s="15"/>
      <c r="B35" s="11" t="str">
        <f t="array" ref="B35">IFERROR(INDEX('Patient Bills'!$B:$B,MATCH(A35,'Patient Bills'!$A:$A,0)),"")</f>
        <v/>
      </c>
      <c r="C35" s="15"/>
      <c r="D35" s="15"/>
      <c r="E35" s="12"/>
      <c r="F35" s="12"/>
      <c r="G35" s="12" t="str">
        <f t="shared" si="1"/>
        <v/>
      </c>
      <c r="H35" s="2"/>
      <c r="I35" s="2"/>
      <c r="J35" s="2"/>
      <c r="K35" s="2"/>
      <c r="L35" s="2"/>
    </row>
    <row r="36" ht="15.0" customHeight="1">
      <c r="A36" s="15"/>
      <c r="B36" s="11" t="str">
        <f t="array" ref="B36">IFERROR(INDEX('Patient Bills'!$B:$B,MATCH(A36,'Patient Bills'!$A:$A,0)),"")</f>
        <v/>
      </c>
      <c r="C36" s="15"/>
      <c r="D36" s="15"/>
      <c r="E36" s="12"/>
      <c r="F36" s="12"/>
      <c r="G36" s="12" t="str">
        <f t="shared" si="1"/>
        <v/>
      </c>
      <c r="H36" s="2"/>
      <c r="I36" s="2"/>
      <c r="J36" s="2"/>
      <c r="K36" s="2"/>
      <c r="L36" s="2"/>
    </row>
    <row r="37" ht="15.0" customHeight="1">
      <c r="A37" s="15"/>
      <c r="B37" s="11" t="str">
        <f t="array" ref="B37">IFERROR(INDEX('Patient Bills'!$B:$B,MATCH(A37,'Patient Bills'!$A:$A,0)),"")</f>
        <v/>
      </c>
      <c r="C37" s="15"/>
      <c r="D37" s="15"/>
      <c r="E37" s="12"/>
      <c r="F37" s="12"/>
      <c r="G37" s="12" t="str">
        <f t="shared" si="1"/>
        <v/>
      </c>
      <c r="H37" s="2"/>
      <c r="I37" s="2"/>
      <c r="J37" s="2"/>
      <c r="K37" s="2"/>
      <c r="L37" s="2"/>
    </row>
    <row r="38" ht="15.0" customHeight="1">
      <c r="A38" s="15"/>
      <c r="B38" s="11" t="str">
        <f t="array" ref="B38">IFERROR(INDEX('Patient Bills'!$B:$B,MATCH(A38,'Patient Bills'!$A:$A,0)),"")</f>
        <v/>
      </c>
      <c r="C38" s="15"/>
      <c r="D38" s="15"/>
      <c r="E38" s="12"/>
      <c r="F38" s="12"/>
      <c r="G38" s="12" t="str">
        <f t="shared" si="1"/>
        <v/>
      </c>
      <c r="H38" s="2"/>
      <c r="I38" s="2"/>
      <c r="J38" s="2"/>
      <c r="K38" s="2"/>
      <c r="L38" s="2"/>
    </row>
    <row r="39" ht="15.0" customHeight="1">
      <c r="A39" s="15"/>
      <c r="B39" s="11" t="str">
        <f t="array" ref="B39">IFERROR(INDEX('Patient Bills'!$B:$B,MATCH(A39,'Patient Bills'!$A:$A,0)),"")</f>
        <v/>
      </c>
      <c r="C39" s="15"/>
      <c r="D39" s="15"/>
      <c r="E39" s="12"/>
      <c r="F39" s="12"/>
      <c r="G39" s="12" t="str">
        <f t="shared" si="1"/>
        <v/>
      </c>
      <c r="H39" s="2"/>
      <c r="I39" s="2"/>
      <c r="J39" s="2"/>
      <c r="K39" s="2"/>
      <c r="L39" s="2"/>
    </row>
    <row r="40" ht="15.0" customHeight="1">
      <c r="A40" s="15"/>
      <c r="B40" s="11" t="str">
        <f t="array" ref="B40">IFERROR(INDEX('Patient Bills'!$B:$B,MATCH(A40,'Patient Bills'!$A:$A,0)),"")</f>
        <v/>
      </c>
      <c r="C40" s="15"/>
      <c r="D40" s="15"/>
      <c r="E40" s="12"/>
      <c r="F40" s="12"/>
      <c r="G40" s="12" t="str">
        <f t="shared" si="1"/>
        <v/>
      </c>
      <c r="H40" s="2"/>
      <c r="I40" s="2"/>
      <c r="J40" s="2"/>
      <c r="K40" s="2"/>
      <c r="L40" s="2"/>
    </row>
    <row r="41" ht="15.0" customHeight="1">
      <c r="A41" s="15"/>
      <c r="B41" s="11" t="str">
        <f t="array" ref="B41">IFERROR(INDEX('Patient Bills'!$B:$B,MATCH(A41,'Patient Bills'!$A:$A,0)),"")</f>
        <v/>
      </c>
      <c r="C41" s="15"/>
      <c r="D41" s="15"/>
      <c r="E41" s="12"/>
      <c r="F41" s="12"/>
      <c r="G41" s="12" t="str">
        <f t="shared" si="1"/>
        <v/>
      </c>
      <c r="H41" s="2"/>
      <c r="I41" s="2"/>
      <c r="J41" s="2"/>
      <c r="K41" s="2"/>
      <c r="L41" s="2"/>
    </row>
    <row r="42" ht="15.0" customHeight="1">
      <c r="A42" s="15"/>
      <c r="B42" s="11" t="str">
        <f t="array" ref="B42">IFERROR(INDEX('Patient Bills'!$B:$B,MATCH(A42,'Patient Bills'!$A:$A,0)),"")</f>
        <v/>
      </c>
      <c r="C42" s="15"/>
      <c r="D42" s="15"/>
      <c r="E42" s="12"/>
      <c r="F42" s="12"/>
      <c r="G42" s="12" t="str">
        <f t="shared" si="1"/>
        <v/>
      </c>
      <c r="H42" s="2"/>
      <c r="I42" s="2"/>
      <c r="J42" s="2"/>
      <c r="K42" s="2"/>
      <c r="L42" s="2"/>
    </row>
    <row r="43" ht="15.0" customHeight="1">
      <c r="A43" s="15"/>
      <c r="B43" s="11" t="str">
        <f t="array" ref="B43">IFERROR(INDEX('Patient Bills'!$B:$B,MATCH(A43,'Patient Bills'!$A:$A,0)),"")</f>
        <v/>
      </c>
      <c r="C43" s="15"/>
      <c r="D43" s="15"/>
      <c r="E43" s="12"/>
      <c r="F43" s="12"/>
      <c r="G43" s="12" t="str">
        <f t="shared" si="1"/>
        <v/>
      </c>
      <c r="H43" s="2"/>
      <c r="I43" s="2"/>
      <c r="J43" s="2"/>
      <c r="K43" s="2"/>
      <c r="L43" s="2"/>
    </row>
    <row r="44" ht="15.0" customHeight="1">
      <c r="A44" s="15"/>
      <c r="B44" s="11" t="str">
        <f t="array" ref="B44">IFERROR(INDEX('Patient Bills'!$B:$B,MATCH(A44,'Patient Bills'!$A:$A,0)),"")</f>
        <v/>
      </c>
      <c r="C44" s="15"/>
      <c r="D44" s="15"/>
      <c r="E44" s="12"/>
      <c r="F44" s="12"/>
      <c r="G44" s="12" t="str">
        <f t="shared" si="1"/>
        <v/>
      </c>
      <c r="H44" s="2"/>
      <c r="I44" s="2"/>
      <c r="J44" s="2"/>
      <c r="K44" s="2"/>
      <c r="L44" s="2"/>
    </row>
    <row r="45" ht="15.0" customHeight="1">
      <c r="A45" s="15"/>
      <c r="B45" s="11" t="str">
        <f t="array" ref="B45">IFERROR(INDEX('Patient Bills'!$B:$B,MATCH(A45,'Patient Bills'!$A:$A,0)),"")</f>
        <v/>
      </c>
      <c r="C45" s="15"/>
      <c r="D45" s="15"/>
      <c r="E45" s="12"/>
      <c r="F45" s="12"/>
      <c r="G45" s="12" t="str">
        <f t="shared" si="1"/>
        <v/>
      </c>
      <c r="H45" s="2"/>
      <c r="I45" s="2"/>
      <c r="J45" s="2"/>
      <c r="K45" s="2"/>
      <c r="L45" s="2"/>
    </row>
    <row r="46" ht="15.0" customHeight="1">
      <c r="A46" s="15"/>
      <c r="B46" s="11" t="str">
        <f t="array" ref="B46">IFERROR(INDEX('Patient Bills'!$B:$B,MATCH(A46,'Patient Bills'!$A:$A,0)),"")</f>
        <v/>
      </c>
      <c r="C46" s="15"/>
      <c r="D46" s="15"/>
      <c r="E46" s="12"/>
      <c r="F46" s="12"/>
      <c r="G46" s="12" t="str">
        <f t="shared" si="1"/>
        <v/>
      </c>
      <c r="H46" s="2"/>
      <c r="I46" s="2"/>
      <c r="J46" s="2"/>
      <c r="K46" s="2"/>
      <c r="L46" s="2"/>
    </row>
    <row r="47" ht="15.0" customHeight="1">
      <c r="A47" s="15"/>
      <c r="B47" s="11" t="str">
        <f t="array" ref="B47">IFERROR(INDEX('Patient Bills'!$B:$B,MATCH(A47,'Patient Bills'!$A:$A,0)),"")</f>
        <v/>
      </c>
      <c r="C47" s="15"/>
      <c r="D47" s="15"/>
      <c r="E47" s="12"/>
      <c r="F47" s="12"/>
      <c r="G47" s="12" t="str">
        <f t="shared" si="1"/>
        <v/>
      </c>
      <c r="H47" s="2"/>
      <c r="I47" s="2"/>
      <c r="J47" s="2"/>
      <c r="K47" s="2"/>
      <c r="L47" s="2"/>
    </row>
    <row r="48" ht="15.0" customHeight="1">
      <c r="A48" s="15"/>
      <c r="B48" s="11" t="str">
        <f t="array" ref="B48">IFERROR(INDEX('Patient Bills'!$B:$B,MATCH(A48,'Patient Bills'!$A:$A,0)),"")</f>
        <v/>
      </c>
      <c r="C48" s="15"/>
      <c r="D48" s="15"/>
      <c r="E48" s="12"/>
      <c r="F48" s="12"/>
      <c r="G48" s="12" t="str">
        <f t="shared" si="1"/>
        <v/>
      </c>
      <c r="H48" s="2"/>
      <c r="I48" s="2"/>
      <c r="J48" s="2"/>
      <c r="K48" s="2"/>
      <c r="L48" s="2"/>
    </row>
    <row r="49" ht="15.0" customHeight="1">
      <c r="A49" s="15"/>
      <c r="B49" s="11" t="str">
        <f t="array" ref="B49">IFERROR(INDEX('Patient Bills'!$B:$B,MATCH(A49,'Patient Bills'!$A:$A,0)),"")</f>
        <v/>
      </c>
      <c r="C49" s="15"/>
      <c r="D49" s="15"/>
      <c r="E49" s="12"/>
      <c r="F49" s="12"/>
      <c r="G49" s="12" t="str">
        <f t="shared" si="1"/>
        <v/>
      </c>
      <c r="H49" s="2"/>
      <c r="I49" s="2"/>
      <c r="J49" s="2"/>
      <c r="K49" s="2"/>
      <c r="L49" s="2"/>
    </row>
    <row r="50" ht="15.0" customHeight="1">
      <c r="A50" s="15"/>
      <c r="B50" s="11" t="str">
        <f t="array" ref="B50">IFERROR(INDEX('Patient Bills'!$B:$B,MATCH(A50,'Patient Bills'!$A:$A,0)),"")</f>
        <v/>
      </c>
      <c r="C50" s="15"/>
      <c r="D50" s="15"/>
      <c r="E50" s="12"/>
      <c r="F50" s="12"/>
      <c r="G50" s="12" t="str">
        <f t="shared" si="1"/>
        <v/>
      </c>
      <c r="H50" s="2"/>
      <c r="I50" s="2"/>
      <c r="J50" s="2"/>
      <c r="K50" s="2"/>
      <c r="L50" s="2"/>
    </row>
    <row r="51" ht="15.0" customHeight="1">
      <c r="A51" s="15"/>
      <c r="B51" s="11" t="str">
        <f t="array" ref="B51">IFERROR(INDEX('Patient Bills'!$B:$B,MATCH(A51,'Patient Bills'!$A:$A,0)),"")</f>
        <v/>
      </c>
      <c r="C51" s="15"/>
      <c r="D51" s="15"/>
      <c r="E51" s="12"/>
      <c r="F51" s="12"/>
      <c r="G51" s="12" t="str">
        <f t="shared" si="1"/>
        <v/>
      </c>
      <c r="H51" s="2"/>
      <c r="I51" s="2"/>
      <c r="J51" s="2"/>
      <c r="K51" s="2"/>
      <c r="L51" s="2"/>
    </row>
    <row r="52" ht="15.0" customHeight="1">
      <c r="A52" s="15"/>
      <c r="B52" s="11" t="str">
        <f t="array" ref="B52">IFERROR(INDEX('Patient Bills'!$B:$B,MATCH(A52,'Patient Bills'!$A:$A,0)),"")</f>
        <v/>
      </c>
      <c r="C52" s="15"/>
      <c r="D52" s="15"/>
      <c r="E52" s="12"/>
      <c r="F52" s="12"/>
      <c r="G52" s="12" t="str">
        <f t="shared" si="1"/>
        <v/>
      </c>
      <c r="H52" s="2"/>
      <c r="I52" s="2"/>
      <c r="J52" s="2"/>
      <c r="K52" s="2"/>
      <c r="L52" s="2"/>
    </row>
    <row r="53" ht="15.0" customHeight="1">
      <c r="A53" s="15"/>
      <c r="B53" s="11" t="str">
        <f t="array" ref="B53">IFERROR(INDEX('Patient Bills'!$B:$B,MATCH(A53,'Patient Bills'!$A:$A,0)),"")</f>
        <v/>
      </c>
      <c r="C53" s="15"/>
      <c r="D53" s="15"/>
      <c r="E53" s="12"/>
      <c r="F53" s="12"/>
      <c r="G53" s="12" t="str">
        <f t="shared" si="1"/>
        <v/>
      </c>
      <c r="H53" s="2"/>
      <c r="I53" s="2"/>
      <c r="J53" s="2"/>
      <c r="K53" s="2"/>
      <c r="L53" s="2"/>
    </row>
    <row r="54" ht="15.0" customHeight="1">
      <c r="A54" s="15"/>
      <c r="B54" s="11" t="str">
        <f t="array" ref="B54">IFERROR(INDEX('Patient Bills'!$B:$B,MATCH(A54,'Patient Bills'!$A:$A,0)),"")</f>
        <v/>
      </c>
      <c r="C54" s="15"/>
      <c r="D54" s="15"/>
      <c r="E54" s="12"/>
      <c r="F54" s="12"/>
      <c r="G54" s="12" t="str">
        <f t="shared" si="1"/>
        <v/>
      </c>
      <c r="H54" s="2"/>
      <c r="I54" s="2"/>
      <c r="J54" s="2"/>
      <c r="K54" s="2"/>
      <c r="L54" s="2"/>
    </row>
    <row r="55" ht="15.0" customHeight="1">
      <c r="A55" s="15"/>
      <c r="B55" s="11" t="str">
        <f t="array" ref="B55">IFERROR(INDEX('Patient Bills'!$B:$B,MATCH(A55,'Patient Bills'!$A:$A,0)),"")</f>
        <v/>
      </c>
      <c r="C55" s="15"/>
      <c r="D55" s="15"/>
      <c r="E55" s="12"/>
      <c r="F55" s="12"/>
      <c r="G55" s="12" t="str">
        <f t="shared" si="1"/>
        <v/>
      </c>
      <c r="H55" s="2"/>
      <c r="I55" s="2"/>
      <c r="J55" s="2"/>
      <c r="K55" s="2"/>
      <c r="L55" s="2"/>
    </row>
    <row r="56" ht="15.0" customHeight="1">
      <c r="A56" s="15"/>
      <c r="B56" s="11" t="str">
        <f t="array" ref="B56">IFERROR(INDEX('Patient Bills'!$B:$B,MATCH(A56,'Patient Bills'!$A:$A,0)),"")</f>
        <v/>
      </c>
      <c r="C56" s="15"/>
      <c r="D56" s="15"/>
      <c r="E56" s="12"/>
      <c r="F56" s="12"/>
      <c r="G56" s="12" t="str">
        <f t="shared" si="1"/>
        <v/>
      </c>
      <c r="H56" s="2"/>
      <c r="I56" s="2"/>
      <c r="J56" s="2"/>
      <c r="K56" s="2"/>
      <c r="L56" s="2"/>
    </row>
    <row r="57" ht="15.0" customHeight="1">
      <c r="A57" s="15"/>
      <c r="B57" s="11" t="str">
        <f t="array" ref="B57">IFERROR(INDEX('Patient Bills'!$B:$B,MATCH(A57,'Patient Bills'!$A:$A,0)),"")</f>
        <v/>
      </c>
      <c r="C57" s="15"/>
      <c r="D57" s="15"/>
      <c r="E57" s="12"/>
      <c r="F57" s="12"/>
      <c r="G57" s="12" t="str">
        <f t="shared" si="1"/>
        <v/>
      </c>
      <c r="H57" s="2"/>
      <c r="I57" s="2"/>
      <c r="J57" s="2"/>
      <c r="K57" s="2"/>
      <c r="L57" s="2"/>
    </row>
    <row r="58" ht="15.0" customHeight="1">
      <c r="A58" s="15"/>
      <c r="B58" s="11" t="str">
        <f t="array" ref="B58">IFERROR(INDEX('Patient Bills'!$B:$B,MATCH(A58,'Patient Bills'!$A:$A,0)),"")</f>
        <v/>
      </c>
      <c r="C58" s="15"/>
      <c r="D58" s="15"/>
      <c r="E58" s="12"/>
      <c r="F58" s="12"/>
      <c r="G58" s="12" t="str">
        <f t="shared" si="1"/>
        <v/>
      </c>
      <c r="H58" s="2"/>
      <c r="I58" s="2"/>
      <c r="J58" s="2"/>
      <c r="K58" s="2"/>
      <c r="L58" s="2"/>
    </row>
    <row r="59" ht="15.0" customHeight="1">
      <c r="A59" s="15"/>
      <c r="B59" s="11" t="str">
        <f t="array" ref="B59">IFERROR(INDEX('Patient Bills'!$B:$B,MATCH(A59,'Patient Bills'!$A:$A,0)),"")</f>
        <v/>
      </c>
      <c r="C59" s="15"/>
      <c r="D59" s="15"/>
      <c r="E59" s="12"/>
      <c r="F59" s="12"/>
      <c r="G59" s="12" t="str">
        <f t="shared" si="1"/>
        <v/>
      </c>
      <c r="H59" s="2"/>
      <c r="I59" s="2"/>
      <c r="J59" s="2"/>
      <c r="K59" s="2"/>
      <c r="L59" s="2"/>
    </row>
    <row r="60" ht="15.0" customHeight="1">
      <c r="A60" s="15"/>
      <c r="B60" s="11" t="str">
        <f t="array" ref="B60">IFERROR(INDEX('Patient Bills'!$B:$B,MATCH(A60,'Patient Bills'!$A:$A,0)),"")</f>
        <v/>
      </c>
      <c r="C60" s="15"/>
      <c r="D60" s="15"/>
      <c r="E60" s="12"/>
      <c r="F60" s="12"/>
      <c r="G60" s="12" t="str">
        <f t="shared" si="1"/>
        <v/>
      </c>
      <c r="H60" s="2"/>
      <c r="I60" s="2"/>
      <c r="J60" s="2"/>
      <c r="K60" s="2"/>
      <c r="L60" s="2"/>
    </row>
    <row r="61" ht="15.0" customHeight="1">
      <c r="A61" s="15"/>
      <c r="B61" s="11" t="str">
        <f t="array" ref="B61">IFERROR(INDEX('Patient Bills'!$B:$B,MATCH(A61,'Patient Bills'!$A:$A,0)),"")</f>
        <v/>
      </c>
      <c r="C61" s="15"/>
      <c r="D61" s="15"/>
      <c r="E61" s="12"/>
      <c r="F61" s="12"/>
      <c r="G61" s="12" t="str">
        <f t="shared" si="1"/>
        <v/>
      </c>
      <c r="H61" s="2"/>
      <c r="I61" s="2"/>
      <c r="J61" s="2"/>
      <c r="K61" s="2"/>
      <c r="L61" s="2"/>
    </row>
    <row r="62" ht="15.0" customHeight="1">
      <c r="A62" s="15"/>
      <c r="B62" s="11" t="str">
        <f t="array" ref="B62">IFERROR(INDEX('Patient Bills'!$B:$B,MATCH(A62,'Patient Bills'!$A:$A,0)),"")</f>
        <v/>
      </c>
      <c r="C62" s="15"/>
      <c r="D62" s="15"/>
      <c r="E62" s="12"/>
      <c r="F62" s="12"/>
      <c r="G62" s="12" t="str">
        <f t="shared" si="1"/>
        <v/>
      </c>
      <c r="H62" s="2"/>
      <c r="I62" s="2"/>
      <c r="J62" s="2"/>
      <c r="K62" s="2"/>
      <c r="L62" s="2"/>
    </row>
    <row r="63" ht="15.0" customHeight="1">
      <c r="A63" s="15"/>
      <c r="B63" s="11" t="str">
        <f t="array" ref="B63">IFERROR(INDEX('Patient Bills'!$B:$B,MATCH(A63,'Patient Bills'!$A:$A,0)),"")</f>
        <v/>
      </c>
      <c r="C63" s="15"/>
      <c r="D63" s="15"/>
      <c r="E63" s="12"/>
      <c r="F63" s="12"/>
      <c r="G63" s="12" t="str">
        <f t="shared" si="1"/>
        <v/>
      </c>
      <c r="H63" s="2"/>
      <c r="I63" s="2"/>
      <c r="J63" s="2"/>
      <c r="K63" s="2"/>
      <c r="L63" s="2"/>
    </row>
    <row r="64" ht="15.0" customHeight="1">
      <c r="A64" s="15"/>
      <c r="B64" s="11" t="str">
        <f t="array" ref="B64">IFERROR(INDEX('Patient Bills'!$B:$B,MATCH(A64,'Patient Bills'!$A:$A,0)),"")</f>
        <v/>
      </c>
      <c r="C64" s="15"/>
      <c r="D64" s="15"/>
      <c r="E64" s="12"/>
      <c r="F64" s="12"/>
      <c r="G64" s="12" t="str">
        <f t="shared" si="1"/>
        <v/>
      </c>
      <c r="H64" s="2"/>
      <c r="I64" s="2"/>
      <c r="J64" s="2"/>
      <c r="K64" s="2"/>
      <c r="L64" s="2"/>
    </row>
    <row r="65" ht="15.0" customHeight="1">
      <c r="A65" s="15"/>
      <c r="B65" s="11" t="str">
        <f t="array" ref="B65">IFERROR(INDEX('Patient Bills'!$B:$B,MATCH(A65,'Patient Bills'!$A:$A,0)),"")</f>
        <v/>
      </c>
      <c r="C65" s="15"/>
      <c r="D65" s="15"/>
      <c r="E65" s="12"/>
      <c r="F65" s="12"/>
      <c r="G65" s="12" t="str">
        <f t="shared" si="1"/>
        <v/>
      </c>
      <c r="H65" s="2"/>
      <c r="I65" s="2"/>
      <c r="J65" s="2"/>
      <c r="K65" s="2"/>
      <c r="L65" s="2"/>
    </row>
    <row r="66" ht="15.0" customHeight="1">
      <c r="A66" s="15"/>
      <c r="B66" s="11" t="str">
        <f t="array" ref="B66">IFERROR(INDEX('Patient Bills'!$B:$B,MATCH(A66,'Patient Bills'!$A:$A,0)),"")</f>
        <v/>
      </c>
      <c r="C66" s="15"/>
      <c r="D66" s="15"/>
      <c r="E66" s="12"/>
      <c r="F66" s="12"/>
      <c r="G66" s="12" t="str">
        <f t="shared" si="1"/>
        <v/>
      </c>
      <c r="H66" s="2"/>
      <c r="I66" s="2"/>
      <c r="J66" s="2"/>
      <c r="K66" s="2"/>
      <c r="L66" s="2"/>
    </row>
    <row r="67" ht="15.0" customHeight="1">
      <c r="A67" s="15"/>
      <c r="B67" s="11" t="str">
        <f t="array" ref="B67">IFERROR(INDEX('Patient Bills'!$B:$B,MATCH(A67,'Patient Bills'!$A:$A,0)),"")</f>
        <v/>
      </c>
      <c r="C67" s="15"/>
      <c r="D67" s="15"/>
      <c r="E67" s="12"/>
      <c r="F67" s="12"/>
      <c r="G67" s="12" t="str">
        <f t="shared" si="1"/>
        <v/>
      </c>
      <c r="H67" s="2"/>
      <c r="I67" s="2"/>
      <c r="J67" s="2"/>
      <c r="K67" s="2"/>
      <c r="L67" s="2"/>
    </row>
    <row r="68" ht="15.0" customHeight="1">
      <c r="A68" s="15"/>
      <c r="B68" s="11" t="str">
        <f t="array" ref="B68">IFERROR(INDEX('Patient Bills'!$B:$B,MATCH(A68,'Patient Bills'!$A:$A,0)),"")</f>
        <v/>
      </c>
      <c r="C68" s="15"/>
      <c r="D68" s="15"/>
      <c r="E68" s="12"/>
      <c r="F68" s="12"/>
      <c r="G68" s="12" t="str">
        <f t="shared" si="1"/>
        <v/>
      </c>
      <c r="H68" s="2"/>
      <c r="I68" s="2"/>
      <c r="J68" s="2"/>
      <c r="K68" s="2"/>
      <c r="L68" s="2"/>
    </row>
    <row r="69" ht="15.0" customHeight="1">
      <c r="A69" s="15"/>
      <c r="B69" s="11" t="str">
        <f t="array" ref="B69">IFERROR(INDEX('Patient Bills'!$B:$B,MATCH(A69,'Patient Bills'!$A:$A,0)),"")</f>
        <v/>
      </c>
      <c r="C69" s="15"/>
      <c r="D69" s="15"/>
      <c r="E69" s="12"/>
      <c r="F69" s="12"/>
      <c r="G69" s="12" t="str">
        <f t="shared" si="1"/>
        <v/>
      </c>
      <c r="H69" s="2"/>
      <c r="I69" s="2"/>
      <c r="J69" s="2"/>
      <c r="K69" s="2"/>
      <c r="L69" s="2"/>
    </row>
    <row r="70" ht="15.0" customHeight="1">
      <c r="A70" s="15"/>
      <c r="B70" s="11" t="str">
        <f t="array" ref="B70">IFERROR(INDEX('Patient Bills'!$B:$B,MATCH(A70,'Patient Bills'!$A:$A,0)),"")</f>
        <v/>
      </c>
      <c r="C70" s="15"/>
      <c r="D70" s="15"/>
      <c r="E70" s="12"/>
      <c r="F70" s="12"/>
      <c r="G70" s="12" t="str">
        <f t="shared" si="1"/>
        <v/>
      </c>
      <c r="H70" s="2"/>
      <c r="I70" s="2"/>
      <c r="J70" s="2"/>
      <c r="K70" s="2"/>
      <c r="L70" s="2"/>
    </row>
    <row r="71" ht="15.0" customHeight="1">
      <c r="A71" s="15"/>
      <c r="B71" s="11" t="str">
        <f t="array" ref="B71">IFERROR(INDEX('Patient Bills'!$B:$B,MATCH(A71,'Patient Bills'!$A:$A,0)),"")</f>
        <v/>
      </c>
      <c r="C71" s="15"/>
      <c r="D71" s="15"/>
      <c r="E71" s="12"/>
      <c r="F71" s="12"/>
      <c r="G71" s="12" t="str">
        <f t="shared" si="1"/>
        <v/>
      </c>
      <c r="H71" s="2"/>
      <c r="I71" s="2"/>
      <c r="J71" s="2"/>
      <c r="K71" s="2"/>
      <c r="L71" s="2"/>
    </row>
    <row r="72" ht="15.0" customHeight="1">
      <c r="A72" s="15"/>
      <c r="B72" s="11" t="str">
        <f t="array" ref="B72">IFERROR(INDEX('Patient Bills'!$B:$B,MATCH(A72,'Patient Bills'!$A:$A,0)),"")</f>
        <v/>
      </c>
      <c r="C72" s="15"/>
      <c r="D72" s="15"/>
      <c r="E72" s="12"/>
      <c r="F72" s="12"/>
      <c r="G72" s="12" t="str">
        <f t="shared" si="1"/>
        <v/>
      </c>
      <c r="H72" s="2"/>
      <c r="I72" s="2"/>
      <c r="J72" s="2"/>
      <c r="K72" s="2"/>
      <c r="L72" s="2"/>
    </row>
    <row r="73" ht="15.0" customHeight="1">
      <c r="A73" s="15"/>
      <c r="B73" s="11" t="str">
        <f t="array" ref="B73">IFERROR(INDEX('Patient Bills'!$B:$B,MATCH(A73,'Patient Bills'!$A:$A,0)),"")</f>
        <v/>
      </c>
      <c r="C73" s="15"/>
      <c r="D73" s="15"/>
      <c r="E73" s="12"/>
      <c r="F73" s="12"/>
      <c r="G73" s="12" t="str">
        <f t="shared" si="1"/>
        <v/>
      </c>
      <c r="H73" s="2"/>
      <c r="I73" s="2"/>
      <c r="J73" s="2"/>
      <c r="K73" s="2"/>
      <c r="L73" s="2"/>
    </row>
    <row r="74" ht="15.0" customHeight="1">
      <c r="A74" s="15"/>
      <c r="B74" s="11" t="str">
        <f t="array" ref="B74">IFERROR(INDEX('Patient Bills'!$B:$B,MATCH(A74,'Patient Bills'!$A:$A,0)),"")</f>
        <v/>
      </c>
      <c r="C74" s="15"/>
      <c r="D74" s="15"/>
      <c r="E74" s="12"/>
      <c r="F74" s="12"/>
      <c r="G74" s="12" t="str">
        <f t="shared" si="1"/>
        <v/>
      </c>
      <c r="H74" s="2"/>
      <c r="I74" s="2"/>
      <c r="J74" s="2"/>
      <c r="K74" s="2"/>
      <c r="L74" s="2"/>
    </row>
    <row r="75" ht="15.0" customHeight="1">
      <c r="A75" s="15"/>
      <c r="B75" s="11" t="str">
        <f t="array" ref="B75">IFERROR(INDEX('Patient Bills'!$B:$B,MATCH(A75,'Patient Bills'!$A:$A,0)),"")</f>
        <v/>
      </c>
      <c r="C75" s="15"/>
      <c r="D75" s="15"/>
      <c r="E75" s="12"/>
      <c r="F75" s="12"/>
      <c r="G75" s="12" t="str">
        <f t="shared" si="1"/>
        <v/>
      </c>
      <c r="H75" s="2"/>
      <c r="I75" s="2"/>
      <c r="J75" s="2"/>
      <c r="K75" s="2"/>
      <c r="L75" s="2"/>
    </row>
    <row r="76" ht="15.0" customHeight="1">
      <c r="A76" s="15"/>
      <c r="B76" s="11" t="str">
        <f t="array" ref="B76">IFERROR(INDEX('Patient Bills'!$B:$B,MATCH(A76,'Patient Bills'!$A:$A,0)),"")</f>
        <v/>
      </c>
      <c r="C76" s="15"/>
      <c r="D76" s="15"/>
      <c r="E76" s="12"/>
      <c r="F76" s="12"/>
      <c r="G76" s="12" t="str">
        <f t="shared" si="1"/>
        <v/>
      </c>
      <c r="H76" s="2"/>
      <c r="I76" s="2"/>
      <c r="J76" s="2"/>
      <c r="K76" s="2"/>
      <c r="L76" s="2"/>
    </row>
    <row r="77" ht="15.0" customHeight="1">
      <c r="A77" s="15"/>
      <c r="B77" s="11" t="str">
        <f t="array" ref="B77">IFERROR(INDEX('Patient Bills'!$B:$B,MATCH(A77,'Patient Bills'!$A:$A,0)),"")</f>
        <v/>
      </c>
      <c r="C77" s="15"/>
      <c r="D77" s="15"/>
      <c r="E77" s="12"/>
      <c r="F77" s="12"/>
      <c r="G77" s="12" t="str">
        <f t="shared" si="1"/>
        <v/>
      </c>
      <c r="H77" s="2"/>
      <c r="I77" s="2"/>
      <c r="J77" s="2"/>
      <c r="K77" s="2"/>
      <c r="L77" s="2"/>
    </row>
    <row r="78" ht="15.0" customHeight="1">
      <c r="A78" s="15"/>
      <c r="B78" s="11" t="str">
        <f t="array" ref="B78">IFERROR(INDEX('Patient Bills'!$B:$B,MATCH(A78,'Patient Bills'!$A:$A,0)),"")</f>
        <v/>
      </c>
      <c r="C78" s="15"/>
      <c r="D78" s="15"/>
      <c r="E78" s="12"/>
      <c r="F78" s="12"/>
      <c r="G78" s="12" t="str">
        <f t="shared" si="1"/>
        <v/>
      </c>
      <c r="H78" s="2"/>
      <c r="I78" s="2"/>
      <c r="J78" s="2"/>
      <c r="K78" s="2"/>
      <c r="L78" s="2"/>
    </row>
    <row r="79" ht="15.0" customHeight="1">
      <c r="A79" s="15"/>
      <c r="B79" s="11" t="str">
        <f t="array" ref="B79">IFERROR(INDEX('Patient Bills'!$B:$B,MATCH(A79,'Patient Bills'!$A:$A,0)),"")</f>
        <v/>
      </c>
      <c r="C79" s="15"/>
      <c r="D79" s="15"/>
      <c r="E79" s="12"/>
      <c r="F79" s="12"/>
      <c r="G79" s="12" t="str">
        <f t="shared" si="1"/>
        <v/>
      </c>
      <c r="H79" s="2"/>
      <c r="I79" s="2"/>
      <c r="J79" s="2"/>
      <c r="K79" s="2"/>
      <c r="L79" s="2"/>
    </row>
    <row r="80" ht="15.0" customHeight="1">
      <c r="A80" s="15"/>
      <c r="B80" s="11" t="str">
        <f t="array" ref="B80">IFERROR(INDEX('Patient Bills'!$B:$B,MATCH(A80,'Patient Bills'!$A:$A,0)),"")</f>
        <v/>
      </c>
      <c r="C80" s="15"/>
      <c r="D80" s="15"/>
      <c r="E80" s="12"/>
      <c r="F80" s="12"/>
      <c r="G80" s="12" t="str">
        <f t="shared" si="1"/>
        <v/>
      </c>
      <c r="H80" s="2"/>
      <c r="I80" s="2"/>
      <c r="J80" s="2"/>
      <c r="K80" s="2"/>
      <c r="L80" s="2"/>
    </row>
    <row r="81" ht="15.0" customHeight="1">
      <c r="A81" s="15"/>
      <c r="B81" s="11" t="str">
        <f t="array" ref="B81">IFERROR(INDEX('Patient Bills'!$B:$B,MATCH(A81,'Patient Bills'!$A:$A,0)),"")</f>
        <v/>
      </c>
      <c r="C81" s="15"/>
      <c r="D81" s="15"/>
      <c r="E81" s="12"/>
      <c r="F81" s="12"/>
      <c r="G81" s="12" t="str">
        <f t="shared" si="1"/>
        <v/>
      </c>
      <c r="H81" s="2"/>
      <c r="I81" s="2"/>
      <c r="J81" s="2"/>
      <c r="K81" s="2"/>
      <c r="L81" s="2"/>
    </row>
    <row r="82" ht="15.0" customHeight="1">
      <c r="A82" s="15"/>
      <c r="B82" s="11" t="str">
        <f t="array" ref="B82">IFERROR(INDEX('Patient Bills'!$B:$B,MATCH(A82,'Patient Bills'!$A:$A,0)),"")</f>
        <v/>
      </c>
      <c r="C82" s="15"/>
      <c r="D82" s="15"/>
      <c r="E82" s="12"/>
      <c r="F82" s="12"/>
      <c r="G82" s="12" t="str">
        <f t="shared" si="1"/>
        <v/>
      </c>
      <c r="H82" s="2"/>
      <c r="I82" s="2"/>
      <c r="J82" s="2"/>
      <c r="K82" s="2"/>
      <c r="L82" s="2"/>
    </row>
    <row r="83" ht="15.0" customHeight="1">
      <c r="A83" s="15"/>
      <c r="B83" s="11" t="str">
        <f t="array" ref="B83">IFERROR(INDEX('Patient Bills'!$B:$B,MATCH(A83,'Patient Bills'!$A:$A,0)),"")</f>
        <v/>
      </c>
      <c r="C83" s="15"/>
      <c r="D83" s="15"/>
      <c r="E83" s="12"/>
      <c r="F83" s="12"/>
      <c r="G83" s="12" t="str">
        <f t="shared" si="1"/>
        <v/>
      </c>
      <c r="H83" s="2"/>
      <c r="I83" s="2"/>
      <c r="J83" s="2"/>
      <c r="K83" s="2"/>
      <c r="L83" s="2"/>
    </row>
    <row r="84" ht="15.0" customHeight="1">
      <c r="A84" s="15"/>
      <c r="B84" s="11" t="str">
        <f t="array" ref="B84">IFERROR(INDEX('Patient Bills'!$B:$B,MATCH(A84,'Patient Bills'!$A:$A,0)),"")</f>
        <v/>
      </c>
      <c r="C84" s="15"/>
      <c r="D84" s="15"/>
      <c r="E84" s="12"/>
      <c r="F84" s="12"/>
      <c r="G84" s="12" t="str">
        <f t="shared" si="1"/>
        <v/>
      </c>
      <c r="H84" s="2"/>
      <c r="I84" s="2"/>
      <c r="J84" s="2"/>
      <c r="K84" s="2"/>
      <c r="L84" s="2"/>
    </row>
    <row r="85" ht="15.0" customHeight="1">
      <c r="A85" s="15"/>
      <c r="B85" s="11" t="str">
        <f t="array" ref="B85">IFERROR(INDEX('Patient Bills'!$B:$B,MATCH(A85,'Patient Bills'!$A:$A,0)),"")</f>
        <v/>
      </c>
      <c r="C85" s="15"/>
      <c r="D85" s="15"/>
      <c r="E85" s="12"/>
      <c r="F85" s="12"/>
      <c r="G85" s="12" t="str">
        <f t="shared" si="1"/>
        <v/>
      </c>
      <c r="H85" s="2"/>
      <c r="I85" s="2"/>
      <c r="J85" s="2"/>
      <c r="K85" s="2"/>
      <c r="L85" s="2"/>
    </row>
    <row r="86" ht="15.0" customHeight="1">
      <c r="A86" s="15"/>
      <c r="B86" s="11" t="str">
        <f t="array" ref="B86">IFERROR(INDEX('Patient Bills'!$B:$B,MATCH(A86,'Patient Bills'!$A:$A,0)),"")</f>
        <v/>
      </c>
      <c r="C86" s="15"/>
      <c r="D86" s="15"/>
      <c r="E86" s="12"/>
      <c r="F86" s="12"/>
      <c r="G86" s="12" t="str">
        <f t="shared" si="1"/>
        <v/>
      </c>
      <c r="H86" s="2"/>
      <c r="I86" s="2"/>
      <c r="J86" s="2"/>
      <c r="K86" s="2"/>
      <c r="L86" s="2"/>
    </row>
    <row r="87" ht="15.0" customHeight="1">
      <c r="A87" s="15"/>
      <c r="B87" s="11" t="str">
        <f t="array" ref="B87">IFERROR(INDEX('Patient Bills'!$B:$B,MATCH(A87,'Patient Bills'!$A:$A,0)),"")</f>
        <v/>
      </c>
      <c r="C87" s="15"/>
      <c r="D87" s="15"/>
      <c r="E87" s="12"/>
      <c r="F87" s="12"/>
      <c r="G87" s="12" t="str">
        <f t="shared" si="1"/>
        <v/>
      </c>
      <c r="H87" s="2"/>
      <c r="I87" s="2"/>
      <c r="J87" s="2"/>
      <c r="K87" s="2"/>
      <c r="L87" s="2"/>
    </row>
    <row r="88" ht="15.0" customHeight="1">
      <c r="A88" s="15"/>
      <c r="B88" s="11" t="str">
        <f t="array" ref="B88">IFERROR(INDEX('Patient Bills'!$B:$B,MATCH(A88,'Patient Bills'!$A:$A,0)),"")</f>
        <v/>
      </c>
      <c r="C88" s="15"/>
      <c r="D88" s="15"/>
      <c r="E88" s="12"/>
      <c r="F88" s="12"/>
      <c r="G88" s="12" t="str">
        <f t="shared" si="1"/>
        <v/>
      </c>
      <c r="H88" s="2"/>
      <c r="I88" s="2"/>
      <c r="J88" s="2"/>
      <c r="K88" s="2"/>
      <c r="L88" s="2"/>
    </row>
    <row r="89" ht="15.0" customHeight="1">
      <c r="A89" s="15"/>
      <c r="B89" s="11" t="str">
        <f t="array" ref="B89">IFERROR(INDEX('Patient Bills'!$B:$B,MATCH(A89,'Patient Bills'!$A:$A,0)),"")</f>
        <v/>
      </c>
      <c r="C89" s="15"/>
      <c r="D89" s="15"/>
      <c r="E89" s="12"/>
      <c r="F89" s="12"/>
      <c r="G89" s="12" t="str">
        <f t="shared" si="1"/>
        <v/>
      </c>
      <c r="H89" s="2"/>
      <c r="I89" s="2"/>
      <c r="J89" s="2"/>
      <c r="K89" s="2"/>
      <c r="L89" s="2"/>
    </row>
    <row r="90" ht="15.0" customHeight="1">
      <c r="A90" s="15"/>
      <c r="B90" s="11" t="str">
        <f t="array" ref="B90">IFERROR(INDEX('Patient Bills'!$B:$B,MATCH(A90,'Patient Bills'!$A:$A,0)),"")</f>
        <v/>
      </c>
      <c r="C90" s="15"/>
      <c r="D90" s="15"/>
      <c r="E90" s="12"/>
      <c r="F90" s="12"/>
      <c r="G90" s="12" t="str">
        <f t="shared" si="1"/>
        <v/>
      </c>
      <c r="H90" s="2"/>
      <c r="I90" s="2"/>
      <c r="J90" s="2"/>
      <c r="K90" s="2"/>
      <c r="L90" s="2"/>
    </row>
    <row r="91" ht="15.0" customHeight="1">
      <c r="A91" s="15"/>
      <c r="B91" s="11" t="str">
        <f t="array" ref="B91">IFERROR(INDEX('Patient Bills'!$B:$B,MATCH(A91,'Patient Bills'!$A:$A,0)),"")</f>
        <v/>
      </c>
      <c r="C91" s="15"/>
      <c r="D91" s="15"/>
      <c r="E91" s="12"/>
      <c r="F91" s="12"/>
      <c r="G91" s="12" t="str">
        <f t="shared" si="1"/>
        <v/>
      </c>
      <c r="H91" s="2"/>
      <c r="I91" s="2"/>
      <c r="J91" s="2"/>
      <c r="K91" s="2"/>
      <c r="L91" s="2"/>
    </row>
    <row r="92" ht="15.0" customHeight="1">
      <c r="A92" s="15"/>
      <c r="B92" s="11" t="str">
        <f t="array" ref="B92">IFERROR(INDEX('Patient Bills'!$B:$B,MATCH(A92,'Patient Bills'!$A:$A,0)),"")</f>
        <v/>
      </c>
      <c r="C92" s="15"/>
      <c r="D92" s="15"/>
      <c r="E92" s="12"/>
      <c r="F92" s="12"/>
      <c r="G92" s="12" t="str">
        <f t="shared" si="1"/>
        <v/>
      </c>
      <c r="H92" s="2"/>
      <c r="I92" s="2"/>
      <c r="J92" s="2"/>
      <c r="K92" s="2"/>
      <c r="L92" s="2"/>
    </row>
    <row r="93" ht="15.0" customHeight="1">
      <c r="A93" s="15"/>
      <c r="B93" s="11" t="str">
        <f t="array" ref="B93">IFERROR(INDEX('Patient Bills'!$B:$B,MATCH(A93,'Patient Bills'!$A:$A,0)),"")</f>
        <v/>
      </c>
      <c r="C93" s="15"/>
      <c r="D93" s="15"/>
      <c r="E93" s="12"/>
      <c r="F93" s="12"/>
      <c r="G93" s="12" t="str">
        <f t="shared" si="1"/>
        <v/>
      </c>
      <c r="H93" s="2"/>
      <c r="I93" s="2"/>
      <c r="J93" s="2"/>
      <c r="K93" s="2"/>
      <c r="L93" s="2"/>
    </row>
    <row r="94" ht="15.0" customHeight="1">
      <c r="A94" s="15"/>
      <c r="B94" s="11" t="str">
        <f t="array" ref="B94">IFERROR(INDEX('Patient Bills'!$B:$B,MATCH(A94,'Patient Bills'!$A:$A,0)),"")</f>
        <v/>
      </c>
      <c r="C94" s="15"/>
      <c r="D94" s="15"/>
      <c r="E94" s="12"/>
      <c r="F94" s="12"/>
      <c r="G94" s="12" t="str">
        <f t="shared" si="1"/>
        <v/>
      </c>
      <c r="H94" s="2"/>
      <c r="I94" s="2"/>
      <c r="J94" s="2"/>
      <c r="K94" s="2"/>
      <c r="L94" s="2"/>
    </row>
    <row r="95" ht="15.0" customHeight="1">
      <c r="A95" s="15"/>
      <c r="B95" s="11" t="str">
        <f t="array" ref="B95">IFERROR(INDEX('Patient Bills'!$B:$B,MATCH(A95,'Patient Bills'!$A:$A,0)),"")</f>
        <v/>
      </c>
      <c r="C95" s="15"/>
      <c r="D95" s="15"/>
      <c r="E95" s="12"/>
      <c r="F95" s="12"/>
      <c r="G95" s="12" t="str">
        <f t="shared" si="1"/>
        <v/>
      </c>
      <c r="H95" s="2"/>
      <c r="I95" s="2"/>
      <c r="J95" s="2"/>
      <c r="K95" s="2"/>
      <c r="L95" s="2"/>
    </row>
    <row r="96" ht="15.0" customHeight="1">
      <c r="A96" s="15"/>
      <c r="B96" s="11" t="str">
        <f t="array" ref="B96">IFERROR(INDEX('Patient Bills'!$B:$B,MATCH(A96,'Patient Bills'!$A:$A,0)),"")</f>
        <v/>
      </c>
      <c r="C96" s="15"/>
      <c r="D96" s="15"/>
      <c r="E96" s="12"/>
      <c r="F96" s="12"/>
      <c r="G96" s="12" t="str">
        <f t="shared" si="1"/>
        <v/>
      </c>
      <c r="H96" s="2"/>
      <c r="I96" s="2"/>
      <c r="J96" s="2"/>
      <c r="K96" s="2"/>
      <c r="L96" s="2"/>
    </row>
    <row r="97" ht="15.0" customHeight="1">
      <c r="A97" s="15"/>
      <c r="B97" s="11" t="str">
        <f t="array" ref="B97">IFERROR(INDEX('Patient Bills'!$B:$B,MATCH(A97,'Patient Bills'!$A:$A,0)),"")</f>
        <v/>
      </c>
      <c r="C97" s="15"/>
      <c r="D97" s="15"/>
      <c r="E97" s="12"/>
      <c r="F97" s="12"/>
      <c r="G97" s="12" t="str">
        <f t="shared" si="1"/>
        <v/>
      </c>
      <c r="H97" s="2"/>
      <c r="I97" s="2"/>
      <c r="J97" s="2"/>
      <c r="K97" s="2"/>
      <c r="L97" s="2"/>
    </row>
    <row r="98" ht="15.0" customHeight="1">
      <c r="A98" s="15"/>
      <c r="B98" s="11" t="str">
        <f t="array" ref="B98">IFERROR(INDEX('Patient Bills'!$B:$B,MATCH(A98,'Patient Bills'!$A:$A,0)),"")</f>
        <v/>
      </c>
      <c r="C98" s="15"/>
      <c r="D98" s="15"/>
      <c r="E98" s="12"/>
      <c r="F98" s="12"/>
      <c r="G98" s="12" t="str">
        <f t="shared" si="1"/>
        <v/>
      </c>
      <c r="H98" s="2"/>
      <c r="I98" s="2"/>
      <c r="J98" s="2"/>
      <c r="K98" s="2"/>
      <c r="L98" s="2"/>
    </row>
    <row r="99" ht="15.0" customHeight="1">
      <c r="A99" s="15"/>
      <c r="B99" s="11" t="str">
        <f t="array" ref="B99">IFERROR(INDEX('Patient Bills'!$B:$B,MATCH(A99,'Patient Bills'!$A:$A,0)),"")</f>
        <v/>
      </c>
      <c r="C99" s="15"/>
      <c r="D99" s="15"/>
      <c r="E99" s="12"/>
      <c r="F99" s="12"/>
      <c r="G99" s="12" t="str">
        <f t="shared" si="1"/>
        <v/>
      </c>
      <c r="H99" s="2"/>
      <c r="I99" s="2"/>
      <c r="J99" s="2"/>
      <c r="K99" s="2"/>
      <c r="L99" s="2"/>
    </row>
    <row r="100" ht="15.0" customHeight="1">
      <c r="A100" s="15"/>
      <c r="B100" s="11" t="str">
        <f t="array" ref="B100">IFERROR(INDEX('Patient Bills'!$B:$B,MATCH(A100,'Patient Bills'!$A:$A,0)),"")</f>
        <v/>
      </c>
      <c r="C100" s="15"/>
      <c r="D100" s="15"/>
      <c r="E100" s="12"/>
      <c r="F100" s="12"/>
      <c r="G100" s="12" t="str">
        <f t="shared" si="1"/>
        <v/>
      </c>
      <c r="H100" s="2"/>
      <c r="I100" s="2"/>
      <c r="J100" s="2"/>
      <c r="K100" s="2"/>
      <c r="L100" s="2"/>
    </row>
    <row r="101" ht="15.0" customHeight="1">
      <c r="A101" s="15"/>
      <c r="B101" s="11" t="str">
        <f t="array" ref="B101">IFERROR(INDEX('Patient Bills'!$B:$B,MATCH(A101,'Patient Bills'!$A:$A,0)),"")</f>
        <v/>
      </c>
      <c r="C101" s="15"/>
      <c r="D101" s="15"/>
      <c r="E101" s="12"/>
      <c r="F101" s="12"/>
      <c r="G101" s="12" t="str">
        <f t="shared" si="1"/>
        <v/>
      </c>
      <c r="H101" s="2"/>
      <c r="I101" s="2"/>
      <c r="J101" s="2"/>
      <c r="K101" s="2"/>
      <c r="L101" s="2"/>
    </row>
    <row r="102" ht="15.0" customHeight="1">
      <c r="A102" s="15"/>
      <c r="B102" s="11" t="str">
        <f t="array" ref="B102">IFERROR(INDEX('Patient Bills'!$B:$B,MATCH(A102,'Patient Bills'!$A:$A,0)),"")</f>
        <v/>
      </c>
      <c r="C102" s="15"/>
      <c r="D102" s="15"/>
      <c r="E102" s="12"/>
      <c r="F102" s="12"/>
      <c r="G102" s="12" t="str">
        <f t="shared" si="1"/>
        <v/>
      </c>
      <c r="H102" s="2"/>
      <c r="I102" s="2"/>
      <c r="J102" s="2"/>
      <c r="K102" s="2"/>
      <c r="L102" s="2"/>
    </row>
    <row r="103" ht="15.0" customHeight="1">
      <c r="A103" s="15"/>
      <c r="B103" s="11" t="str">
        <f t="array" ref="B103">IFERROR(INDEX('Patient Bills'!$B:$B,MATCH(A103,'Patient Bills'!$A:$A,0)),"")</f>
        <v/>
      </c>
      <c r="C103" s="15"/>
      <c r="D103" s="15"/>
      <c r="E103" s="12"/>
      <c r="F103" s="12"/>
      <c r="G103" s="12" t="str">
        <f t="shared" si="1"/>
        <v/>
      </c>
      <c r="H103" s="2"/>
      <c r="I103" s="2"/>
      <c r="J103" s="2"/>
      <c r="K103" s="2"/>
      <c r="L103" s="2"/>
    </row>
    <row r="104" ht="15.0" customHeight="1">
      <c r="A104" s="15"/>
      <c r="B104" s="11" t="str">
        <f t="array" ref="B104">IFERROR(INDEX('Patient Bills'!$B:$B,MATCH(A104,'Patient Bills'!$A:$A,0)),"")</f>
        <v/>
      </c>
      <c r="C104" s="15"/>
      <c r="D104" s="15"/>
      <c r="E104" s="12"/>
      <c r="F104" s="12"/>
      <c r="G104" s="12" t="str">
        <f t="shared" si="1"/>
        <v/>
      </c>
      <c r="H104" s="2"/>
      <c r="I104" s="2"/>
      <c r="J104" s="2"/>
      <c r="K104" s="2"/>
      <c r="L104" s="2"/>
    </row>
    <row r="105" ht="15.0" customHeight="1">
      <c r="A105" s="15"/>
      <c r="B105" s="11" t="str">
        <f t="array" ref="B105">IFERROR(INDEX('Patient Bills'!$B:$B,MATCH(A105,'Patient Bills'!$A:$A,0)),"")</f>
        <v/>
      </c>
      <c r="C105" s="15"/>
      <c r="D105" s="15"/>
      <c r="E105" s="12"/>
      <c r="F105" s="12"/>
      <c r="G105" s="12" t="str">
        <f t="shared" si="1"/>
        <v/>
      </c>
      <c r="H105" s="2"/>
      <c r="I105" s="2"/>
      <c r="J105" s="2"/>
      <c r="K105" s="2"/>
      <c r="L105" s="2"/>
    </row>
    <row r="106" ht="15.0" customHeight="1">
      <c r="A106" s="15"/>
      <c r="B106" s="11" t="str">
        <f t="array" ref="B106">IFERROR(INDEX('Patient Bills'!$B:$B,MATCH(A106,'Patient Bills'!$A:$A,0)),"")</f>
        <v/>
      </c>
      <c r="C106" s="15"/>
      <c r="D106" s="15"/>
      <c r="E106" s="12"/>
      <c r="F106" s="12"/>
      <c r="G106" s="12" t="str">
        <f t="shared" si="1"/>
        <v/>
      </c>
      <c r="H106" s="2"/>
      <c r="I106" s="2"/>
      <c r="J106" s="2"/>
      <c r="K106" s="2"/>
      <c r="L106" s="2"/>
    </row>
    <row r="107" ht="15.0" customHeight="1">
      <c r="A107" s="15"/>
      <c r="B107" s="11" t="str">
        <f t="array" ref="B107">IFERROR(INDEX('Patient Bills'!$B:$B,MATCH(A107,'Patient Bills'!$A:$A,0)),"")</f>
        <v/>
      </c>
      <c r="C107" s="15"/>
      <c r="D107" s="15"/>
      <c r="E107" s="12"/>
      <c r="F107" s="12"/>
      <c r="G107" s="12" t="str">
        <f t="shared" si="1"/>
        <v/>
      </c>
      <c r="H107" s="2"/>
      <c r="I107" s="2"/>
      <c r="J107" s="2"/>
      <c r="K107" s="2"/>
      <c r="L107" s="2"/>
    </row>
    <row r="108" ht="15.0" customHeight="1">
      <c r="A108" s="15"/>
      <c r="B108" s="11" t="str">
        <f t="array" ref="B108">IFERROR(INDEX('Patient Bills'!$B:$B,MATCH(A108,'Patient Bills'!$A:$A,0)),"")</f>
        <v/>
      </c>
      <c r="C108" s="15"/>
      <c r="D108" s="15"/>
      <c r="E108" s="12"/>
      <c r="F108" s="12"/>
      <c r="G108" s="12" t="str">
        <f t="shared" si="1"/>
        <v/>
      </c>
      <c r="H108" s="2"/>
      <c r="I108" s="2"/>
      <c r="J108" s="2"/>
      <c r="K108" s="2"/>
      <c r="L108" s="2"/>
    </row>
    <row r="109" ht="15.0" customHeight="1">
      <c r="A109" s="15"/>
      <c r="B109" s="11" t="str">
        <f t="array" ref="B109">IFERROR(INDEX('Patient Bills'!$B:$B,MATCH(A109,'Patient Bills'!$A:$A,0)),"")</f>
        <v/>
      </c>
      <c r="C109" s="15"/>
      <c r="D109" s="15"/>
      <c r="E109" s="12"/>
      <c r="F109" s="12"/>
      <c r="G109" s="12" t="str">
        <f t="shared" si="1"/>
        <v/>
      </c>
      <c r="H109" s="2"/>
      <c r="I109" s="2"/>
      <c r="J109" s="2"/>
      <c r="K109" s="2"/>
      <c r="L109" s="2"/>
    </row>
    <row r="110" ht="15.0" customHeight="1">
      <c r="A110" s="15"/>
      <c r="B110" s="11" t="str">
        <f t="array" ref="B110">IFERROR(INDEX('Patient Bills'!$B:$B,MATCH(A110,'Patient Bills'!$A:$A,0)),"")</f>
        <v/>
      </c>
      <c r="C110" s="15"/>
      <c r="D110" s="15"/>
      <c r="E110" s="12"/>
      <c r="F110" s="12"/>
      <c r="G110" s="12" t="str">
        <f t="shared" si="1"/>
        <v/>
      </c>
      <c r="H110" s="2"/>
      <c r="I110" s="2"/>
      <c r="J110" s="2"/>
      <c r="K110" s="2"/>
      <c r="L110" s="2"/>
    </row>
    <row r="111" ht="15.0" customHeight="1">
      <c r="A111" s="15"/>
      <c r="B111" s="11" t="str">
        <f t="array" ref="B111">IFERROR(INDEX('Patient Bills'!$B:$B,MATCH(A111,'Patient Bills'!$A:$A,0)),"")</f>
        <v/>
      </c>
      <c r="C111" s="15"/>
      <c r="D111" s="15"/>
      <c r="E111" s="12"/>
      <c r="F111" s="12"/>
      <c r="G111" s="12" t="str">
        <f t="shared" si="1"/>
        <v/>
      </c>
      <c r="H111" s="2"/>
      <c r="I111" s="2"/>
      <c r="J111" s="2"/>
      <c r="K111" s="2"/>
      <c r="L111" s="2"/>
    </row>
    <row r="112" ht="15.0" customHeight="1">
      <c r="A112" s="15"/>
      <c r="B112" s="11" t="str">
        <f t="array" ref="B112">IFERROR(INDEX('Patient Bills'!$B:$B,MATCH(A112,'Patient Bills'!$A:$A,0)),"")</f>
        <v/>
      </c>
      <c r="C112" s="15"/>
      <c r="D112" s="15"/>
      <c r="E112" s="12"/>
      <c r="F112" s="12"/>
      <c r="G112" s="12" t="str">
        <f t="shared" si="1"/>
        <v/>
      </c>
      <c r="H112" s="2"/>
      <c r="I112" s="2"/>
      <c r="J112" s="2"/>
      <c r="K112" s="2"/>
      <c r="L112" s="2"/>
    </row>
    <row r="113" ht="15.0" customHeight="1">
      <c r="A113" s="15"/>
      <c r="B113" s="11" t="str">
        <f t="array" ref="B113">IFERROR(INDEX('Patient Bills'!$B:$B,MATCH(A113,'Patient Bills'!$A:$A,0)),"")</f>
        <v/>
      </c>
      <c r="C113" s="15"/>
      <c r="D113" s="15"/>
      <c r="E113" s="12"/>
      <c r="F113" s="12"/>
      <c r="G113" s="12" t="str">
        <f t="shared" si="1"/>
        <v/>
      </c>
      <c r="H113" s="2"/>
      <c r="I113" s="2"/>
      <c r="J113" s="2"/>
      <c r="K113" s="2"/>
      <c r="L113" s="2"/>
    </row>
    <row r="114" ht="15.0" customHeight="1">
      <c r="A114" s="15"/>
      <c r="B114" s="11" t="str">
        <f t="array" ref="B114">IFERROR(INDEX('Patient Bills'!$B:$B,MATCH(A114,'Patient Bills'!$A:$A,0)),"")</f>
        <v/>
      </c>
      <c r="C114" s="15"/>
      <c r="D114" s="15"/>
      <c r="E114" s="12"/>
      <c r="F114" s="12"/>
      <c r="G114" s="12" t="str">
        <f t="shared" si="1"/>
        <v/>
      </c>
      <c r="H114" s="2"/>
      <c r="I114" s="2"/>
      <c r="J114" s="2"/>
      <c r="K114" s="2"/>
      <c r="L114" s="2"/>
    </row>
    <row r="115" ht="15.0" customHeight="1">
      <c r="A115" s="15"/>
      <c r="B115" s="11" t="str">
        <f t="array" ref="B115">IFERROR(INDEX('Patient Bills'!$B:$B,MATCH(A115,'Patient Bills'!$A:$A,0)),"")</f>
        <v/>
      </c>
      <c r="C115" s="15"/>
      <c r="D115" s="15"/>
      <c r="E115" s="12"/>
      <c r="F115" s="12"/>
      <c r="G115" s="12" t="str">
        <f t="shared" si="1"/>
        <v/>
      </c>
      <c r="H115" s="2"/>
      <c r="I115" s="2"/>
      <c r="J115" s="2"/>
      <c r="K115" s="2"/>
      <c r="L115" s="2"/>
    </row>
    <row r="116" ht="15.0" customHeight="1">
      <c r="A116" s="15"/>
      <c r="B116" s="11" t="str">
        <f t="array" ref="B116">IFERROR(INDEX('Patient Bills'!$B:$B,MATCH(A116,'Patient Bills'!$A:$A,0)),"")</f>
        <v/>
      </c>
      <c r="C116" s="15"/>
      <c r="D116" s="15"/>
      <c r="E116" s="12"/>
      <c r="F116" s="12"/>
      <c r="G116" s="12" t="str">
        <f t="shared" si="1"/>
        <v/>
      </c>
      <c r="H116" s="2"/>
      <c r="I116" s="2"/>
      <c r="J116" s="2"/>
      <c r="K116" s="2"/>
      <c r="L116" s="2"/>
    </row>
    <row r="117" ht="15.0" customHeight="1">
      <c r="A117" s="15"/>
      <c r="B117" s="11" t="str">
        <f t="array" ref="B117">IFERROR(INDEX('Patient Bills'!$B:$B,MATCH(A117,'Patient Bills'!$A:$A,0)),"")</f>
        <v/>
      </c>
      <c r="C117" s="15"/>
      <c r="D117" s="15"/>
      <c r="E117" s="12"/>
      <c r="F117" s="12"/>
      <c r="G117" s="12" t="str">
        <f t="shared" si="1"/>
        <v/>
      </c>
      <c r="H117" s="2"/>
      <c r="I117" s="2"/>
      <c r="J117" s="2"/>
      <c r="K117" s="2"/>
      <c r="L117" s="2"/>
    </row>
    <row r="118" ht="15.0" customHeight="1">
      <c r="A118" s="15"/>
      <c r="B118" s="11" t="str">
        <f t="array" ref="B118">IFERROR(INDEX('Patient Bills'!$B:$B,MATCH(A118,'Patient Bills'!$A:$A,0)),"")</f>
        <v/>
      </c>
      <c r="C118" s="15"/>
      <c r="D118" s="15"/>
      <c r="E118" s="12"/>
      <c r="F118" s="12"/>
      <c r="G118" s="12" t="str">
        <f t="shared" si="1"/>
        <v/>
      </c>
      <c r="H118" s="2"/>
      <c r="I118" s="2"/>
      <c r="J118" s="2"/>
      <c r="K118" s="2"/>
      <c r="L118" s="2"/>
    </row>
    <row r="119" ht="15.0" customHeight="1">
      <c r="A119" s="15"/>
      <c r="B119" s="11" t="str">
        <f t="array" ref="B119">IFERROR(INDEX('Patient Bills'!$B:$B,MATCH(A119,'Patient Bills'!$A:$A,0)),"")</f>
        <v/>
      </c>
      <c r="C119" s="15"/>
      <c r="D119" s="15"/>
      <c r="E119" s="12"/>
      <c r="F119" s="12"/>
      <c r="G119" s="12" t="str">
        <f t="shared" si="1"/>
        <v/>
      </c>
      <c r="H119" s="2"/>
      <c r="I119" s="2"/>
      <c r="J119" s="2"/>
      <c r="K119" s="2"/>
      <c r="L119" s="2"/>
    </row>
    <row r="120" ht="15.0" customHeight="1">
      <c r="A120" s="15"/>
      <c r="B120" s="11" t="str">
        <f t="array" ref="B120">IFERROR(INDEX('Patient Bills'!$B:$B,MATCH(A120,'Patient Bills'!$A:$A,0)),"")</f>
        <v/>
      </c>
      <c r="C120" s="15"/>
      <c r="D120" s="15"/>
      <c r="E120" s="12"/>
      <c r="F120" s="12"/>
      <c r="G120" s="12" t="str">
        <f t="shared" si="1"/>
        <v/>
      </c>
      <c r="H120" s="2"/>
      <c r="I120" s="2"/>
      <c r="J120" s="2"/>
      <c r="K120" s="2"/>
      <c r="L120" s="2"/>
    </row>
    <row r="121" ht="15.0" customHeight="1">
      <c r="A121" s="15"/>
      <c r="B121" s="11" t="str">
        <f t="array" ref="B121">IFERROR(INDEX('Patient Bills'!$B:$B,MATCH(A121,'Patient Bills'!$A:$A,0)),"")</f>
        <v/>
      </c>
      <c r="C121" s="15"/>
      <c r="D121" s="15"/>
      <c r="E121" s="12"/>
      <c r="F121" s="12"/>
      <c r="G121" s="12" t="str">
        <f t="shared" si="1"/>
        <v/>
      </c>
      <c r="H121" s="2"/>
      <c r="I121" s="2"/>
      <c r="J121" s="2"/>
      <c r="K121" s="2"/>
      <c r="L121" s="2"/>
    </row>
    <row r="122" ht="15.0" customHeight="1">
      <c r="A122" s="15"/>
      <c r="B122" s="11" t="str">
        <f t="array" ref="B122">IFERROR(INDEX('Patient Bills'!$B:$B,MATCH(A122,'Patient Bills'!$A:$A,0)),"")</f>
        <v/>
      </c>
      <c r="C122" s="15"/>
      <c r="D122" s="15"/>
      <c r="E122" s="12"/>
      <c r="F122" s="12"/>
      <c r="G122" s="12" t="str">
        <f t="shared" si="1"/>
        <v/>
      </c>
      <c r="H122" s="2"/>
      <c r="I122" s="2"/>
      <c r="J122" s="2"/>
      <c r="K122" s="2"/>
      <c r="L122" s="2"/>
    </row>
    <row r="123" ht="15.0" customHeight="1">
      <c r="A123" s="15"/>
      <c r="B123" s="11" t="str">
        <f t="array" ref="B123">IFERROR(INDEX('Patient Bills'!$B:$B,MATCH(A123,'Patient Bills'!$A:$A,0)),"")</f>
        <v/>
      </c>
      <c r="C123" s="15"/>
      <c r="D123" s="15"/>
      <c r="E123" s="12"/>
      <c r="F123" s="12"/>
      <c r="G123" s="12" t="str">
        <f t="shared" si="1"/>
        <v/>
      </c>
      <c r="H123" s="2"/>
      <c r="I123" s="2"/>
      <c r="J123" s="2"/>
      <c r="K123" s="2"/>
      <c r="L123" s="2"/>
    </row>
    <row r="124" ht="15.0" customHeight="1">
      <c r="A124" s="15"/>
      <c r="B124" s="11" t="str">
        <f t="array" ref="B124">IFERROR(INDEX('Patient Bills'!$B:$B,MATCH(A124,'Patient Bills'!$A:$A,0)),"")</f>
        <v/>
      </c>
      <c r="C124" s="15"/>
      <c r="D124" s="15"/>
      <c r="E124" s="12"/>
      <c r="F124" s="12"/>
      <c r="G124" s="12" t="str">
        <f t="shared" si="1"/>
        <v/>
      </c>
      <c r="H124" s="2"/>
      <c r="I124" s="2"/>
      <c r="J124" s="2"/>
      <c r="K124" s="2"/>
      <c r="L124" s="2"/>
    </row>
    <row r="125" ht="15.0" customHeight="1">
      <c r="A125" s="15"/>
      <c r="B125" s="11" t="str">
        <f t="array" ref="B125">IFERROR(INDEX('Patient Bills'!$B:$B,MATCH(A125,'Patient Bills'!$A:$A,0)),"")</f>
        <v/>
      </c>
      <c r="C125" s="15"/>
      <c r="D125" s="15"/>
      <c r="E125" s="12"/>
      <c r="F125" s="12"/>
      <c r="G125" s="12" t="str">
        <f t="shared" si="1"/>
        <v/>
      </c>
      <c r="H125" s="2"/>
      <c r="I125" s="2"/>
      <c r="J125" s="2"/>
      <c r="K125" s="2"/>
      <c r="L125" s="2"/>
    </row>
    <row r="126" ht="15.0" customHeight="1">
      <c r="A126" s="15"/>
      <c r="B126" s="11" t="str">
        <f t="array" ref="B126">IFERROR(INDEX('Patient Bills'!$B:$B,MATCH(A126,'Patient Bills'!$A:$A,0)),"")</f>
        <v/>
      </c>
      <c r="C126" s="15"/>
      <c r="D126" s="15"/>
      <c r="E126" s="12"/>
      <c r="F126" s="12"/>
      <c r="G126" s="12" t="str">
        <f t="shared" si="1"/>
        <v/>
      </c>
      <c r="H126" s="2"/>
      <c r="I126" s="2"/>
      <c r="J126" s="2"/>
      <c r="K126" s="2"/>
      <c r="L126" s="2"/>
    </row>
    <row r="127" ht="15.0" customHeight="1">
      <c r="A127" s="15"/>
      <c r="B127" s="11" t="str">
        <f t="array" ref="B127">IFERROR(INDEX('Patient Bills'!$B:$B,MATCH(A127,'Patient Bills'!$A:$A,0)),"")</f>
        <v/>
      </c>
      <c r="C127" s="15"/>
      <c r="D127" s="15"/>
      <c r="E127" s="12"/>
      <c r="F127" s="12"/>
      <c r="G127" s="12" t="str">
        <f t="shared" si="1"/>
        <v/>
      </c>
      <c r="H127" s="2"/>
      <c r="I127" s="2"/>
      <c r="J127" s="2"/>
      <c r="K127" s="2"/>
      <c r="L127" s="2"/>
    </row>
    <row r="128" ht="15.0" customHeight="1">
      <c r="A128" s="15"/>
      <c r="B128" s="11" t="str">
        <f t="array" ref="B128">IFERROR(INDEX('Patient Bills'!$B:$B,MATCH(A128,'Patient Bills'!$A:$A,0)),"")</f>
        <v/>
      </c>
      <c r="C128" s="15"/>
      <c r="D128" s="15"/>
      <c r="E128" s="12"/>
      <c r="F128" s="12"/>
      <c r="G128" s="12" t="str">
        <f t="shared" si="1"/>
        <v/>
      </c>
      <c r="H128" s="2"/>
      <c r="I128" s="2"/>
      <c r="J128" s="2"/>
      <c r="K128" s="2"/>
      <c r="L128" s="2"/>
    </row>
    <row r="129" ht="15.0" customHeight="1">
      <c r="A129" s="15"/>
      <c r="B129" s="11" t="str">
        <f t="array" ref="B129">IFERROR(INDEX('Patient Bills'!$B:$B,MATCH(A129,'Patient Bills'!$A:$A,0)),"")</f>
        <v/>
      </c>
      <c r="C129" s="15"/>
      <c r="D129" s="15"/>
      <c r="E129" s="12"/>
      <c r="F129" s="12"/>
      <c r="G129" s="12" t="str">
        <f t="shared" si="1"/>
        <v/>
      </c>
      <c r="H129" s="2"/>
      <c r="I129" s="2"/>
      <c r="J129" s="2"/>
      <c r="K129" s="2"/>
      <c r="L129" s="2"/>
    </row>
    <row r="130" ht="15.0" customHeight="1">
      <c r="A130" s="15"/>
      <c r="B130" s="11" t="str">
        <f t="array" ref="B130">IFERROR(INDEX('Patient Bills'!$B:$B,MATCH(A130,'Patient Bills'!$A:$A,0)),"")</f>
        <v/>
      </c>
      <c r="C130" s="15"/>
      <c r="D130" s="15"/>
      <c r="E130" s="12"/>
      <c r="F130" s="12"/>
      <c r="G130" s="12" t="str">
        <f t="shared" si="1"/>
        <v/>
      </c>
      <c r="H130" s="2"/>
      <c r="I130" s="2"/>
      <c r="J130" s="2"/>
      <c r="K130" s="2"/>
      <c r="L130" s="2"/>
    </row>
    <row r="131" ht="15.0" customHeight="1">
      <c r="A131" s="15"/>
      <c r="B131" s="11" t="str">
        <f t="array" ref="B131">IFERROR(INDEX('Patient Bills'!$B:$B,MATCH(A131,'Patient Bills'!$A:$A,0)),"")</f>
        <v/>
      </c>
      <c r="C131" s="15"/>
      <c r="D131" s="15"/>
      <c r="E131" s="12"/>
      <c r="F131" s="12"/>
      <c r="G131" s="12" t="str">
        <f t="shared" si="1"/>
        <v/>
      </c>
      <c r="H131" s="2"/>
      <c r="I131" s="2"/>
      <c r="J131" s="2"/>
      <c r="K131" s="2"/>
      <c r="L131" s="2"/>
    </row>
    <row r="132" ht="15.0" customHeight="1">
      <c r="A132" s="15"/>
      <c r="B132" s="11" t="str">
        <f t="array" ref="B132">IFERROR(INDEX('Patient Bills'!$B:$B,MATCH(A132,'Patient Bills'!$A:$A,0)),"")</f>
        <v/>
      </c>
      <c r="C132" s="15"/>
      <c r="D132" s="15"/>
      <c r="E132" s="12"/>
      <c r="F132" s="12"/>
      <c r="G132" s="12" t="str">
        <f t="shared" si="1"/>
        <v/>
      </c>
      <c r="H132" s="2"/>
      <c r="I132" s="2"/>
      <c r="J132" s="2"/>
      <c r="K132" s="2"/>
      <c r="L132" s="2"/>
    </row>
    <row r="133" ht="15.0" customHeight="1">
      <c r="A133" s="15"/>
      <c r="B133" s="11" t="str">
        <f t="array" ref="B133">IFERROR(INDEX('Patient Bills'!$B:$B,MATCH(A133,'Patient Bills'!$A:$A,0)),"")</f>
        <v/>
      </c>
      <c r="C133" s="15"/>
      <c r="D133" s="15"/>
      <c r="E133" s="12"/>
      <c r="F133" s="12"/>
      <c r="G133" s="12" t="str">
        <f t="shared" si="1"/>
        <v/>
      </c>
      <c r="H133" s="2"/>
      <c r="I133" s="2"/>
      <c r="J133" s="2"/>
      <c r="K133" s="2"/>
      <c r="L133" s="2"/>
    </row>
    <row r="134" ht="15.0" customHeight="1">
      <c r="A134" s="15"/>
      <c r="B134" s="11" t="str">
        <f t="array" ref="B134">IFERROR(INDEX('Patient Bills'!$B:$B,MATCH(A134,'Patient Bills'!$A:$A,0)),"")</f>
        <v/>
      </c>
      <c r="C134" s="15"/>
      <c r="D134" s="15"/>
      <c r="E134" s="12"/>
      <c r="F134" s="12"/>
      <c r="G134" s="12" t="str">
        <f t="shared" si="1"/>
        <v/>
      </c>
      <c r="H134" s="2"/>
      <c r="I134" s="2"/>
      <c r="J134" s="2"/>
      <c r="K134" s="2"/>
      <c r="L134" s="2"/>
    </row>
    <row r="135" ht="15.0" customHeight="1">
      <c r="A135" s="15"/>
      <c r="B135" s="11" t="str">
        <f t="array" ref="B135">IFERROR(INDEX('Patient Bills'!$B:$B,MATCH(A135,'Patient Bills'!$A:$A,0)),"")</f>
        <v/>
      </c>
      <c r="C135" s="15"/>
      <c r="D135" s="15"/>
      <c r="E135" s="12"/>
      <c r="F135" s="12"/>
      <c r="G135" s="12" t="str">
        <f t="shared" si="1"/>
        <v/>
      </c>
      <c r="H135" s="2"/>
      <c r="I135" s="2"/>
      <c r="J135" s="2"/>
      <c r="K135" s="2"/>
      <c r="L135" s="2"/>
    </row>
    <row r="136" ht="15.0" customHeight="1">
      <c r="A136" s="15"/>
      <c r="B136" s="11" t="str">
        <f t="array" ref="B136">IFERROR(INDEX('Patient Bills'!$B:$B,MATCH(A136,'Patient Bills'!$A:$A,0)),"")</f>
        <v/>
      </c>
      <c r="C136" s="15"/>
      <c r="D136" s="15"/>
      <c r="E136" s="12"/>
      <c r="F136" s="12"/>
      <c r="G136" s="12" t="str">
        <f t="shared" si="1"/>
        <v/>
      </c>
      <c r="H136" s="2"/>
      <c r="I136" s="2"/>
      <c r="J136" s="2"/>
      <c r="K136" s="2"/>
      <c r="L136" s="2"/>
    </row>
    <row r="137" ht="15.0" customHeight="1">
      <c r="A137" s="15"/>
      <c r="B137" s="11" t="str">
        <f t="array" ref="B137">IFERROR(INDEX('Patient Bills'!$B:$B,MATCH(A137,'Patient Bills'!$A:$A,0)),"")</f>
        <v/>
      </c>
      <c r="C137" s="15"/>
      <c r="D137" s="15"/>
      <c r="E137" s="12"/>
      <c r="F137" s="12"/>
      <c r="G137" s="12" t="str">
        <f t="shared" si="1"/>
        <v/>
      </c>
      <c r="H137" s="2"/>
      <c r="I137" s="2"/>
      <c r="J137" s="2"/>
      <c r="K137" s="2"/>
      <c r="L137" s="2"/>
    </row>
    <row r="138" ht="15.0" customHeight="1">
      <c r="A138" s="15"/>
      <c r="B138" s="11" t="str">
        <f t="array" ref="B138">IFERROR(INDEX('Patient Bills'!$B:$B,MATCH(A138,'Patient Bills'!$A:$A,0)),"")</f>
        <v/>
      </c>
      <c r="C138" s="15"/>
      <c r="D138" s="15"/>
      <c r="E138" s="12"/>
      <c r="F138" s="12"/>
      <c r="G138" s="12" t="str">
        <f t="shared" si="1"/>
        <v/>
      </c>
      <c r="H138" s="2"/>
      <c r="I138" s="2"/>
      <c r="J138" s="2"/>
      <c r="K138" s="2"/>
      <c r="L138" s="2"/>
    </row>
    <row r="139" ht="15.0" customHeight="1">
      <c r="A139" s="15"/>
      <c r="B139" s="11" t="str">
        <f t="array" ref="B139">IFERROR(INDEX('Patient Bills'!$B:$B,MATCH(A139,'Patient Bills'!$A:$A,0)),"")</f>
        <v/>
      </c>
      <c r="C139" s="15"/>
      <c r="D139" s="15"/>
      <c r="E139" s="12"/>
      <c r="F139" s="12"/>
      <c r="G139" s="12" t="str">
        <f t="shared" si="1"/>
        <v/>
      </c>
      <c r="H139" s="2"/>
      <c r="I139" s="2"/>
      <c r="J139" s="2"/>
      <c r="K139" s="2"/>
      <c r="L139" s="2"/>
    </row>
    <row r="140" ht="15.0" customHeight="1">
      <c r="A140" s="15"/>
      <c r="B140" s="11" t="str">
        <f t="array" ref="B140">IFERROR(INDEX('Patient Bills'!$B:$B,MATCH(A140,'Patient Bills'!$A:$A,0)),"")</f>
        <v/>
      </c>
      <c r="C140" s="15"/>
      <c r="D140" s="15"/>
      <c r="E140" s="12"/>
      <c r="F140" s="12"/>
      <c r="G140" s="12" t="str">
        <f t="shared" si="1"/>
        <v/>
      </c>
      <c r="H140" s="2"/>
      <c r="I140" s="2"/>
      <c r="J140" s="2"/>
      <c r="K140" s="2"/>
      <c r="L140" s="2"/>
    </row>
    <row r="141" ht="15.0" customHeight="1">
      <c r="A141" s="15"/>
      <c r="B141" s="11" t="str">
        <f t="array" ref="B141">IFERROR(INDEX('Patient Bills'!$B:$B,MATCH(A141,'Patient Bills'!$A:$A,0)),"")</f>
        <v/>
      </c>
      <c r="C141" s="15"/>
      <c r="D141" s="15"/>
      <c r="E141" s="12"/>
      <c r="F141" s="12"/>
      <c r="G141" s="12" t="str">
        <f t="shared" si="1"/>
        <v/>
      </c>
      <c r="H141" s="2"/>
      <c r="I141" s="2"/>
      <c r="J141" s="2"/>
      <c r="K141" s="2"/>
      <c r="L141" s="2"/>
    </row>
    <row r="142" ht="15.0" customHeight="1">
      <c r="A142" s="15"/>
      <c r="B142" s="11" t="str">
        <f t="array" ref="B142">IFERROR(INDEX('Patient Bills'!$B:$B,MATCH(A142,'Patient Bills'!$A:$A,0)),"")</f>
        <v/>
      </c>
      <c r="C142" s="15"/>
      <c r="D142" s="15"/>
      <c r="E142" s="12"/>
      <c r="F142" s="12"/>
      <c r="G142" s="12" t="str">
        <f t="shared" si="1"/>
        <v/>
      </c>
      <c r="H142" s="2"/>
      <c r="I142" s="2"/>
      <c r="J142" s="2"/>
      <c r="K142" s="2"/>
      <c r="L142" s="2"/>
    </row>
    <row r="143" ht="15.0" customHeight="1">
      <c r="A143" s="15"/>
      <c r="B143" s="11" t="str">
        <f t="array" ref="B143">IFERROR(INDEX('Patient Bills'!$B:$B,MATCH(A143,'Patient Bills'!$A:$A,0)),"")</f>
        <v/>
      </c>
      <c r="C143" s="15"/>
      <c r="D143" s="15"/>
      <c r="E143" s="12"/>
      <c r="F143" s="12"/>
      <c r="G143" s="12" t="str">
        <f t="shared" si="1"/>
        <v/>
      </c>
      <c r="H143" s="2"/>
      <c r="I143" s="2"/>
      <c r="J143" s="2"/>
      <c r="K143" s="2"/>
      <c r="L143" s="2"/>
    </row>
    <row r="144" ht="15.0" customHeight="1">
      <c r="A144" s="15"/>
      <c r="B144" s="11" t="str">
        <f t="array" ref="B144">IFERROR(INDEX('Patient Bills'!$B:$B,MATCH(A144,'Patient Bills'!$A:$A,0)),"")</f>
        <v/>
      </c>
      <c r="C144" s="15"/>
      <c r="D144" s="15"/>
      <c r="E144" s="12"/>
      <c r="F144" s="12"/>
      <c r="G144" s="12" t="str">
        <f t="shared" si="1"/>
        <v/>
      </c>
      <c r="H144" s="2"/>
      <c r="I144" s="2"/>
      <c r="J144" s="2"/>
      <c r="K144" s="2"/>
      <c r="L144" s="2"/>
    </row>
    <row r="145" ht="15.0" customHeight="1">
      <c r="A145" s="15"/>
      <c r="B145" s="11" t="str">
        <f t="array" ref="B145">IFERROR(INDEX('Patient Bills'!$B:$B,MATCH(A145,'Patient Bills'!$A:$A,0)),"")</f>
        <v/>
      </c>
      <c r="C145" s="15"/>
      <c r="D145" s="15"/>
      <c r="E145" s="12"/>
      <c r="F145" s="12"/>
      <c r="G145" s="12" t="str">
        <f t="shared" si="1"/>
        <v/>
      </c>
      <c r="H145" s="2"/>
      <c r="I145" s="2"/>
      <c r="J145" s="2"/>
      <c r="K145" s="2"/>
      <c r="L145" s="2"/>
    </row>
    <row r="146" ht="15.0" customHeight="1">
      <c r="A146" s="15"/>
      <c r="B146" s="11" t="str">
        <f t="array" ref="B146">IFERROR(INDEX('Patient Bills'!$B:$B,MATCH(A146,'Patient Bills'!$A:$A,0)),"")</f>
        <v/>
      </c>
      <c r="C146" s="15"/>
      <c r="D146" s="15"/>
      <c r="E146" s="12"/>
      <c r="F146" s="12"/>
      <c r="G146" s="12" t="str">
        <f t="shared" si="1"/>
        <v/>
      </c>
      <c r="H146" s="2"/>
      <c r="I146" s="2"/>
      <c r="J146" s="2"/>
      <c r="K146" s="2"/>
      <c r="L146" s="2"/>
    </row>
    <row r="147" ht="15.0" customHeight="1">
      <c r="A147" s="15"/>
      <c r="B147" s="11" t="str">
        <f t="array" ref="B147">IFERROR(INDEX('Patient Bills'!$B:$B,MATCH(A147,'Patient Bills'!$A:$A,0)),"")</f>
        <v/>
      </c>
      <c r="C147" s="15"/>
      <c r="D147" s="15"/>
      <c r="E147" s="12"/>
      <c r="F147" s="12"/>
      <c r="G147" s="12" t="str">
        <f t="shared" si="1"/>
        <v/>
      </c>
      <c r="H147" s="2"/>
      <c r="I147" s="2"/>
      <c r="J147" s="2"/>
      <c r="K147" s="2"/>
      <c r="L147" s="2"/>
    </row>
    <row r="148" ht="15.0" customHeight="1">
      <c r="A148" s="15"/>
      <c r="B148" s="11" t="str">
        <f t="array" ref="B148">IFERROR(INDEX('Patient Bills'!$B:$B,MATCH(A148,'Patient Bills'!$A:$A,0)),"")</f>
        <v/>
      </c>
      <c r="C148" s="15"/>
      <c r="D148" s="15"/>
      <c r="E148" s="12"/>
      <c r="F148" s="12"/>
      <c r="G148" s="12" t="str">
        <f t="shared" si="1"/>
        <v/>
      </c>
      <c r="H148" s="2"/>
      <c r="I148" s="2"/>
      <c r="J148" s="2"/>
      <c r="K148" s="2"/>
      <c r="L148" s="2"/>
    </row>
    <row r="149" ht="15.0" customHeight="1">
      <c r="A149" s="15"/>
      <c r="B149" s="11" t="str">
        <f t="array" ref="B149">IFERROR(INDEX('Patient Bills'!$B:$B,MATCH(A149,'Patient Bills'!$A:$A,0)),"")</f>
        <v/>
      </c>
      <c r="C149" s="15"/>
      <c r="D149" s="15"/>
      <c r="E149" s="12"/>
      <c r="F149" s="12"/>
      <c r="G149" s="12" t="str">
        <f t="shared" si="1"/>
        <v/>
      </c>
      <c r="H149" s="2"/>
      <c r="I149" s="2"/>
      <c r="J149" s="2"/>
      <c r="K149" s="2"/>
      <c r="L149" s="2"/>
    </row>
    <row r="150" ht="15.0" customHeight="1">
      <c r="A150" s="15"/>
      <c r="B150" s="11" t="str">
        <f t="array" ref="B150">IFERROR(INDEX('Patient Bills'!$B:$B,MATCH(A150,'Patient Bills'!$A:$A,0)),"")</f>
        <v/>
      </c>
      <c r="C150" s="15"/>
      <c r="D150" s="15"/>
      <c r="E150" s="12"/>
      <c r="F150" s="12"/>
      <c r="G150" s="12" t="str">
        <f t="shared" si="1"/>
        <v/>
      </c>
      <c r="H150" s="2"/>
      <c r="I150" s="2"/>
      <c r="J150" s="2"/>
      <c r="K150" s="2"/>
      <c r="L150" s="2"/>
    </row>
    <row r="151" ht="15.0" customHeight="1">
      <c r="A151" s="15"/>
      <c r="B151" s="11" t="str">
        <f t="array" ref="B151">IFERROR(INDEX('Patient Bills'!$B:$B,MATCH(A151,'Patient Bills'!$A:$A,0)),"")</f>
        <v/>
      </c>
      <c r="C151" s="15"/>
      <c r="D151" s="15"/>
      <c r="E151" s="12"/>
      <c r="F151" s="12"/>
      <c r="G151" s="12" t="str">
        <f t="shared" si="1"/>
        <v/>
      </c>
      <c r="H151" s="2"/>
      <c r="I151" s="2"/>
      <c r="J151" s="2"/>
      <c r="K151" s="2"/>
      <c r="L151" s="2"/>
    </row>
    <row r="152" ht="15.0" customHeight="1">
      <c r="A152" s="15"/>
      <c r="B152" s="11" t="str">
        <f t="array" ref="B152">IFERROR(INDEX('Patient Bills'!$B:$B,MATCH(A152,'Patient Bills'!$A:$A,0)),"")</f>
        <v/>
      </c>
      <c r="C152" s="15"/>
      <c r="D152" s="15"/>
      <c r="E152" s="12"/>
      <c r="F152" s="12"/>
      <c r="G152" s="12" t="str">
        <f t="shared" si="1"/>
        <v/>
      </c>
      <c r="H152" s="2"/>
      <c r="I152" s="2"/>
      <c r="J152" s="2"/>
      <c r="K152" s="2"/>
      <c r="L152" s="2"/>
    </row>
    <row r="153" ht="15.0" customHeight="1">
      <c r="A153" s="15"/>
      <c r="B153" s="11" t="str">
        <f t="array" ref="B153">IFERROR(INDEX('Patient Bills'!$B:$B,MATCH(A153,'Patient Bills'!$A:$A,0)),"")</f>
        <v/>
      </c>
      <c r="C153" s="15"/>
      <c r="D153" s="15"/>
      <c r="E153" s="12"/>
      <c r="F153" s="12"/>
      <c r="G153" s="12" t="str">
        <f t="shared" si="1"/>
        <v/>
      </c>
      <c r="H153" s="2"/>
      <c r="I153" s="2"/>
      <c r="J153" s="2"/>
      <c r="K153" s="2"/>
      <c r="L153" s="2"/>
    </row>
    <row r="154" ht="15.0" customHeight="1">
      <c r="A154" s="15"/>
      <c r="B154" s="11" t="str">
        <f t="array" ref="B154">IFERROR(INDEX('Patient Bills'!$B:$B,MATCH(A154,'Patient Bills'!$A:$A,0)),"")</f>
        <v/>
      </c>
      <c r="C154" s="15"/>
      <c r="D154" s="15"/>
      <c r="E154" s="12"/>
      <c r="F154" s="12"/>
      <c r="G154" s="12" t="str">
        <f t="shared" si="1"/>
        <v/>
      </c>
      <c r="H154" s="2"/>
      <c r="I154" s="2"/>
      <c r="J154" s="2"/>
      <c r="K154" s="2"/>
      <c r="L154" s="2"/>
    </row>
    <row r="155" ht="15.0" customHeight="1">
      <c r="A155" s="15"/>
      <c r="B155" s="11" t="str">
        <f t="array" ref="B155">IFERROR(INDEX('Patient Bills'!$B:$B,MATCH(A155,'Patient Bills'!$A:$A,0)),"")</f>
        <v/>
      </c>
      <c r="C155" s="15"/>
      <c r="D155" s="15"/>
      <c r="E155" s="12"/>
      <c r="F155" s="12"/>
      <c r="G155" s="12" t="str">
        <f t="shared" si="1"/>
        <v/>
      </c>
      <c r="H155" s="2"/>
      <c r="I155" s="2"/>
      <c r="J155" s="2"/>
      <c r="K155" s="2"/>
      <c r="L155" s="2"/>
    </row>
    <row r="156" ht="15.0" customHeight="1">
      <c r="A156" s="15"/>
      <c r="B156" s="11" t="str">
        <f t="array" ref="B156">IFERROR(INDEX('Patient Bills'!$B:$B,MATCH(A156,'Patient Bills'!$A:$A,0)),"")</f>
        <v/>
      </c>
      <c r="C156" s="15"/>
      <c r="D156" s="15"/>
      <c r="E156" s="12"/>
      <c r="F156" s="12"/>
      <c r="G156" s="12" t="str">
        <f t="shared" si="1"/>
        <v/>
      </c>
      <c r="H156" s="2"/>
      <c r="I156" s="2"/>
      <c r="J156" s="2"/>
      <c r="K156" s="2"/>
      <c r="L156" s="2"/>
    </row>
    <row r="157" ht="15.0" customHeight="1">
      <c r="A157" s="15"/>
      <c r="B157" s="11" t="str">
        <f t="array" ref="B157">IFERROR(INDEX('Patient Bills'!$B:$B,MATCH(A157,'Patient Bills'!$A:$A,0)),"")</f>
        <v/>
      </c>
      <c r="C157" s="15"/>
      <c r="D157" s="15"/>
      <c r="E157" s="12"/>
      <c r="F157" s="12"/>
      <c r="G157" s="12" t="str">
        <f t="shared" si="1"/>
        <v/>
      </c>
      <c r="H157" s="2"/>
      <c r="I157" s="2"/>
      <c r="J157" s="2"/>
      <c r="K157" s="2"/>
      <c r="L157" s="2"/>
    </row>
    <row r="158" ht="15.0" customHeight="1">
      <c r="A158" s="15"/>
      <c r="B158" s="11" t="str">
        <f t="array" ref="B158">IFERROR(INDEX('Patient Bills'!$B:$B,MATCH(A158,'Patient Bills'!$A:$A,0)),"")</f>
        <v/>
      </c>
      <c r="C158" s="15"/>
      <c r="D158" s="15"/>
      <c r="E158" s="12"/>
      <c r="F158" s="12"/>
      <c r="G158" s="12" t="str">
        <f t="shared" si="1"/>
        <v/>
      </c>
      <c r="H158" s="2"/>
      <c r="I158" s="2"/>
      <c r="J158" s="2"/>
      <c r="K158" s="2"/>
      <c r="L158" s="2"/>
    </row>
    <row r="159" ht="15.0" customHeight="1">
      <c r="A159" s="15"/>
      <c r="B159" s="11" t="str">
        <f t="array" ref="B159">IFERROR(INDEX('Patient Bills'!$B:$B,MATCH(A159,'Patient Bills'!$A:$A,0)),"")</f>
        <v/>
      </c>
      <c r="C159" s="15"/>
      <c r="D159" s="15"/>
      <c r="E159" s="12"/>
      <c r="F159" s="12"/>
      <c r="G159" s="12" t="str">
        <f t="shared" si="1"/>
        <v/>
      </c>
      <c r="H159" s="2"/>
      <c r="I159" s="2"/>
      <c r="J159" s="2"/>
      <c r="K159" s="2"/>
      <c r="L159" s="2"/>
    </row>
    <row r="160" ht="15.0" customHeight="1">
      <c r="A160" s="15"/>
      <c r="B160" s="11" t="str">
        <f t="array" ref="B160">IFERROR(INDEX('Patient Bills'!$B:$B,MATCH(A160,'Patient Bills'!$A:$A,0)),"")</f>
        <v/>
      </c>
      <c r="C160" s="15"/>
      <c r="D160" s="15"/>
      <c r="E160" s="12"/>
      <c r="F160" s="12"/>
      <c r="G160" s="12" t="str">
        <f t="shared" si="1"/>
        <v/>
      </c>
      <c r="H160" s="2"/>
      <c r="I160" s="2"/>
      <c r="J160" s="2"/>
      <c r="K160" s="2"/>
      <c r="L160" s="2"/>
    </row>
    <row r="161" ht="15.0" customHeight="1">
      <c r="A161" s="15"/>
      <c r="B161" s="11" t="str">
        <f t="array" ref="B161">IFERROR(INDEX('Patient Bills'!$B:$B,MATCH(A161,'Patient Bills'!$A:$A,0)),"")</f>
        <v/>
      </c>
      <c r="C161" s="15"/>
      <c r="D161" s="15"/>
      <c r="E161" s="12"/>
      <c r="F161" s="12"/>
      <c r="G161" s="12" t="str">
        <f t="shared" si="1"/>
        <v/>
      </c>
      <c r="H161" s="2"/>
      <c r="I161" s="2"/>
      <c r="J161" s="2"/>
      <c r="K161" s="2"/>
      <c r="L161" s="2"/>
    </row>
    <row r="162" ht="15.0" customHeight="1">
      <c r="A162" s="15"/>
      <c r="B162" s="11" t="str">
        <f t="array" ref="B162">IFERROR(INDEX('Patient Bills'!$B:$B,MATCH(A162,'Patient Bills'!$A:$A,0)),"")</f>
        <v/>
      </c>
      <c r="C162" s="15"/>
      <c r="D162" s="15"/>
      <c r="E162" s="12"/>
      <c r="F162" s="12"/>
      <c r="G162" s="12" t="str">
        <f t="shared" si="1"/>
        <v/>
      </c>
      <c r="H162" s="2"/>
      <c r="I162" s="2"/>
      <c r="J162" s="2"/>
      <c r="K162" s="2"/>
      <c r="L162" s="2"/>
    </row>
    <row r="163" ht="15.0" customHeight="1">
      <c r="A163" s="15"/>
      <c r="B163" s="11" t="str">
        <f t="array" ref="B163">IFERROR(INDEX('Patient Bills'!$B:$B,MATCH(A163,'Patient Bills'!$A:$A,0)),"")</f>
        <v/>
      </c>
      <c r="C163" s="15"/>
      <c r="D163" s="15"/>
      <c r="E163" s="12"/>
      <c r="F163" s="12"/>
      <c r="G163" s="12" t="str">
        <f t="shared" si="1"/>
        <v/>
      </c>
      <c r="H163" s="2"/>
      <c r="I163" s="2"/>
      <c r="J163" s="2"/>
      <c r="K163" s="2"/>
      <c r="L163" s="2"/>
    </row>
    <row r="164" ht="15.0" customHeight="1">
      <c r="A164" s="15"/>
      <c r="B164" s="11" t="str">
        <f t="array" ref="B164">IFERROR(INDEX('Patient Bills'!$B:$B,MATCH(A164,'Patient Bills'!$A:$A,0)),"")</f>
        <v/>
      </c>
      <c r="C164" s="15"/>
      <c r="D164" s="15"/>
      <c r="E164" s="12"/>
      <c r="F164" s="12"/>
      <c r="G164" s="12" t="str">
        <f t="shared" si="1"/>
        <v/>
      </c>
      <c r="H164" s="2"/>
      <c r="I164" s="2"/>
      <c r="J164" s="2"/>
      <c r="K164" s="2"/>
      <c r="L164" s="2"/>
    </row>
    <row r="165" ht="15.0" customHeight="1">
      <c r="A165" s="15"/>
      <c r="B165" s="11" t="str">
        <f t="array" ref="B165">IFERROR(INDEX('Patient Bills'!$B:$B,MATCH(A165,'Patient Bills'!$A:$A,0)),"")</f>
        <v/>
      </c>
      <c r="C165" s="15"/>
      <c r="D165" s="15"/>
      <c r="E165" s="12"/>
      <c r="F165" s="12"/>
      <c r="G165" s="12" t="str">
        <f t="shared" si="1"/>
        <v/>
      </c>
      <c r="H165" s="2"/>
      <c r="I165" s="2"/>
      <c r="J165" s="2"/>
      <c r="K165" s="2"/>
      <c r="L165" s="2"/>
    </row>
    <row r="166" ht="15.0" customHeight="1">
      <c r="A166" s="15"/>
      <c r="B166" s="11" t="str">
        <f t="array" ref="B166">IFERROR(INDEX('Patient Bills'!$B:$B,MATCH(A166,'Patient Bills'!$A:$A,0)),"")</f>
        <v/>
      </c>
      <c r="C166" s="15"/>
      <c r="D166" s="15"/>
      <c r="E166" s="12"/>
      <c r="F166" s="12"/>
      <c r="G166" s="12" t="str">
        <f t="shared" si="1"/>
        <v/>
      </c>
      <c r="H166" s="2"/>
      <c r="I166" s="2"/>
      <c r="J166" s="2"/>
      <c r="K166" s="2"/>
      <c r="L166" s="2"/>
    </row>
    <row r="167" ht="15.0" customHeight="1">
      <c r="A167" s="15"/>
      <c r="B167" s="11" t="str">
        <f t="array" ref="B167">IFERROR(INDEX('Patient Bills'!$B:$B,MATCH(A167,'Patient Bills'!$A:$A,0)),"")</f>
        <v/>
      </c>
      <c r="C167" s="15"/>
      <c r="D167" s="15"/>
      <c r="E167" s="12"/>
      <c r="F167" s="12"/>
      <c r="G167" s="12" t="str">
        <f t="shared" si="1"/>
        <v/>
      </c>
      <c r="H167" s="2"/>
      <c r="I167" s="2"/>
      <c r="J167" s="2"/>
      <c r="K167" s="2"/>
      <c r="L167" s="2"/>
    </row>
    <row r="168" ht="15.0" customHeight="1">
      <c r="A168" s="15"/>
      <c r="B168" s="11" t="str">
        <f t="array" ref="B168">IFERROR(INDEX('Patient Bills'!$B:$B,MATCH(A168,'Patient Bills'!$A:$A,0)),"")</f>
        <v/>
      </c>
      <c r="C168" s="15"/>
      <c r="D168" s="15"/>
      <c r="E168" s="12"/>
      <c r="F168" s="12"/>
      <c r="G168" s="12" t="str">
        <f t="shared" si="1"/>
        <v/>
      </c>
      <c r="H168" s="2"/>
      <c r="I168" s="2"/>
      <c r="J168" s="2"/>
      <c r="K168" s="2"/>
      <c r="L168" s="2"/>
    </row>
    <row r="169" ht="15.0" customHeight="1">
      <c r="A169" s="15"/>
      <c r="B169" s="11" t="str">
        <f t="array" ref="B169">IFERROR(INDEX('Patient Bills'!$B:$B,MATCH(A169,'Patient Bills'!$A:$A,0)),"")</f>
        <v/>
      </c>
      <c r="C169" s="15"/>
      <c r="D169" s="15"/>
      <c r="E169" s="12"/>
      <c r="F169" s="12"/>
      <c r="G169" s="12" t="str">
        <f t="shared" si="1"/>
        <v/>
      </c>
      <c r="H169" s="2"/>
      <c r="I169" s="2"/>
      <c r="J169" s="2"/>
      <c r="K169" s="2"/>
      <c r="L169" s="2"/>
    </row>
    <row r="170" ht="15.0" customHeight="1">
      <c r="A170" s="15"/>
      <c r="B170" s="11" t="str">
        <f t="array" ref="B170">IFERROR(INDEX('Patient Bills'!$B:$B,MATCH(A170,'Patient Bills'!$A:$A,0)),"")</f>
        <v/>
      </c>
      <c r="C170" s="15"/>
      <c r="D170" s="15"/>
      <c r="E170" s="12"/>
      <c r="F170" s="12"/>
      <c r="G170" s="12" t="str">
        <f t="shared" si="1"/>
        <v/>
      </c>
      <c r="H170" s="2"/>
      <c r="I170" s="2"/>
      <c r="J170" s="2"/>
      <c r="K170" s="2"/>
      <c r="L170" s="2"/>
    </row>
    <row r="171" ht="15.0" customHeight="1">
      <c r="A171" s="15"/>
      <c r="B171" s="11" t="str">
        <f t="array" ref="B171">IFERROR(INDEX('Patient Bills'!$B:$B,MATCH(A171,'Patient Bills'!$A:$A,0)),"")</f>
        <v/>
      </c>
      <c r="C171" s="15"/>
      <c r="D171" s="15"/>
      <c r="E171" s="12"/>
      <c r="F171" s="12"/>
      <c r="G171" s="12" t="str">
        <f t="shared" si="1"/>
        <v/>
      </c>
      <c r="H171" s="2"/>
      <c r="I171" s="2"/>
      <c r="J171" s="2"/>
      <c r="K171" s="2"/>
      <c r="L171" s="2"/>
    </row>
    <row r="172" ht="15.0" customHeight="1">
      <c r="A172" s="15"/>
      <c r="B172" s="11" t="str">
        <f t="array" ref="B172">IFERROR(INDEX('Patient Bills'!$B:$B,MATCH(A172,'Patient Bills'!$A:$A,0)),"")</f>
        <v/>
      </c>
      <c r="C172" s="15"/>
      <c r="D172" s="15"/>
      <c r="E172" s="12"/>
      <c r="F172" s="12"/>
      <c r="G172" s="12" t="str">
        <f t="shared" si="1"/>
        <v/>
      </c>
      <c r="H172" s="2"/>
      <c r="I172" s="2"/>
      <c r="J172" s="2"/>
      <c r="K172" s="2"/>
      <c r="L172" s="2"/>
    </row>
    <row r="173" ht="15.0" customHeight="1">
      <c r="A173" s="15"/>
      <c r="B173" s="11" t="str">
        <f t="array" ref="B173">IFERROR(INDEX('Patient Bills'!$B:$B,MATCH(A173,'Patient Bills'!$A:$A,0)),"")</f>
        <v/>
      </c>
      <c r="C173" s="15"/>
      <c r="D173" s="15"/>
      <c r="E173" s="12"/>
      <c r="F173" s="12"/>
      <c r="G173" s="12" t="str">
        <f t="shared" si="1"/>
        <v/>
      </c>
      <c r="H173" s="2"/>
      <c r="I173" s="2"/>
      <c r="J173" s="2"/>
      <c r="K173" s="2"/>
      <c r="L173" s="2"/>
    </row>
    <row r="174" ht="15.0" customHeight="1">
      <c r="A174" s="15"/>
      <c r="B174" s="11" t="str">
        <f t="array" ref="B174">IFERROR(INDEX('Patient Bills'!$B:$B,MATCH(A174,'Patient Bills'!$A:$A,0)),"")</f>
        <v/>
      </c>
      <c r="C174" s="15"/>
      <c r="D174" s="15"/>
      <c r="E174" s="12"/>
      <c r="F174" s="12"/>
      <c r="G174" s="12" t="str">
        <f t="shared" si="1"/>
        <v/>
      </c>
      <c r="H174" s="2"/>
      <c r="I174" s="2"/>
      <c r="J174" s="2"/>
      <c r="K174" s="2"/>
      <c r="L174" s="2"/>
    </row>
    <row r="175" ht="15.0" customHeight="1">
      <c r="A175" s="15"/>
      <c r="B175" s="11" t="str">
        <f t="array" ref="B175">IFERROR(INDEX('Patient Bills'!$B:$B,MATCH(A175,'Patient Bills'!$A:$A,0)),"")</f>
        <v/>
      </c>
      <c r="C175" s="15"/>
      <c r="D175" s="15"/>
      <c r="E175" s="12"/>
      <c r="F175" s="12"/>
      <c r="G175" s="12" t="str">
        <f t="shared" si="1"/>
        <v/>
      </c>
      <c r="H175" s="2"/>
      <c r="I175" s="2"/>
      <c r="J175" s="2"/>
      <c r="K175" s="2"/>
      <c r="L175" s="2"/>
    </row>
    <row r="176" ht="15.0" customHeight="1">
      <c r="A176" s="15"/>
      <c r="B176" s="11" t="str">
        <f t="array" ref="B176">IFERROR(INDEX('Patient Bills'!$B:$B,MATCH(A176,'Patient Bills'!$A:$A,0)),"")</f>
        <v/>
      </c>
      <c r="C176" s="15"/>
      <c r="D176" s="15"/>
      <c r="E176" s="12"/>
      <c r="F176" s="12"/>
      <c r="G176" s="12" t="str">
        <f t="shared" si="1"/>
        <v/>
      </c>
      <c r="H176" s="2"/>
      <c r="I176" s="2"/>
      <c r="J176" s="2"/>
      <c r="K176" s="2"/>
      <c r="L176" s="2"/>
    </row>
    <row r="177" ht="15.0" customHeight="1">
      <c r="A177" s="15"/>
      <c r="B177" s="11" t="str">
        <f t="array" ref="B177">IFERROR(INDEX('Patient Bills'!$B:$B,MATCH(A177,'Patient Bills'!$A:$A,0)),"")</f>
        <v/>
      </c>
      <c r="C177" s="15"/>
      <c r="D177" s="15"/>
      <c r="E177" s="12"/>
      <c r="F177" s="12"/>
      <c r="G177" s="12" t="str">
        <f t="shared" si="1"/>
        <v/>
      </c>
      <c r="H177" s="2"/>
      <c r="I177" s="2"/>
      <c r="J177" s="2"/>
      <c r="K177" s="2"/>
      <c r="L177" s="2"/>
    </row>
    <row r="178" ht="15.0" customHeight="1">
      <c r="A178" s="15"/>
      <c r="B178" s="11" t="str">
        <f t="array" ref="B178">IFERROR(INDEX('Patient Bills'!$B:$B,MATCH(A178,'Patient Bills'!$A:$A,0)),"")</f>
        <v/>
      </c>
      <c r="C178" s="15"/>
      <c r="D178" s="15"/>
      <c r="E178" s="12"/>
      <c r="F178" s="12"/>
      <c r="G178" s="12" t="str">
        <f t="shared" si="1"/>
        <v/>
      </c>
      <c r="H178" s="2"/>
      <c r="I178" s="2"/>
      <c r="J178" s="2"/>
      <c r="K178" s="2"/>
      <c r="L178" s="2"/>
    </row>
    <row r="179" ht="15.0" customHeight="1">
      <c r="A179" s="15"/>
      <c r="B179" s="11" t="str">
        <f t="array" ref="B179">IFERROR(INDEX('Patient Bills'!$B:$B,MATCH(A179,'Patient Bills'!$A:$A,0)),"")</f>
        <v/>
      </c>
      <c r="C179" s="15"/>
      <c r="D179" s="15"/>
      <c r="E179" s="12"/>
      <c r="F179" s="12"/>
      <c r="G179" s="12" t="str">
        <f t="shared" si="1"/>
        <v/>
      </c>
      <c r="H179" s="2"/>
      <c r="I179" s="2"/>
      <c r="J179" s="2"/>
      <c r="K179" s="2"/>
      <c r="L179" s="2"/>
    </row>
    <row r="180" ht="15.0" customHeight="1">
      <c r="A180" s="15"/>
      <c r="B180" s="11" t="str">
        <f t="array" ref="B180">IFERROR(INDEX('Patient Bills'!$B:$B,MATCH(A180,'Patient Bills'!$A:$A,0)),"")</f>
        <v/>
      </c>
      <c r="C180" s="15"/>
      <c r="D180" s="15"/>
      <c r="E180" s="12"/>
      <c r="F180" s="12"/>
      <c r="G180" s="12" t="str">
        <f t="shared" si="1"/>
        <v/>
      </c>
      <c r="H180" s="2"/>
      <c r="I180" s="2"/>
      <c r="J180" s="2"/>
      <c r="K180" s="2"/>
      <c r="L180" s="2"/>
    </row>
    <row r="181" ht="15.0" customHeight="1">
      <c r="A181" s="15"/>
      <c r="B181" s="11" t="str">
        <f t="array" ref="B181">IFERROR(INDEX('Patient Bills'!$B:$B,MATCH(A181,'Patient Bills'!$A:$A,0)),"")</f>
        <v/>
      </c>
      <c r="C181" s="15"/>
      <c r="D181" s="15"/>
      <c r="E181" s="12"/>
      <c r="F181" s="12"/>
      <c r="G181" s="12" t="str">
        <f t="shared" si="1"/>
        <v/>
      </c>
      <c r="H181" s="2"/>
      <c r="I181" s="2"/>
      <c r="J181" s="2"/>
      <c r="K181" s="2"/>
      <c r="L181" s="2"/>
    </row>
    <row r="182" ht="15.0" customHeight="1">
      <c r="A182" s="15"/>
      <c r="B182" s="11" t="str">
        <f t="array" ref="B182">IFERROR(INDEX('Patient Bills'!$B:$B,MATCH(A182,'Patient Bills'!$A:$A,0)),"")</f>
        <v/>
      </c>
      <c r="C182" s="15"/>
      <c r="D182" s="15"/>
      <c r="E182" s="12"/>
      <c r="F182" s="12"/>
      <c r="G182" s="12" t="str">
        <f t="shared" si="1"/>
        <v/>
      </c>
      <c r="H182" s="2"/>
      <c r="I182" s="2"/>
      <c r="J182" s="2"/>
      <c r="K182" s="2"/>
      <c r="L182" s="2"/>
    </row>
    <row r="183" ht="15.0" customHeight="1">
      <c r="A183" s="15"/>
      <c r="B183" s="11" t="str">
        <f t="array" ref="B183">IFERROR(INDEX('Patient Bills'!$B:$B,MATCH(A183,'Patient Bills'!$A:$A,0)),"")</f>
        <v/>
      </c>
      <c r="C183" s="15"/>
      <c r="D183" s="15"/>
      <c r="E183" s="12"/>
      <c r="F183" s="12"/>
      <c r="G183" s="12" t="str">
        <f t="shared" si="1"/>
        <v/>
      </c>
      <c r="H183" s="2"/>
      <c r="I183" s="2"/>
      <c r="J183" s="2"/>
      <c r="K183" s="2"/>
      <c r="L183" s="2"/>
    </row>
    <row r="184" ht="15.0" customHeight="1">
      <c r="A184" s="15"/>
      <c r="B184" s="11" t="str">
        <f t="array" ref="B184">IFERROR(INDEX('Patient Bills'!$B:$B,MATCH(A184,'Patient Bills'!$A:$A,0)),"")</f>
        <v/>
      </c>
      <c r="C184" s="15"/>
      <c r="D184" s="15"/>
      <c r="E184" s="12"/>
      <c r="F184" s="12"/>
      <c r="G184" s="12" t="str">
        <f t="shared" si="1"/>
        <v/>
      </c>
      <c r="H184" s="2"/>
      <c r="I184" s="2"/>
      <c r="J184" s="2"/>
      <c r="K184" s="2"/>
      <c r="L184" s="2"/>
    </row>
    <row r="185" ht="15.0" customHeight="1">
      <c r="A185" s="15"/>
      <c r="B185" s="11" t="str">
        <f t="array" ref="B185">IFERROR(INDEX('Patient Bills'!$B:$B,MATCH(A185,'Patient Bills'!$A:$A,0)),"")</f>
        <v/>
      </c>
      <c r="C185" s="15"/>
      <c r="D185" s="15"/>
      <c r="E185" s="12"/>
      <c r="F185" s="12"/>
      <c r="G185" s="12" t="str">
        <f t="shared" si="1"/>
        <v/>
      </c>
      <c r="H185" s="2"/>
      <c r="I185" s="2"/>
      <c r="J185" s="2"/>
      <c r="K185" s="2"/>
      <c r="L185" s="2"/>
    </row>
    <row r="186" ht="15.0" customHeight="1">
      <c r="A186" s="15"/>
      <c r="B186" s="11" t="str">
        <f t="array" ref="B186">IFERROR(INDEX('Patient Bills'!$B:$B,MATCH(A186,'Patient Bills'!$A:$A,0)),"")</f>
        <v/>
      </c>
      <c r="C186" s="15"/>
      <c r="D186" s="15"/>
      <c r="E186" s="12"/>
      <c r="F186" s="12"/>
      <c r="G186" s="12" t="str">
        <f t="shared" si="1"/>
        <v/>
      </c>
      <c r="H186" s="2"/>
      <c r="I186" s="2"/>
      <c r="J186" s="2"/>
      <c r="K186" s="2"/>
      <c r="L186" s="2"/>
    </row>
    <row r="187" ht="15.0" customHeight="1">
      <c r="A187" s="15"/>
      <c r="B187" s="11" t="str">
        <f t="array" ref="B187">IFERROR(INDEX('Patient Bills'!$B:$B,MATCH(A187,'Patient Bills'!$A:$A,0)),"")</f>
        <v/>
      </c>
      <c r="C187" s="15"/>
      <c r="D187" s="15"/>
      <c r="E187" s="12"/>
      <c r="F187" s="12"/>
      <c r="G187" s="12" t="str">
        <f t="shared" si="1"/>
        <v/>
      </c>
      <c r="H187" s="2"/>
      <c r="I187" s="2"/>
      <c r="J187" s="2"/>
      <c r="K187" s="2"/>
      <c r="L187" s="2"/>
    </row>
    <row r="188" ht="15.0" customHeight="1">
      <c r="A188" s="15"/>
      <c r="B188" s="11" t="str">
        <f t="array" ref="B188">IFERROR(INDEX('Patient Bills'!$B:$B,MATCH(A188,'Patient Bills'!$A:$A,0)),"")</f>
        <v/>
      </c>
      <c r="C188" s="15"/>
      <c r="D188" s="15"/>
      <c r="E188" s="12"/>
      <c r="F188" s="12"/>
      <c r="G188" s="12" t="str">
        <f t="shared" si="1"/>
        <v/>
      </c>
      <c r="H188" s="2"/>
      <c r="I188" s="2"/>
      <c r="J188" s="2"/>
      <c r="K188" s="2"/>
      <c r="L188" s="2"/>
    </row>
    <row r="189" ht="15.0" customHeight="1">
      <c r="A189" s="15"/>
      <c r="B189" s="11" t="str">
        <f t="array" ref="B189">IFERROR(INDEX('Patient Bills'!$B:$B,MATCH(A189,'Patient Bills'!$A:$A,0)),"")</f>
        <v/>
      </c>
      <c r="C189" s="15"/>
      <c r="D189" s="15"/>
      <c r="E189" s="12"/>
      <c r="F189" s="12"/>
      <c r="G189" s="12" t="str">
        <f t="shared" si="1"/>
        <v/>
      </c>
      <c r="H189" s="2"/>
      <c r="I189" s="2"/>
      <c r="J189" s="2"/>
      <c r="K189" s="2"/>
      <c r="L189" s="2"/>
    </row>
    <row r="190" ht="15.0" customHeight="1">
      <c r="A190" s="15"/>
      <c r="B190" s="11" t="str">
        <f t="array" ref="B190">IFERROR(INDEX('Patient Bills'!$B:$B,MATCH(A190,'Patient Bills'!$A:$A,0)),"")</f>
        <v/>
      </c>
      <c r="C190" s="15"/>
      <c r="D190" s="15"/>
      <c r="E190" s="12"/>
      <c r="F190" s="12"/>
      <c r="G190" s="12" t="str">
        <f t="shared" si="1"/>
        <v/>
      </c>
      <c r="H190" s="2"/>
      <c r="I190" s="2"/>
      <c r="J190" s="2"/>
      <c r="K190" s="2"/>
      <c r="L190" s="2"/>
    </row>
    <row r="191" ht="15.0" customHeight="1">
      <c r="A191" s="15"/>
      <c r="B191" s="11" t="str">
        <f t="array" ref="B191">IFERROR(INDEX('Patient Bills'!$B:$B,MATCH(A191,'Patient Bills'!$A:$A,0)),"")</f>
        <v/>
      </c>
      <c r="C191" s="15"/>
      <c r="D191" s="15"/>
      <c r="E191" s="12"/>
      <c r="F191" s="12"/>
      <c r="G191" s="12" t="str">
        <f t="shared" si="1"/>
        <v/>
      </c>
      <c r="H191" s="2"/>
      <c r="I191" s="2"/>
      <c r="J191" s="2"/>
      <c r="K191" s="2"/>
      <c r="L191" s="2"/>
    </row>
    <row r="192" ht="15.0" customHeight="1">
      <c r="A192" s="15"/>
      <c r="B192" s="11" t="str">
        <f t="array" ref="B192">IFERROR(INDEX('Patient Bills'!$B:$B,MATCH(A192,'Patient Bills'!$A:$A,0)),"")</f>
        <v/>
      </c>
      <c r="C192" s="15"/>
      <c r="D192" s="15"/>
      <c r="E192" s="12"/>
      <c r="F192" s="12"/>
      <c r="G192" s="12" t="str">
        <f t="shared" si="1"/>
        <v/>
      </c>
      <c r="H192" s="2"/>
      <c r="I192" s="2"/>
      <c r="J192" s="2"/>
      <c r="K192" s="2"/>
      <c r="L192" s="2"/>
    </row>
    <row r="193" ht="15.0" customHeight="1">
      <c r="A193" s="15"/>
      <c r="B193" s="11" t="str">
        <f t="array" ref="B193">IFERROR(INDEX('Patient Bills'!$B:$B,MATCH(A193,'Patient Bills'!$A:$A,0)),"")</f>
        <v/>
      </c>
      <c r="C193" s="15"/>
      <c r="D193" s="15"/>
      <c r="E193" s="12"/>
      <c r="F193" s="12"/>
      <c r="G193" s="12" t="str">
        <f t="shared" si="1"/>
        <v/>
      </c>
      <c r="H193" s="2"/>
      <c r="I193" s="2"/>
      <c r="J193" s="2"/>
      <c r="K193" s="2"/>
      <c r="L193" s="2"/>
    </row>
    <row r="194" ht="15.0" customHeight="1">
      <c r="A194" s="15"/>
      <c r="B194" s="11" t="str">
        <f t="array" ref="B194">IFERROR(INDEX('Patient Bills'!$B:$B,MATCH(A194,'Patient Bills'!$A:$A,0)),"")</f>
        <v/>
      </c>
      <c r="C194" s="15"/>
      <c r="D194" s="15"/>
      <c r="E194" s="12"/>
      <c r="F194" s="12"/>
      <c r="G194" s="12" t="str">
        <f t="shared" si="1"/>
        <v/>
      </c>
      <c r="H194" s="2"/>
      <c r="I194" s="2"/>
      <c r="J194" s="2"/>
      <c r="K194" s="2"/>
      <c r="L194" s="2"/>
    </row>
    <row r="195" ht="15.0" customHeight="1">
      <c r="A195" s="15"/>
      <c r="B195" s="11" t="str">
        <f t="array" ref="B195">IFERROR(INDEX('Patient Bills'!$B:$B,MATCH(A195,'Patient Bills'!$A:$A,0)),"")</f>
        <v/>
      </c>
      <c r="C195" s="15"/>
      <c r="D195" s="15"/>
      <c r="E195" s="12"/>
      <c r="F195" s="12"/>
      <c r="G195" s="12" t="str">
        <f t="shared" si="1"/>
        <v/>
      </c>
      <c r="H195" s="2"/>
      <c r="I195" s="2"/>
      <c r="J195" s="2"/>
      <c r="K195" s="2"/>
      <c r="L195" s="2"/>
    </row>
    <row r="196" ht="15.0" customHeight="1">
      <c r="A196" s="15"/>
      <c r="B196" s="11" t="str">
        <f t="array" ref="B196">IFERROR(INDEX('Patient Bills'!$B:$B,MATCH(A196,'Patient Bills'!$A:$A,0)),"")</f>
        <v/>
      </c>
      <c r="C196" s="15"/>
      <c r="D196" s="15"/>
      <c r="E196" s="12"/>
      <c r="F196" s="12"/>
      <c r="G196" s="12" t="str">
        <f t="shared" si="1"/>
        <v/>
      </c>
      <c r="H196" s="2"/>
      <c r="I196" s="2"/>
      <c r="J196" s="2"/>
      <c r="K196" s="2"/>
      <c r="L196" s="2"/>
    </row>
    <row r="197" ht="15.0" customHeight="1">
      <c r="A197" s="15"/>
      <c r="B197" s="11" t="str">
        <f t="array" ref="B197">IFERROR(INDEX('Patient Bills'!$B:$B,MATCH(A197,'Patient Bills'!$A:$A,0)),"")</f>
        <v/>
      </c>
      <c r="C197" s="15"/>
      <c r="D197" s="15"/>
      <c r="E197" s="12"/>
      <c r="F197" s="12"/>
      <c r="G197" s="12" t="str">
        <f t="shared" si="1"/>
        <v/>
      </c>
      <c r="H197" s="2"/>
      <c r="I197" s="2"/>
      <c r="J197" s="2"/>
      <c r="K197" s="2"/>
      <c r="L197" s="2"/>
    </row>
    <row r="198" ht="15.0" customHeight="1">
      <c r="A198" s="15"/>
      <c r="B198" s="11" t="str">
        <f t="array" ref="B198">IFERROR(INDEX('Patient Bills'!$B:$B,MATCH(A198,'Patient Bills'!$A:$A,0)),"")</f>
        <v/>
      </c>
      <c r="C198" s="15"/>
      <c r="D198" s="15"/>
      <c r="E198" s="12"/>
      <c r="F198" s="12"/>
      <c r="G198" s="12" t="str">
        <f t="shared" si="1"/>
        <v/>
      </c>
      <c r="H198" s="2"/>
      <c r="I198" s="2"/>
      <c r="J198" s="2"/>
      <c r="K198" s="2"/>
      <c r="L198" s="2"/>
    </row>
    <row r="199" ht="15.0" customHeight="1">
      <c r="A199" s="15"/>
      <c r="B199" s="11" t="str">
        <f t="array" ref="B199">IFERROR(INDEX('Patient Bills'!$B:$B,MATCH(A199,'Patient Bills'!$A:$A,0)),"")</f>
        <v/>
      </c>
      <c r="C199" s="15"/>
      <c r="D199" s="15"/>
      <c r="E199" s="12"/>
      <c r="F199" s="12"/>
      <c r="G199" s="12" t="str">
        <f t="shared" si="1"/>
        <v/>
      </c>
      <c r="H199" s="2"/>
      <c r="I199" s="2"/>
      <c r="J199" s="2"/>
      <c r="K199" s="2"/>
      <c r="L199" s="2"/>
    </row>
    <row r="200" ht="15.0" customHeight="1">
      <c r="A200" s="15"/>
      <c r="B200" s="11" t="str">
        <f t="array" ref="B200">IFERROR(INDEX('Patient Bills'!$B:$B,MATCH(A200,'Patient Bills'!$A:$A,0)),"")</f>
        <v/>
      </c>
      <c r="C200" s="15"/>
      <c r="D200" s="15"/>
      <c r="E200" s="12"/>
      <c r="F200" s="12"/>
      <c r="G200" s="12" t="str">
        <f t="shared" si="1"/>
        <v/>
      </c>
      <c r="H200" s="2"/>
      <c r="I200" s="2"/>
      <c r="J200" s="2"/>
      <c r="K200" s="2"/>
      <c r="L200" s="2"/>
    </row>
    <row r="201" ht="15.0" customHeight="1">
      <c r="A201" s="15"/>
      <c r="B201" s="11" t="str">
        <f t="array" ref="B201">IFERROR(INDEX('Patient Bills'!$B:$B,MATCH(A201,'Patient Bills'!$A:$A,0)),"")</f>
        <v/>
      </c>
      <c r="C201" s="15"/>
      <c r="D201" s="15"/>
      <c r="E201" s="12"/>
      <c r="F201" s="12"/>
      <c r="G201" s="12" t="str">
        <f t="shared" si="1"/>
        <v/>
      </c>
      <c r="H201" s="2"/>
      <c r="I201" s="2"/>
      <c r="J201" s="2"/>
      <c r="K201" s="2"/>
      <c r="L201" s="2"/>
    </row>
    <row r="202" ht="15.0" customHeight="1">
      <c r="A202" s="15"/>
      <c r="B202" s="11" t="str">
        <f t="array" ref="B202">IFERROR(INDEX('Patient Bills'!$B:$B,MATCH(A202,'Patient Bills'!$A:$A,0)),"")</f>
        <v/>
      </c>
      <c r="C202" s="15"/>
      <c r="D202" s="15"/>
      <c r="E202" s="12"/>
      <c r="F202" s="12"/>
      <c r="G202" s="12" t="str">
        <f t="shared" si="1"/>
        <v/>
      </c>
      <c r="H202" s="2"/>
      <c r="I202" s="2"/>
      <c r="J202" s="2"/>
      <c r="K202" s="2"/>
      <c r="L202" s="2"/>
    </row>
    <row r="203" ht="15.0" customHeight="1">
      <c r="A203" s="15"/>
      <c r="B203" s="11" t="str">
        <f t="array" ref="B203">IFERROR(INDEX('Patient Bills'!$B:$B,MATCH(A203,'Patient Bills'!$A:$A,0)),"")</f>
        <v/>
      </c>
      <c r="C203" s="15"/>
      <c r="D203" s="15"/>
      <c r="E203" s="12"/>
      <c r="F203" s="12"/>
      <c r="G203" s="12" t="str">
        <f t="shared" si="1"/>
        <v/>
      </c>
      <c r="H203" s="2"/>
      <c r="I203" s="2"/>
      <c r="J203" s="2"/>
      <c r="K203" s="2"/>
      <c r="L203" s="2"/>
    </row>
    <row r="204" ht="15.0" customHeight="1">
      <c r="A204" s="15"/>
      <c r="B204" s="11" t="str">
        <f t="array" ref="B204">IFERROR(INDEX('Patient Bills'!$B:$B,MATCH(A204,'Patient Bills'!$A:$A,0)),"")</f>
        <v/>
      </c>
      <c r="C204" s="15"/>
      <c r="D204" s="15"/>
      <c r="E204" s="12"/>
      <c r="F204" s="12"/>
      <c r="G204" s="12" t="str">
        <f t="shared" si="1"/>
        <v/>
      </c>
      <c r="H204" s="2"/>
      <c r="I204" s="2"/>
      <c r="J204" s="2"/>
      <c r="K204" s="2"/>
      <c r="L204" s="2"/>
    </row>
    <row r="205" ht="15.0" customHeight="1">
      <c r="A205" s="15"/>
      <c r="B205" s="11" t="str">
        <f t="array" ref="B205">IFERROR(INDEX('Patient Bills'!$B:$B,MATCH(A205,'Patient Bills'!$A:$A,0)),"")</f>
        <v/>
      </c>
      <c r="C205" s="15"/>
      <c r="D205" s="15"/>
      <c r="E205" s="12"/>
      <c r="F205" s="12"/>
      <c r="G205" s="12" t="str">
        <f t="shared" si="1"/>
        <v/>
      </c>
      <c r="H205" s="2"/>
      <c r="I205" s="2"/>
      <c r="J205" s="2"/>
      <c r="K205" s="2"/>
      <c r="L205" s="2"/>
    </row>
    <row r="206" ht="15.0" customHeight="1">
      <c r="A206" s="15"/>
      <c r="B206" s="11" t="str">
        <f t="array" ref="B206">IFERROR(INDEX('Patient Bills'!$B:$B,MATCH(A206,'Patient Bills'!$A:$A,0)),"")</f>
        <v/>
      </c>
      <c r="C206" s="15"/>
      <c r="D206" s="15"/>
      <c r="E206" s="12"/>
      <c r="F206" s="12"/>
      <c r="G206" s="12" t="str">
        <f t="shared" si="1"/>
        <v/>
      </c>
      <c r="H206" s="2"/>
      <c r="I206" s="2"/>
      <c r="J206" s="2"/>
      <c r="K206" s="2"/>
      <c r="L206" s="2"/>
    </row>
    <row r="207" ht="15.0" customHeight="1">
      <c r="A207" s="15"/>
      <c r="B207" s="11" t="str">
        <f t="array" ref="B207">IFERROR(INDEX('Patient Bills'!$B:$B,MATCH(A207,'Patient Bills'!$A:$A,0)),"")</f>
        <v/>
      </c>
      <c r="C207" s="15"/>
      <c r="D207" s="15"/>
      <c r="E207" s="12"/>
      <c r="F207" s="12"/>
      <c r="G207" s="12" t="str">
        <f t="shared" si="1"/>
        <v/>
      </c>
      <c r="H207" s="2"/>
      <c r="I207" s="2"/>
      <c r="J207" s="2"/>
      <c r="K207" s="2"/>
      <c r="L207" s="2"/>
    </row>
    <row r="208" ht="15.0" customHeight="1">
      <c r="A208" s="15"/>
      <c r="B208" s="11" t="str">
        <f t="array" ref="B208">IFERROR(INDEX('Patient Bills'!$B:$B,MATCH(A208,'Patient Bills'!$A:$A,0)),"")</f>
        <v/>
      </c>
      <c r="C208" s="15"/>
      <c r="D208" s="15"/>
      <c r="E208" s="12"/>
      <c r="F208" s="12"/>
      <c r="G208" s="12" t="str">
        <f t="shared" si="1"/>
        <v/>
      </c>
      <c r="H208" s="2"/>
      <c r="I208" s="2"/>
      <c r="J208" s="2"/>
      <c r="K208" s="2"/>
      <c r="L208" s="2"/>
    </row>
    <row r="209" ht="15.0" customHeight="1">
      <c r="A209" s="15"/>
      <c r="B209" s="11" t="str">
        <f t="array" ref="B209">IFERROR(INDEX('Patient Bills'!$B:$B,MATCH(A209,'Patient Bills'!$A:$A,0)),"")</f>
        <v/>
      </c>
      <c r="C209" s="15"/>
      <c r="D209" s="15"/>
      <c r="E209" s="12"/>
      <c r="F209" s="12"/>
      <c r="G209" s="12" t="str">
        <f t="shared" si="1"/>
        <v/>
      </c>
      <c r="H209" s="2"/>
      <c r="I209" s="2"/>
      <c r="J209" s="2"/>
      <c r="K209" s="2"/>
      <c r="L209" s="2"/>
    </row>
    <row r="210" ht="15.0" customHeight="1">
      <c r="A210" s="15"/>
      <c r="B210" s="11" t="str">
        <f t="array" ref="B210">IFERROR(INDEX('Patient Bills'!$B:$B,MATCH(A210,'Patient Bills'!$A:$A,0)),"")</f>
        <v/>
      </c>
      <c r="C210" s="15"/>
      <c r="D210" s="15"/>
      <c r="E210" s="12"/>
      <c r="F210" s="12"/>
      <c r="G210" s="12" t="str">
        <f t="shared" si="1"/>
        <v/>
      </c>
      <c r="H210" s="2"/>
      <c r="I210" s="2"/>
      <c r="J210" s="2"/>
      <c r="K210" s="2"/>
      <c r="L210" s="2"/>
    </row>
    <row r="211" ht="15.0" customHeight="1">
      <c r="A211" s="15"/>
      <c r="B211" s="11" t="str">
        <f t="array" ref="B211">IFERROR(INDEX('Patient Bills'!$B:$B,MATCH(A211,'Patient Bills'!$A:$A,0)),"")</f>
        <v/>
      </c>
      <c r="C211" s="15"/>
      <c r="D211" s="15"/>
      <c r="E211" s="12"/>
      <c r="F211" s="12"/>
      <c r="G211" s="12" t="str">
        <f t="shared" si="1"/>
        <v/>
      </c>
      <c r="H211" s="2"/>
      <c r="I211" s="2"/>
      <c r="J211" s="2"/>
      <c r="K211" s="2"/>
      <c r="L211" s="2"/>
    </row>
    <row r="212" ht="15.0" customHeight="1">
      <c r="A212" s="15"/>
      <c r="B212" s="11" t="str">
        <f t="array" ref="B212">IFERROR(INDEX('Patient Bills'!$B:$B,MATCH(A212,'Patient Bills'!$A:$A,0)),"")</f>
        <v/>
      </c>
      <c r="C212" s="15"/>
      <c r="D212" s="15"/>
      <c r="E212" s="12"/>
      <c r="F212" s="12"/>
      <c r="G212" s="12" t="str">
        <f t="shared" si="1"/>
        <v/>
      </c>
      <c r="H212" s="2"/>
      <c r="I212" s="2"/>
      <c r="J212" s="2"/>
      <c r="K212" s="2"/>
      <c r="L212" s="2"/>
    </row>
    <row r="213" ht="15.0" customHeight="1">
      <c r="A213" s="15"/>
      <c r="B213" s="11" t="str">
        <f t="array" ref="B213">IFERROR(INDEX('Patient Bills'!$B:$B,MATCH(A213,'Patient Bills'!$A:$A,0)),"")</f>
        <v/>
      </c>
      <c r="C213" s="15"/>
      <c r="D213" s="15"/>
      <c r="E213" s="12"/>
      <c r="F213" s="12"/>
      <c r="G213" s="12" t="str">
        <f t="shared" si="1"/>
        <v/>
      </c>
      <c r="H213" s="2"/>
      <c r="I213" s="2"/>
      <c r="J213" s="2"/>
      <c r="K213" s="2"/>
      <c r="L213" s="2"/>
    </row>
    <row r="214" ht="15.0" customHeight="1">
      <c r="A214" s="15"/>
      <c r="B214" s="11" t="str">
        <f t="array" ref="B214">IFERROR(INDEX('Patient Bills'!$B:$B,MATCH(A214,'Patient Bills'!$A:$A,0)),"")</f>
        <v/>
      </c>
      <c r="C214" s="15"/>
      <c r="D214" s="15"/>
      <c r="E214" s="12"/>
      <c r="F214" s="12"/>
      <c r="G214" s="12" t="str">
        <f t="shared" si="1"/>
        <v/>
      </c>
      <c r="H214" s="2"/>
      <c r="I214" s="2"/>
      <c r="J214" s="2"/>
      <c r="K214" s="2"/>
      <c r="L214" s="2"/>
    </row>
    <row r="215" ht="15.0" customHeight="1">
      <c r="A215" s="15"/>
      <c r="B215" s="11" t="str">
        <f t="array" ref="B215">IFERROR(INDEX('Patient Bills'!$B:$B,MATCH(A215,'Patient Bills'!$A:$A,0)),"")</f>
        <v/>
      </c>
      <c r="C215" s="15"/>
      <c r="D215" s="15"/>
      <c r="E215" s="12"/>
      <c r="F215" s="12"/>
      <c r="G215" s="12" t="str">
        <f t="shared" si="1"/>
        <v/>
      </c>
      <c r="H215" s="2"/>
      <c r="I215" s="2"/>
      <c r="J215" s="2"/>
      <c r="K215" s="2"/>
      <c r="L215" s="2"/>
    </row>
    <row r="216" ht="15.0" customHeight="1">
      <c r="A216" s="15"/>
      <c r="B216" s="11" t="str">
        <f t="array" ref="B216">IFERROR(INDEX('Patient Bills'!$B:$B,MATCH(A216,'Patient Bills'!$A:$A,0)),"")</f>
        <v/>
      </c>
      <c r="C216" s="15"/>
      <c r="D216" s="15"/>
      <c r="E216" s="12"/>
      <c r="F216" s="12"/>
      <c r="G216" s="12" t="str">
        <f t="shared" si="1"/>
        <v/>
      </c>
      <c r="H216" s="2"/>
      <c r="I216" s="2"/>
      <c r="J216" s="2"/>
      <c r="K216" s="2"/>
      <c r="L216" s="2"/>
    </row>
    <row r="217" ht="15.0" customHeight="1">
      <c r="A217" s="15"/>
      <c r="B217" s="11" t="str">
        <f t="array" ref="B217">IFERROR(INDEX('Patient Bills'!$B:$B,MATCH(A217,'Patient Bills'!$A:$A,0)),"")</f>
        <v/>
      </c>
      <c r="C217" s="15"/>
      <c r="D217" s="15"/>
      <c r="E217" s="12"/>
      <c r="F217" s="12"/>
      <c r="G217" s="12" t="str">
        <f t="shared" si="1"/>
        <v/>
      </c>
      <c r="H217" s="2"/>
      <c r="I217" s="2"/>
      <c r="J217" s="2"/>
      <c r="K217" s="2"/>
      <c r="L217" s="2"/>
    </row>
    <row r="218" ht="15.0" customHeight="1">
      <c r="A218" s="15"/>
      <c r="B218" s="11" t="str">
        <f t="array" ref="B218">IFERROR(INDEX('Patient Bills'!$B:$B,MATCH(A218,'Patient Bills'!$A:$A,0)),"")</f>
        <v/>
      </c>
      <c r="C218" s="15"/>
      <c r="D218" s="15"/>
      <c r="E218" s="12"/>
      <c r="F218" s="12"/>
      <c r="G218" s="12" t="str">
        <f t="shared" si="1"/>
        <v/>
      </c>
      <c r="H218" s="2"/>
      <c r="I218" s="2"/>
      <c r="J218" s="2"/>
      <c r="K218" s="2"/>
      <c r="L218" s="2"/>
    </row>
    <row r="219" ht="15.0" customHeight="1">
      <c r="A219" s="15"/>
      <c r="B219" s="11" t="str">
        <f t="array" ref="B219">IFERROR(INDEX('Patient Bills'!$B:$B,MATCH(A219,'Patient Bills'!$A:$A,0)),"")</f>
        <v/>
      </c>
      <c r="C219" s="15"/>
      <c r="D219" s="15"/>
      <c r="E219" s="12"/>
      <c r="F219" s="12"/>
      <c r="G219" s="12" t="str">
        <f t="shared" si="1"/>
        <v/>
      </c>
      <c r="H219" s="2"/>
      <c r="I219" s="2"/>
      <c r="J219" s="2"/>
      <c r="K219" s="2"/>
      <c r="L219" s="2"/>
    </row>
    <row r="220" ht="15.0" customHeight="1">
      <c r="A220" s="15"/>
      <c r="B220" s="11" t="str">
        <f t="array" ref="B220">IFERROR(INDEX('Patient Bills'!$B:$B,MATCH(A220,'Patient Bills'!$A:$A,0)),"")</f>
        <v/>
      </c>
      <c r="C220" s="15"/>
      <c r="D220" s="15"/>
      <c r="E220" s="12"/>
      <c r="F220" s="12"/>
      <c r="G220" s="12" t="str">
        <f t="shared" si="1"/>
        <v/>
      </c>
      <c r="H220" s="2"/>
      <c r="I220" s="2"/>
      <c r="J220" s="2"/>
      <c r="K220" s="2"/>
      <c r="L220" s="2"/>
    </row>
    <row r="221" ht="15.0" customHeight="1">
      <c r="A221" s="15"/>
      <c r="B221" s="11" t="str">
        <f t="array" ref="B221">IFERROR(INDEX('Patient Bills'!$B:$B,MATCH(A221,'Patient Bills'!$A:$A,0)),"")</f>
        <v/>
      </c>
      <c r="C221" s="15"/>
      <c r="D221" s="15"/>
      <c r="E221" s="12"/>
      <c r="F221" s="12"/>
      <c r="G221" s="12" t="str">
        <f t="shared" si="1"/>
        <v/>
      </c>
      <c r="H221" s="2"/>
      <c r="I221" s="2"/>
      <c r="J221" s="2"/>
      <c r="K221" s="2"/>
      <c r="L221" s="2"/>
    </row>
    <row r="222" ht="15.0" customHeight="1">
      <c r="A222" s="15"/>
      <c r="B222" s="11" t="str">
        <f t="array" ref="B222">IFERROR(INDEX('Patient Bills'!$B:$B,MATCH(A222,'Patient Bills'!$A:$A,0)),"")</f>
        <v/>
      </c>
      <c r="C222" s="15"/>
      <c r="D222" s="15"/>
      <c r="E222" s="12"/>
      <c r="F222" s="12"/>
      <c r="G222" s="12" t="str">
        <f t="shared" si="1"/>
        <v/>
      </c>
      <c r="H222" s="2"/>
      <c r="I222" s="2"/>
      <c r="J222" s="2"/>
      <c r="K222" s="2"/>
      <c r="L222" s="2"/>
    </row>
    <row r="223" ht="15.0" customHeight="1">
      <c r="A223" s="15"/>
      <c r="B223" s="11" t="str">
        <f t="array" ref="B223">IFERROR(INDEX('Patient Bills'!$B:$B,MATCH(A223,'Patient Bills'!$A:$A,0)),"")</f>
        <v/>
      </c>
      <c r="C223" s="15"/>
      <c r="D223" s="15"/>
      <c r="E223" s="12"/>
      <c r="F223" s="12"/>
      <c r="G223" s="12" t="str">
        <f t="shared" si="1"/>
        <v/>
      </c>
      <c r="H223" s="2"/>
      <c r="I223" s="2"/>
      <c r="J223" s="2"/>
      <c r="K223" s="2"/>
      <c r="L223" s="2"/>
    </row>
    <row r="224" ht="15.0" customHeight="1">
      <c r="A224" s="15"/>
      <c r="B224" s="11" t="str">
        <f t="array" ref="B224">IFERROR(INDEX('Patient Bills'!$B:$B,MATCH(A224,'Patient Bills'!$A:$A,0)),"")</f>
        <v/>
      </c>
      <c r="C224" s="15"/>
      <c r="D224" s="15"/>
      <c r="E224" s="12"/>
      <c r="F224" s="12"/>
      <c r="G224" s="12" t="str">
        <f t="shared" si="1"/>
        <v/>
      </c>
      <c r="H224" s="2"/>
      <c r="I224" s="2"/>
      <c r="J224" s="2"/>
      <c r="K224" s="2"/>
      <c r="L224" s="2"/>
    </row>
    <row r="225" ht="15.0" customHeight="1">
      <c r="A225" s="15"/>
      <c r="B225" s="11" t="str">
        <f t="array" ref="B225">IFERROR(INDEX('Patient Bills'!$B:$B,MATCH(A225,'Patient Bills'!$A:$A,0)),"")</f>
        <v/>
      </c>
      <c r="C225" s="15"/>
      <c r="D225" s="15"/>
      <c r="E225" s="12"/>
      <c r="F225" s="12"/>
      <c r="G225" s="12" t="str">
        <f t="shared" si="1"/>
        <v/>
      </c>
      <c r="H225" s="2"/>
      <c r="I225" s="2"/>
      <c r="J225" s="2"/>
      <c r="K225" s="2"/>
      <c r="L225" s="2"/>
    </row>
    <row r="226" ht="15.0" customHeight="1">
      <c r="A226" s="15"/>
      <c r="B226" s="11" t="str">
        <f t="array" ref="B226">IFERROR(INDEX('Patient Bills'!$B:$B,MATCH(A226,'Patient Bills'!$A:$A,0)),"")</f>
        <v/>
      </c>
      <c r="C226" s="15"/>
      <c r="D226" s="15"/>
      <c r="E226" s="12"/>
      <c r="F226" s="12"/>
      <c r="G226" s="12" t="str">
        <f t="shared" si="1"/>
        <v/>
      </c>
      <c r="H226" s="2"/>
      <c r="I226" s="2"/>
      <c r="J226" s="2"/>
      <c r="K226" s="2"/>
      <c r="L226" s="2"/>
    </row>
    <row r="227" ht="15.0" customHeight="1">
      <c r="A227" s="15"/>
      <c r="B227" s="11" t="str">
        <f t="array" ref="B227">IFERROR(INDEX('Patient Bills'!$B:$B,MATCH(A227,'Patient Bills'!$A:$A,0)),"")</f>
        <v/>
      </c>
      <c r="C227" s="15"/>
      <c r="D227" s="15"/>
      <c r="E227" s="12"/>
      <c r="F227" s="12"/>
      <c r="G227" s="12" t="str">
        <f t="shared" si="1"/>
        <v/>
      </c>
      <c r="H227" s="2"/>
      <c r="I227" s="2"/>
      <c r="J227" s="2"/>
      <c r="K227" s="2"/>
      <c r="L227" s="2"/>
    </row>
    <row r="228" ht="15.0" customHeight="1">
      <c r="A228" s="15"/>
      <c r="B228" s="11" t="str">
        <f t="array" ref="B228">IFERROR(INDEX('Patient Bills'!$B:$B,MATCH(A228,'Patient Bills'!$A:$A,0)),"")</f>
        <v/>
      </c>
      <c r="C228" s="15"/>
      <c r="D228" s="15"/>
      <c r="E228" s="12"/>
      <c r="F228" s="12"/>
      <c r="G228" s="12" t="str">
        <f t="shared" si="1"/>
        <v/>
      </c>
      <c r="H228" s="2"/>
      <c r="I228" s="2"/>
      <c r="J228" s="2"/>
      <c r="K228" s="2"/>
      <c r="L228" s="2"/>
    </row>
    <row r="229" ht="15.0" customHeight="1">
      <c r="A229" s="15"/>
      <c r="B229" s="11" t="str">
        <f t="array" ref="B229">IFERROR(INDEX('Patient Bills'!$B:$B,MATCH(A229,'Patient Bills'!$A:$A,0)),"")</f>
        <v/>
      </c>
      <c r="C229" s="15"/>
      <c r="D229" s="15"/>
      <c r="E229" s="12"/>
      <c r="F229" s="12"/>
      <c r="G229" s="12" t="str">
        <f t="shared" si="1"/>
        <v/>
      </c>
      <c r="H229" s="2"/>
      <c r="I229" s="2"/>
      <c r="J229" s="2"/>
      <c r="K229" s="2"/>
      <c r="L229" s="2"/>
    </row>
    <row r="230" ht="15.0" customHeight="1">
      <c r="A230" s="15"/>
      <c r="B230" s="11" t="str">
        <f t="array" ref="B230">IFERROR(INDEX('Patient Bills'!$B:$B,MATCH(A230,'Patient Bills'!$A:$A,0)),"")</f>
        <v/>
      </c>
      <c r="C230" s="15"/>
      <c r="D230" s="15"/>
      <c r="E230" s="12"/>
      <c r="F230" s="12"/>
      <c r="G230" s="12" t="str">
        <f t="shared" si="1"/>
        <v/>
      </c>
      <c r="H230" s="2"/>
      <c r="I230" s="2"/>
      <c r="J230" s="2"/>
      <c r="K230" s="2"/>
      <c r="L230" s="2"/>
    </row>
    <row r="231" ht="15.0" customHeight="1">
      <c r="A231" s="15"/>
      <c r="B231" s="11" t="str">
        <f t="array" ref="B231">IFERROR(INDEX('Patient Bills'!$B:$B,MATCH(A231,'Patient Bills'!$A:$A,0)),"")</f>
        <v/>
      </c>
      <c r="C231" s="15"/>
      <c r="D231" s="15"/>
      <c r="E231" s="12"/>
      <c r="F231" s="12"/>
      <c r="G231" s="12" t="str">
        <f t="shared" si="1"/>
        <v/>
      </c>
      <c r="H231" s="2"/>
      <c r="I231" s="2"/>
      <c r="J231" s="2"/>
      <c r="K231" s="2"/>
      <c r="L231" s="2"/>
    </row>
    <row r="232" ht="15.0" customHeight="1">
      <c r="A232" s="15"/>
      <c r="B232" s="11" t="str">
        <f t="array" ref="B232">IFERROR(INDEX('Patient Bills'!$B:$B,MATCH(A232,'Patient Bills'!$A:$A,0)),"")</f>
        <v/>
      </c>
      <c r="C232" s="15"/>
      <c r="D232" s="15"/>
      <c r="E232" s="12"/>
      <c r="F232" s="12"/>
      <c r="G232" s="12" t="str">
        <f t="shared" si="1"/>
        <v/>
      </c>
      <c r="H232" s="2"/>
      <c r="I232" s="2"/>
      <c r="J232" s="2"/>
      <c r="K232" s="2"/>
      <c r="L232" s="2"/>
    </row>
    <row r="233" ht="15.0" customHeight="1">
      <c r="A233" s="15"/>
      <c r="B233" s="11" t="str">
        <f t="array" ref="B233">IFERROR(INDEX('Patient Bills'!$B:$B,MATCH(A233,'Patient Bills'!$A:$A,0)),"")</f>
        <v/>
      </c>
      <c r="C233" s="15"/>
      <c r="D233" s="15"/>
      <c r="E233" s="12"/>
      <c r="F233" s="12"/>
      <c r="G233" s="12" t="str">
        <f t="shared" si="1"/>
        <v/>
      </c>
      <c r="H233" s="2"/>
      <c r="I233" s="2"/>
      <c r="J233" s="2"/>
      <c r="K233" s="2"/>
      <c r="L233" s="2"/>
    </row>
    <row r="234" ht="15.0" customHeight="1">
      <c r="A234" s="15"/>
      <c r="B234" s="11" t="str">
        <f t="array" ref="B234">IFERROR(INDEX('Patient Bills'!$B:$B,MATCH(A234,'Patient Bills'!$A:$A,0)),"")</f>
        <v/>
      </c>
      <c r="C234" s="15"/>
      <c r="D234" s="15"/>
      <c r="E234" s="12"/>
      <c r="F234" s="12"/>
      <c r="G234" s="12" t="str">
        <f t="shared" si="1"/>
        <v/>
      </c>
      <c r="H234" s="2"/>
      <c r="I234" s="2"/>
      <c r="J234" s="2"/>
      <c r="K234" s="2"/>
      <c r="L234" s="2"/>
    </row>
    <row r="235" ht="15.0" customHeight="1">
      <c r="A235" s="15"/>
      <c r="B235" s="11" t="str">
        <f t="array" ref="B235">IFERROR(INDEX('Patient Bills'!$B:$B,MATCH(A235,'Patient Bills'!$A:$A,0)),"")</f>
        <v/>
      </c>
      <c r="C235" s="15"/>
      <c r="D235" s="15"/>
      <c r="E235" s="12"/>
      <c r="F235" s="12"/>
      <c r="G235" s="12" t="str">
        <f t="shared" si="1"/>
        <v/>
      </c>
      <c r="H235" s="2"/>
      <c r="I235" s="2"/>
      <c r="J235" s="2"/>
      <c r="K235" s="2"/>
      <c r="L235" s="2"/>
    </row>
    <row r="236" ht="15.0" customHeight="1">
      <c r="A236" s="15"/>
      <c r="B236" s="11" t="str">
        <f t="array" ref="B236">IFERROR(INDEX('Patient Bills'!$B:$B,MATCH(A236,'Patient Bills'!$A:$A,0)),"")</f>
        <v/>
      </c>
      <c r="C236" s="15"/>
      <c r="D236" s="15"/>
      <c r="E236" s="12"/>
      <c r="F236" s="12"/>
      <c r="G236" s="12" t="str">
        <f t="shared" si="1"/>
        <v/>
      </c>
      <c r="H236" s="2"/>
      <c r="I236" s="2"/>
      <c r="J236" s="2"/>
      <c r="K236" s="2"/>
      <c r="L236" s="2"/>
    </row>
    <row r="237" ht="15.0" customHeight="1">
      <c r="A237" s="15"/>
      <c r="B237" s="11" t="str">
        <f t="array" ref="B237">IFERROR(INDEX('Patient Bills'!$B:$B,MATCH(A237,'Patient Bills'!$A:$A,0)),"")</f>
        <v/>
      </c>
      <c r="C237" s="15"/>
      <c r="D237" s="15"/>
      <c r="E237" s="12"/>
      <c r="F237" s="12"/>
      <c r="G237" s="12" t="str">
        <f t="shared" si="1"/>
        <v/>
      </c>
      <c r="H237" s="2"/>
      <c r="I237" s="2"/>
      <c r="J237" s="2"/>
      <c r="K237" s="2"/>
      <c r="L237" s="2"/>
    </row>
    <row r="238" ht="15.0" customHeight="1">
      <c r="A238" s="15"/>
      <c r="B238" s="11" t="str">
        <f t="array" ref="B238">IFERROR(INDEX('Patient Bills'!$B:$B,MATCH(A238,'Patient Bills'!$A:$A,0)),"")</f>
        <v/>
      </c>
      <c r="C238" s="15"/>
      <c r="D238" s="15"/>
      <c r="E238" s="12"/>
      <c r="F238" s="12"/>
      <c r="G238" s="12" t="str">
        <f t="shared" si="1"/>
        <v/>
      </c>
      <c r="H238" s="2"/>
      <c r="I238" s="2"/>
      <c r="J238" s="2"/>
      <c r="K238" s="2"/>
      <c r="L238" s="2"/>
    </row>
    <row r="239" ht="15.0" customHeight="1">
      <c r="A239" s="15"/>
      <c r="B239" s="11" t="str">
        <f t="array" ref="B239">IFERROR(INDEX('Patient Bills'!$B:$B,MATCH(A239,'Patient Bills'!$A:$A,0)),"")</f>
        <v/>
      </c>
      <c r="C239" s="15"/>
      <c r="D239" s="15"/>
      <c r="E239" s="12"/>
      <c r="F239" s="12"/>
      <c r="G239" s="12" t="str">
        <f t="shared" si="1"/>
        <v/>
      </c>
      <c r="H239" s="2"/>
      <c r="I239" s="2"/>
      <c r="J239" s="2"/>
      <c r="K239" s="2"/>
      <c r="L239" s="2"/>
    </row>
    <row r="240" ht="15.0" customHeight="1">
      <c r="A240" s="15"/>
      <c r="B240" s="11" t="str">
        <f t="array" ref="B240">IFERROR(INDEX('Patient Bills'!$B:$B,MATCH(A240,'Patient Bills'!$A:$A,0)),"")</f>
        <v/>
      </c>
      <c r="C240" s="15"/>
      <c r="D240" s="15"/>
      <c r="E240" s="12"/>
      <c r="F240" s="12"/>
      <c r="G240" s="12" t="str">
        <f t="shared" si="1"/>
        <v/>
      </c>
      <c r="H240" s="2"/>
      <c r="I240" s="2"/>
      <c r="J240" s="2"/>
      <c r="K240" s="2"/>
      <c r="L240" s="2"/>
    </row>
    <row r="241" ht="15.0" customHeight="1">
      <c r="A241" s="15"/>
      <c r="B241" s="11" t="str">
        <f t="array" ref="B241">IFERROR(INDEX('Patient Bills'!$B:$B,MATCH(A241,'Patient Bills'!$A:$A,0)),"")</f>
        <v/>
      </c>
      <c r="C241" s="15"/>
      <c r="D241" s="15"/>
      <c r="E241" s="12"/>
      <c r="F241" s="12"/>
      <c r="G241" s="12" t="str">
        <f t="shared" si="1"/>
        <v/>
      </c>
      <c r="H241" s="2"/>
      <c r="I241" s="2"/>
      <c r="J241" s="2"/>
      <c r="K241" s="2"/>
      <c r="L241" s="2"/>
    </row>
    <row r="242" ht="15.0" customHeight="1">
      <c r="A242" s="15"/>
      <c r="B242" s="11" t="str">
        <f t="array" ref="B242">IFERROR(INDEX('Patient Bills'!$B:$B,MATCH(A242,'Patient Bills'!$A:$A,0)),"")</f>
        <v/>
      </c>
      <c r="C242" s="15"/>
      <c r="D242" s="15"/>
      <c r="E242" s="12"/>
      <c r="F242" s="12"/>
      <c r="G242" s="12" t="str">
        <f t="shared" si="1"/>
        <v/>
      </c>
      <c r="H242" s="2"/>
      <c r="I242" s="2"/>
      <c r="J242" s="2"/>
      <c r="K242" s="2"/>
      <c r="L242" s="2"/>
    </row>
    <row r="243" ht="15.0" customHeight="1">
      <c r="A243" s="15"/>
      <c r="B243" s="11" t="str">
        <f t="array" ref="B243">IFERROR(INDEX('Patient Bills'!$B:$B,MATCH(A243,'Patient Bills'!$A:$A,0)),"")</f>
        <v/>
      </c>
      <c r="C243" s="15"/>
      <c r="D243" s="15"/>
      <c r="E243" s="12"/>
      <c r="F243" s="12"/>
      <c r="G243" s="12" t="str">
        <f t="shared" si="1"/>
        <v/>
      </c>
      <c r="H243" s="2"/>
      <c r="I243" s="2"/>
      <c r="J243" s="2"/>
      <c r="K243" s="2"/>
      <c r="L243" s="2"/>
    </row>
    <row r="244" ht="15.0" customHeight="1">
      <c r="A244" s="15"/>
      <c r="B244" s="11" t="str">
        <f t="array" ref="B244">IFERROR(INDEX('Patient Bills'!$B:$B,MATCH(A244,'Patient Bills'!$A:$A,0)),"")</f>
        <v/>
      </c>
      <c r="C244" s="15"/>
      <c r="D244" s="15"/>
      <c r="E244" s="12"/>
      <c r="F244" s="12"/>
      <c r="G244" s="12" t="str">
        <f t="shared" si="1"/>
        <v/>
      </c>
      <c r="H244" s="2"/>
      <c r="I244" s="2"/>
      <c r="J244" s="2"/>
      <c r="K244" s="2"/>
      <c r="L244" s="2"/>
    </row>
    <row r="245" ht="15.0" customHeight="1">
      <c r="A245" s="15"/>
      <c r="B245" s="11" t="str">
        <f t="array" ref="B245">IFERROR(INDEX('Patient Bills'!$B:$B,MATCH(A245,'Patient Bills'!$A:$A,0)),"")</f>
        <v/>
      </c>
      <c r="C245" s="15"/>
      <c r="D245" s="15"/>
      <c r="E245" s="12"/>
      <c r="F245" s="12"/>
      <c r="G245" s="12" t="str">
        <f t="shared" si="1"/>
        <v/>
      </c>
      <c r="H245" s="2"/>
      <c r="I245" s="2"/>
      <c r="J245" s="2"/>
      <c r="K245" s="2"/>
      <c r="L245" s="2"/>
    </row>
    <row r="246" ht="15.0" customHeight="1">
      <c r="A246" s="15"/>
      <c r="B246" s="11" t="str">
        <f t="array" ref="B246">IFERROR(INDEX('Patient Bills'!$B:$B,MATCH(A246,'Patient Bills'!$A:$A,0)),"")</f>
        <v/>
      </c>
      <c r="C246" s="15"/>
      <c r="D246" s="15"/>
      <c r="E246" s="12"/>
      <c r="F246" s="12"/>
      <c r="G246" s="12" t="str">
        <f t="shared" si="1"/>
        <v/>
      </c>
      <c r="H246" s="2"/>
      <c r="I246" s="2"/>
      <c r="J246" s="2"/>
      <c r="K246" s="2"/>
      <c r="L246" s="2"/>
    </row>
    <row r="247" ht="15.0" customHeight="1">
      <c r="A247" s="15"/>
      <c r="B247" s="11" t="str">
        <f t="array" ref="B247">IFERROR(INDEX('Patient Bills'!$B:$B,MATCH(A247,'Patient Bills'!$A:$A,0)),"")</f>
        <v/>
      </c>
      <c r="C247" s="15"/>
      <c r="D247" s="15"/>
      <c r="E247" s="12"/>
      <c r="F247" s="12"/>
      <c r="G247" s="12" t="str">
        <f t="shared" si="1"/>
        <v/>
      </c>
      <c r="H247" s="2"/>
      <c r="I247" s="2"/>
      <c r="J247" s="2"/>
      <c r="K247" s="2"/>
      <c r="L247" s="2"/>
    </row>
    <row r="248" ht="15.0" customHeight="1">
      <c r="A248" s="15"/>
      <c r="B248" s="11" t="str">
        <f t="array" ref="B248">IFERROR(INDEX('Patient Bills'!$B:$B,MATCH(A248,'Patient Bills'!$A:$A,0)),"")</f>
        <v/>
      </c>
      <c r="C248" s="15"/>
      <c r="D248" s="15"/>
      <c r="E248" s="12"/>
      <c r="F248" s="12"/>
      <c r="G248" s="12" t="str">
        <f t="shared" si="1"/>
        <v/>
      </c>
      <c r="H248" s="2"/>
      <c r="I248" s="2"/>
      <c r="J248" s="2"/>
      <c r="K248" s="2"/>
      <c r="L248" s="2"/>
    </row>
    <row r="249" ht="15.0" customHeight="1">
      <c r="A249" s="15"/>
      <c r="B249" s="11" t="str">
        <f t="array" ref="B249">IFERROR(INDEX('Patient Bills'!$B:$B,MATCH(A249,'Patient Bills'!$A:$A,0)),"")</f>
        <v/>
      </c>
      <c r="C249" s="15"/>
      <c r="D249" s="15"/>
      <c r="E249" s="12"/>
      <c r="F249" s="12"/>
      <c r="G249" s="12" t="str">
        <f t="shared" si="1"/>
        <v/>
      </c>
      <c r="H249" s="2"/>
      <c r="I249" s="2"/>
      <c r="J249" s="2"/>
      <c r="K249" s="2"/>
      <c r="L249" s="2"/>
    </row>
    <row r="250" ht="15.0" customHeight="1">
      <c r="A250" s="15"/>
      <c r="B250" s="11" t="str">
        <f t="array" ref="B250">IFERROR(INDEX('Patient Bills'!$B:$B,MATCH(A250,'Patient Bills'!$A:$A,0)),"")</f>
        <v/>
      </c>
      <c r="C250" s="15"/>
      <c r="D250" s="15"/>
      <c r="E250" s="12"/>
      <c r="F250" s="12"/>
      <c r="G250" s="12" t="str">
        <f t="shared" si="1"/>
        <v/>
      </c>
      <c r="H250" s="2"/>
      <c r="I250" s="2"/>
      <c r="J250" s="2"/>
      <c r="K250" s="2"/>
      <c r="L250" s="2"/>
    </row>
    <row r="251" ht="15.0" customHeight="1">
      <c r="A251" s="15"/>
      <c r="B251" s="11" t="str">
        <f t="array" ref="B251">IFERROR(INDEX('Patient Bills'!$B:$B,MATCH(A251,'Patient Bills'!$A:$A,0)),"")</f>
        <v/>
      </c>
      <c r="C251" s="15"/>
      <c r="D251" s="15"/>
      <c r="E251" s="12"/>
      <c r="F251" s="12"/>
      <c r="G251" s="12" t="str">
        <f t="shared" si="1"/>
        <v/>
      </c>
      <c r="H251" s="2"/>
      <c r="I251" s="2"/>
      <c r="J251" s="2"/>
      <c r="K251" s="2"/>
      <c r="L251" s="2"/>
    </row>
    <row r="252" ht="15.0" customHeight="1">
      <c r="A252" s="15"/>
      <c r="B252" s="11" t="str">
        <f t="array" ref="B252">IFERROR(INDEX('Patient Bills'!$B:$B,MATCH(A252,'Patient Bills'!$A:$A,0)),"")</f>
        <v/>
      </c>
      <c r="C252" s="15"/>
      <c r="D252" s="15"/>
      <c r="E252" s="12"/>
      <c r="F252" s="12"/>
      <c r="G252" s="12" t="str">
        <f t="shared" si="1"/>
        <v/>
      </c>
      <c r="H252" s="2"/>
      <c r="I252" s="2"/>
      <c r="J252" s="2"/>
      <c r="K252" s="2"/>
      <c r="L252" s="2"/>
    </row>
    <row r="253" ht="15.0" customHeight="1">
      <c r="A253" s="15"/>
      <c r="B253" s="11" t="str">
        <f t="array" ref="B253">IFERROR(INDEX('Patient Bills'!$B:$B,MATCH(A253,'Patient Bills'!$A:$A,0)),"")</f>
        <v/>
      </c>
      <c r="C253" s="15"/>
      <c r="D253" s="15"/>
      <c r="E253" s="12"/>
      <c r="F253" s="12"/>
      <c r="G253" s="12" t="str">
        <f t="shared" si="1"/>
        <v/>
      </c>
      <c r="H253" s="2"/>
      <c r="I253" s="2"/>
      <c r="J253" s="2"/>
      <c r="K253" s="2"/>
      <c r="L253" s="2"/>
    </row>
    <row r="254" ht="15.0" customHeight="1">
      <c r="A254" s="15"/>
      <c r="B254" s="11" t="str">
        <f t="array" ref="B254">IFERROR(INDEX('Patient Bills'!$B:$B,MATCH(A254,'Patient Bills'!$A:$A,0)),"")</f>
        <v/>
      </c>
      <c r="C254" s="15"/>
      <c r="D254" s="15"/>
      <c r="E254" s="12"/>
      <c r="F254" s="12"/>
      <c r="G254" s="12" t="str">
        <f t="shared" si="1"/>
        <v/>
      </c>
      <c r="H254" s="2"/>
      <c r="I254" s="2"/>
      <c r="J254" s="2"/>
      <c r="K254" s="2"/>
      <c r="L254" s="2"/>
    </row>
    <row r="255" ht="15.0" customHeight="1">
      <c r="A255" s="15"/>
      <c r="B255" s="11" t="str">
        <f t="array" ref="B255">IFERROR(INDEX('Patient Bills'!$B:$B,MATCH(A255,'Patient Bills'!$A:$A,0)),"")</f>
        <v/>
      </c>
      <c r="C255" s="15"/>
      <c r="D255" s="15"/>
      <c r="E255" s="12"/>
      <c r="F255" s="12"/>
      <c r="G255" s="12" t="str">
        <f t="shared" si="1"/>
        <v/>
      </c>
      <c r="H255" s="2"/>
      <c r="I255" s="2"/>
      <c r="J255" s="2"/>
      <c r="K255" s="2"/>
      <c r="L255" s="2"/>
    </row>
    <row r="256" ht="15.0" customHeight="1">
      <c r="A256" s="15"/>
      <c r="B256" s="11" t="str">
        <f t="array" ref="B256">IFERROR(INDEX('Patient Bills'!$B:$B,MATCH(A256,'Patient Bills'!$A:$A,0)),"")</f>
        <v/>
      </c>
      <c r="C256" s="15"/>
      <c r="D256" s="15"/>
      <c r="E256" s="12"/>
      <c r="F256" s="12"/>
      <c r="G256" s="12" t="str">
        <f t="shared" si="1"/>
        <v/>
      </c>
      <c r="H256" s="2"/>
      <c r="I256" s="2"/>
      <c r="J256" s="2"/>
      <c r="K256" s="2"/>
      <c r="L256" s="2"/>
    </row>
    <row r="257" ht="15.0" customHeight="1">
      <c r="A257" s="15"/>
      <c r="B257" s="11" t="str">
        <f t="array" ref="B257">IFERROR(INDEX('Patient Bills'!$B:$B,MATCH(A257,'Patient Bills'!$A:$A,0)),"")</f>
        <v/>
      </c>
      <c r="C257" s="15"/>
      <c r="D257" s="15"/>
      <c r="E257" s="12"/>
      <c r="F257" s="12"/>
      <c r="G257" s="12" t="str">
        <f t="shared" si="1"/>
        <v/>
      </c>
      <c r="H257" s="2"/>
      <c r="I257" s="2"/>
      <c r="J257" s="2"/>
      <c r="K257" s="2"/>
      <c r="L257" s="2"/>
    </row>
    <row r="258" ht="15.0" customHeight="1">
      <c r="A258" s="15"/>
      <c r="B258" s="11" t="str">
        <f t="array" ref="B258">IFERROR(INDEX('Patient Bills'!$B:$B,MATCH(A258,'Patient Bills'!$A:$A,0)),"")</f>
        <v/>
      </c>
      <c r="C258" s="15"/>
      <c r="D258" s="15"/>
      <c r="E258" s="12"/>
      <c r="F258" s="12"/>
      <c r="G258" s="12" t="str">
        <f t="shared" si="1"/>
        <v/>
      </c>
      <c r="H258" s="2"/>
      <c r="I258" s="2"/>
      <c r="J258" s="2"/>
      <c r="K258" s="2"/>
      <c r="L258" s="2"/>
    </row>
    <row r="259" ht="15.0" customHeight="1">
      <c r="A259" s="15"/>
      <c r="B259" s="11" t="str">
        <f t="array" ref="B259">IFERROR(INDEX('Patient Bills'!$B:$B,MATCH(A259,'Patient Bills'!$A:$A,0)),"")</f>
        <v/>
      </c>
      <c r="C259" s="15"/>
      <c r="D259" s="15"/>
      <c r="E259" s="12"/>
      <c r="F259" s="12"/>
      <c r="G259" s="12" t="str">
        <f t="shared" si="1"/>
        <v/>
      </c>
      <c r="H259" s="2"/>
      <c r="I259" s="2"/>
      <c r="J259" s="2"/>
      <c r="K259" s="2"/>
      <c r="L259" s="2"/>
    </row>
    <row r="260" ht="15.0" customHeight="1">
      <c r="A260" s="15"/>
      <c r="B260" s="11" t="str">
        <f t="array" ref="B260">IFERROR(INDEX('Patient Bills'!$B:$B,MATCH(A260,'Patient Bills'!$A:$A,0)),"")</f>
        <v/>
      </c>
      <c r="C260" s="15"/>
      <c r="D260" s="15"/>
      <c r="E260" s="12"/>
      <c r="F260" s="12"/>
      <c r="G260" s="12" t="str">
        <f t="shared" si="1"/>
        <v/>
      </c>
      <c r="H260" s="2"/>
      <c r="I260" s="2"/>
      <c r="J260" s="2"/>
      <c r="K260" s="2"/>
      <c r="L260" s="2"/>
    </row>
    <row r="261" ht="15.0" customHeight="1">
      <c r="A261" s="15"/>
      <c r="B261" s="11" t="str">
        <f t="array" ref="B261">IFERROR(INDEX('Patient Bills'!$B:$B,MATCH(A261,'Patient Bills'!$A:$A,0)),"")</f>
        <v/>
      </c>
      <c r="C261" s="15"/>
      <c r="D261" s="15"/>
      <c r="E261" s="12"/>
      <c r="F261" s="12"/>
      <c r="G261" s="12" t="str">
        <f t="shared" si="1"/>
        <v/>
      </c>
      <c r="H261" s="2"/>
      <c r="I261" s="2"/>
      <c r="J261" s="2"/>
      <c r="K261" s="2"/>
      <c r="L261" s="2"/>
    </row>
    <row r="262" ht="15.0" customHeight="1">
      <c r="A262" s="15"/>
      <c r="B262" s="11" t="str">
        <f t="array" ref="B262">IFERROR(INDEX('Patient Bills'!$B:$B,MATCH(A262,'Patient Bills'!$A:$A,0)),"")</f>
        <v/>
      </c>
      <c r="C262" s="15"/>
      <c r="D262" s="15"/>
      <c r="E262" s="12"/>
      <c r="F262" s="12"/>
      <c r="G262" s="12" t="str">
        <f t="shared" si="1"/>
        <v/>
      </c>
      <c r="H262" s="2"/>
      <c r="I262" s="2"/>
      <c r="J262" s="2"/>
      <c r="K262" s="2"/>
      <c r="L262" s="2"/>
    </row>
    <row r="263" ht="15.0" customHeight="1">
      <c r="A263" s="15"/>
      <c r="B263" s="11" t="str">
        <f t="array" ref="B263">IFERROR(INDEX('Patient Bills'!$B:$B,MATCH(A263,'Patient Bills'!$A:$A,0)),"")</f>
        <v/>
      </c>
      <c r="C263" s="15"/>
      <c r="D263" s="15"/>
      <c r="E263" s="12"/>
      <c r="F263" s="12"/>
      <c r="G263" s="12" t="str">
        <f t="shared" si="1"/>
        <v/>
      </c>
      <c r="H263" s="2"/>
      <c r="I263" s="2"/>
      <c r="J263" s="2"/>
      <c r="K263" s="2"/>
      <c r="L263" s="2"/>
    </row>
    <row r="264" ht="15.0" customHeight="1">
      <c r="A264" s="15"/>
      <c r="B264" s="11" t="str">
        <f t="array" ref="B264">IFERROR(INDEX('Patient Bills'!$B:$B,MATCH(A264,'Patient Bills'!$A:$A,0)),"")</f>
        <v/>
      </c>
      <c r="C264" s="15"/>
      <c r="D264" s="15"/>
      <c r="E264" s="12"/>
      <c r="F264" s="12"/>
      <c r="G264" s="12" t="str">
        <f t="shared" si="1"/>
        <v/>
      </c>
      <c r="H264" s="2"/>
      <c r="I264" s="2"/>
      <c r="J264" s="2"/>
      <c r="K264" s="2"/>
      <c r="L264" s="2"/>
    </row>
    <row r="265" ht="15.0" customHeight="1">
      <c r="A265" s="15"/>
      <c r="B265" s="11" t="str">
        <f t="array" ref="B265">IFERROR(INDEX('Patient Bills'!$B:$B,MATCH(A265,'Patient Bills'!$A:$A,0)),"")</f>
        <v/>
      </c>
      <c r="C265" s="15"/>
      <c r="D265" s="15"/>
      <c r="E265" s="12"/>
      <c r="F265" s="12"/>
      <c r="G265" s="12" t="str">
        <f t="shared" si="1"/>
        <v/>
      </c>
      <c r="H265" s="2"/>
      <c r="I265" s="2"/>
      <c r="J265" s="2"/>
      <c r="K265" s="2"/>
      <c r="L265" s="2"/>
    </row>
    <row r="266" ht="15.0" customHeight="1">
      <c r="A266" s="15"/>
      <c r="B266" s="11" t="str">
        <f t="array" ref="B266">IFERROR(INDEX('Patient Bills'!$B:$B,MATCH(A266,'Patient Bills'!$A:$A,0)),"")</f>
        <v/>
      </c>
      <c r="C266" s="15"/>
      <c r="D266" s="15"/>
      <c r="E266" s="12"/>
      <c r="F266" s="12"/>
      <c r="G266" s="12" t="str">
        <f t="shared" si="1"/>
        <v/>
      </c>
      <c r="H266" s="2"/>
      <c r="I266" s="2"/>
      <c r="J266" s="2"/>
      <c r="K266" s="2"/>
      <c r="L266" s="2"/>
    </row>
    <row r="267" ht="15.0" customHeight="1">
      <c r="A267" s="15"/>
      <c r="B267" s="11" t="str">
        <f t="array" ref="B267">IFERROR(INDEX('Patient Bills'!$B:$B,MATCH(A267,'Patient Bills'!$A:$A,0)),"")</f>
        <v/>
      </c>
      <c r="C267" s="15"/>
      <c r="D267" s="15"/>
      <c r="E267" s="12"/>
      <c r="F267" s="12"/>
      <c r="G267" s="12" t="str">
        <f t="shared" si="1"/>
        <v/>
      </c>
      <c r="H267" s="2"/>
      <c r="I267" s="2"/>
      <c r="J267" s="2"/>
      <c r="K267" s="2"/>
      <c r="L267" s="2"/>
    </row>
    <row r="268" ht="15.0" customHeight="1">
      <c r="A268" s="15"/>
      <c r="B268" s="11" t="str">
        <f t="array" ref="B268">IFERROR(INDEX('Patient Bills'!$B:$B,MATCH(A268,'Patient Bills'!$A:$A,0)),"")</f>
        <v/>
      </c>
      <c r="C268" s="15"/>
      <c r="D268" s="15"/>
      <c r="E268" s="12"/>
      <c r="F268" s="12"/>
      <c r="G268" s="12" t="str">
        <f t="shared" si="1"/>
        <v/>
      </c>
      <c r="H268" s="2"/>
      <c r="I268" s="2"/>
      <c r="J268" s="2"/>
      <c r="K268" s="2"/>
      <c r="L268" s="2"/>
    </row>
    <row r="269" ht="15.0" customHeight="1">
      <c r="A269" s="15"/>
      <c r="B269" s="11" t="str">
        <f t="array" ref="B269">IFERROR(INDEX('Patient Bills'!$B:$B,MATCH(A269,'Patient Bills'!$A:$A,0)),"")</f>
        <v/>
      </c>
      <c r="C269" s="15"/>
      <c r="D269" s="15"/>
      <c r="E269" s="12"/>
      <c r="F269" s="12"/>
      <c r="G269" s="12" t="str">
        <f t="shared" si="1"/>
        <v/>
      </c>
      <c r="H269" s="2"/>
      <c r="I269" s="2"/>
      <c r="J269" s="2"/>
      <c r="K269" s="2"/>
      <c r="L269" s="2"/>
    </row>
    <row r="270" ht="15.0" customHeight="1">
      <c r="A270" s="15"/>
      <c r="B270" s="11" t="str">
        <f t="array" ref="B270">IFERROR(INDEX('Patient Bills'!$B:$B,MATCH(A270,'Patient Bills'!$A:$A,0)),"")</f>
        <v/>
      </c>
      <c r="C270" s="15"/>
      <c r="D270" s="15"/>
      <c r="E270" s="12"/>
      <c r="F270" s="12"/>
      <c r="G270" s="12" t="str">
        <f t="shared" si="1"/>
        <v/>
      </c>
      <c r="H270" s="2"/>
      <c r="I270" s="2"/>
      <c r="J270" s="2"/>
      <c r="K270" s="2"/>
      <c r="L270" s="2"/>
    </row>
    <row r="271" ht="15.0" customHeight="1">
      <c r="A271" s="15"/>
      <c r="B271" s="11" t="str">
        <f t="array" ref="B271">IFERROR(INDEX('Patient Bills'!$B:$B,MATCH(A271,'Patient Bills'!$A:$A,0)),"")</f>
        <v/>
      </c>
      <c r="C271" s="15"/>
      <c r="D271" s="15"/>
      <c r="E271" s="12"/>
      <c r="F271" s="12"/>
      <c r="G271" s="12" t="str">
        <f t="shared" si="1"/>
        <v/>
      </c>
      <c r="H271" s="2"/>
      <c r="I271" s="2"/>
      <c r="J271" s="2"/>
      <c r="K271" s="2"/>
      <c r="L271" s="2"/>
    </row>
    <row r="272" ht="15.0" customHeight="1">
      <c r="A272" s="15"/>
      <c r="B272" s="11" t="str">
        <f t="array" ref="B272">IFERROR(INDEX('Patient Bills'!$B:$B,MATCH(A272,'Patient Bills'!$A:$A,0)),"")</f>
        <v/>
      </c>
      <c r="C272" s="15"/>
      <c r="D272" s="15"/>
      <c r="E272" s="12"/>
      <c r="F272" s="12"/>
      <c r="G272" s="12" t="str">
        <f t="shared" si="1"/>
        <v/>
      </c>
      <c r="H272" s="2"/>
      <c r="I272" s="2"/>
      <c r="J272" s="2"/>
      <c r="K272" s="2"/>
      <c r="L272" s="2"/>
    </row>
    <row r="273" ht="15.0" customHeight="1">
      <c r="A273" s="15"/>
      <c r="B273" s="11" t="str">
        <f t="array" ref="B273">IFERROR(INDEX('Patient Bills'!$B:$B,MATCH(A273,'Patient Bills'!$A:$A,0)),"")</f>
        <v/>
      </c>
      <c r="C273" s="15"/>
      <c r="D273" s="15"/>
      <c r="E273" s="12"/>
      <c r="F273" s="12"/>
      <c r="G273" s="12" t="str">
        <f t="shared" si="1"/>
        <v/>
      </c>
      <c r="H273" s="2"/>
      <c r="I273" s="2"/>
      <c r="J273" s="2"/>
      <c r="K273" s="2"/>
      <c r="L273" s="2"/>
    </row>
    <row r="274" ht="15.0" customHeight="1">
      <c r="A274" s="15"/>
      <c r="B274" s="11" t="str">
        <f t="array" ref="B274">IFERROR(INDEX('Patient Bills'!$B:$B,MATCH(A274,'Patient Bills'!$A:$A,0)),"")</f>
        <v/>
      </c>
      <c r="C274" s="15"/>
      <c r="D274" s="15"/>
      <c r="E274" s="12"/>
      <c r="F274" s="12"/>
      <c r="G274" s="12" t="str">
        <f t="shared" si="1"/>
        <v/>
      </c>
      <c r="H274" s="2"/>
      <c r="I274" s="2"/>
      <c r="J274" s="2"/>
      <c r="K274" s="2"/>
      <c r="L274" s="2"/>
    </row>
    <row r="275" ht="15.0" customHeight="1">
      <c r="A275" s="15"/>
      <c r="B275" s="11" t="str">
        <f t="array" ref="B275">IFERROR(INDEX('Patient Bills'!$B:$B,MATCH(A275,'Patient Bills'!$A:$A,0)),"")</f>
        <v/>
      </c>
      <c r="C275" s="15"/>
      <c r="D275" s="15"/>
      <c r="E275" s="12"/>
      <c r="F275" s="12"/>
      <c r="G275" s="12" t="str">
        <f t="shared" si="1"/>
        <v/>
      </c>
      <c r="H275" s="2"/>
      <c r="I275" s="2"/>
      <c r="J275" s="2"/>
      <c r="K275" s="2"/>
      <c r="L275" s="2"/>
    </row>
    <row r="276" ht="15.0" customHeight="1">
      <c r="A276" s="15"/>
      <c r="B276" s="11" t="str">
        <f t="array" ref="B276">IFERROR(INDEX('Patient Bills'!$B:$B,MATCH(A276,'Patient Bills'!$A:$A,0)),"")</f>
        <v/>
      </c>
      <c r="C276" s="15"/>
      <c r="D276" s="15"/>
      <c r="E276" s="12"/>
      <c r="F276" s="12"/>
      <c r="G276" s="12" t="str">
        <f t="shared" si="1"/>
        <v/>
      </c>
      <c r="H276" s="2"/>
      <c r="I276" s="2"/>
      <c r="J276" s="2"/>
      <c r="K276" s="2"/>
      <c r="L276" s="2"/>
    </row>
    <row r="277" ht="15.0" customHeight="1">
      <c r="A277" s="15"/>
      <c r="B277" s="11" t="str">
        <f t="array" ref="B277">IFERROR(INDEX('Patient Bills'!$B:$B,MATCH(A277,'Patient Bills'!$A:$A,0)),"")</f>
        <v/>
      </c>
      <c r="C277" s="15"/>
      <c r="D277" s="15"/>
      <c r="E277" s="12"/>
      <c r="F277" s="12"/>
      <c r="G277" s="12" t="str">
        <f t="shared" si="1"/>
        <v/>
      </c>
      <c r="H277" s="2"/>
      <c r="I277" s="2"/>
      <c r="J277" s="2"/>
      <c r="K277" s="2"/>
      <c r="L277" s="2"/>
    </row>
    <row r="278" ht="15.0" customHeight="1">
      <c r="A278" s="15"/>
      <c r="B278" s="11" t="str">
        <f t="array" ref="B278">IFERROR(INDEX('Patient Bills'!$B:$B,MATCH(A278,'Patient Bills'!$A:$A,0)),"")</f>
        <v/>
      </c>
      <c r="C278" s="15"/>
      <c r="D278" s="15"/>
      <c r="E278" s="12"/>
      <c r="F278" s="12"/>
      <c r="G278" s="12" t="str">
        <f t="shared" si="1"/>
        <v/>
      </c>
      <c r="H278" s="2"/>
      <c r="I278" s="2"/>
      <c r="J278" s="2"/>
      <c r="K278" s="2"/>
      <c r="L278" s="2"/>
    </row>
    <row r="279" ht="15.0" customHeight="1">
      <c r="A279" s="15"/>
      <c r="B279" s="11" t="str">
        <f t="array" ref="B279">IFERROR(INDEX('Patient Bills'!$B:$B,MATCH(A279,'Patient Bills'!$A:$A,0)),"")</f>
        <v/>
      </c>
      <c r="C279" s="15"/>
      <c r="D279" s="15"/>
      <c r="E279" s="12"/>
      <c r="F279" s="12"/>
      <c r="G279" s="12" t="str">
        <f t="shared" si="1"/>
        <v/>
      </c>
      <c r="H279" s="2"/>
      <c r="I279" s="2"/>
      <c r="J279" s="2"/>
      <c r="K279" s="2"/>
      <c r="L279" s="2"/>
    </row>
    <row r="280" ht="15.0" customHeight="1">
      <c r="A280" s="15"/>
      <c r="B280" s="11" t="str">
        <f t="array" ref="B280">IFERROR(INDEX('Patient Bills'!$B:$B,MATCH(A280,'Patient Bills'!$A:$A,0)),"")</f>
        <v/>
      </c>
      <c r="C280" s="15"/>
      <c r="D280" s="15"/>
      <c r="E280" s="12"/>
      <c r="F280" s="12"/>
      <c r="G280" s="12" t="str">
        <f t="shared" si="1"/>
        <v/>
      </c>
      <c r="H280" s="2"/>
      <c r="I280" s="2"/>
      <c r="J280" s="2"/>
      <c r="K280" s="2"/>
      <c r="L280" s="2"/>
    </row>
    <row r="281" ht="15.0" customHeight="1">
      <c r="A281" s="15"/>
      <c r="B281" s="11" t="str">
        <f t="array" ref="B281">IFERROR(INDEX('Patient Bills'!$B:$B,MATCH(A281,'Patient Bills'!$A:$A,0)),"")</f>
        <v/>
      </c>
      <c r="C281" s="15"/>
      <c r="D281" s="15"/>
      <c r="E281" s="12"/>
      <c r="F281" s="12"/>
      <c r="G281" s="12" t="str">
        <f t="shared" si="1"/>
        <v/>
      </c>
      <c r="H281" s="2"/>
      <c r="I281" s="2"/>
      <c r="J281" s="2"/>
      <c r="K281" s="2"/>
      <c r="L281" s="2"/>
    </row>
    <row r="282" ht="15.0" customHeight="1">
      <c r="A282" s="15"/>
      <c r="B282" s="11" t="str">
        <f t="array" ref="B282">IFERROR(INDEX('Patient Bills'!$B:$B,MATCH(A282,'Patient Bills'!$A:$A,0)),"")</f>
        <v/>
      </c>
      <c r="C282" s="15"/>
      <c r="D282" s="15"/>
      <c r="E282" s="12"/>
      <c r="F282" s="12"/>
      <c r="G282" s="12" t="str">
        <f t="shared" si="1"/>
        <v/>
      </c>
      <c r="H282" s="2"/>
      <c r="I282" s="2"/>
      <c r="J282" s="2"/>
      <c r="K282" s="2"/>
      <c r="L282" s="2"/>
    </row>
    <row r="283" ht="15.0" customHeight="1">
      <c r="A283" s="15"/>
      <c r="B283" s="11" t="str">
        <f t="array" ref="B283">IFERROR(INDEX('Patient Bills'!$B:$B,MATCH(A283,'Patient Bills'!$A:$A,0)),"")</f>
        <v/>
      </c>
      <c r="C283" s="15"/>
      <c r="D283" s="15"/>
      <c r="E283" s="12"/>
      <c r="F283" s="12"/>
      <c r="G283" s="12" t="str">
        <f t="shared" si="1"/>
        <v/>
      </c>
      <c r="H283" s="2"/>
      <c r="I283" s="2"/>
      <c r="J283" s="2"/>
      <c r="K283" s="2"/>
      <c r="L283" s="2"/>
    </row>
    <row r="284" ht="15.0" customHeight="1">
      <c r="A284" s="15"/>
      <c r="B284" s="11" t="str">
        <f t="array" ref="B284">IFERROR(INDEX('Patient Bills'!$B:$B,MATCH(A284,'Patient Bills'!$A:$A,0)),"")</f>
        <v/>
      </c>
      <c r="C284" s="15"/>
      <c r="D284" s="15"/>
      <c r="E284" s="12"/>
      <c r="F284" s="12"/>
      <c r="G284" s="12" t="str">
        <f t="shared" si="1"/>
        <v/>
      </c>
      <c r="H284" s="2"/>
      <c r="I284" s="2"/>
      <c r="J284" s="2"/>
      <c r="K284" s="2"/>
      <c r="L284" s="2"/>
    </row>
    <row r="285" ht="15.0" customHeight="1">
      <c r="A285" s="15"/>
      <c r="B285" s="11" t="str">
        <f t="array" ref="B285">IFERROR(INDEX('Patient Bills'!$B:$B,MATCH(A285,'Patient Bills'!$A:$A,0)),"")</f>
        <v/>
      </c>
      <c r="C285" s="15"/>
      <c r="D285" s="15"/>
      <c r="E285" s="12"/>
      <c r="F285" s="12"/>
      <c r="G285" s="12" t="str">
        <f t="shared" si="1"/>
        <v/>
      </c>
      <c r="H285" s="2"/>
      <c r="I285" s="2"/>
      <c r="J285" s="2"/>
      <c r="K285" s="2"/>
      <c r="L285" s="2"/>
    </row>
    <row r="286" ht="15.0" customHeight="1">
      <c r="A286" s="15"/>
      <c r="B286" s="11" t="str">
        <f t="array" ref="B286">IFERROR(INDEX('Patient Bills'!$B:$B,MATCH(A286,'Patient Bills'!$A:$A,0)),"")</f>
        <v/>
      </c>
      <c r="C286" s="15"/>
      <c r="D286" s="15"/>
      <c r="E286" s="12"/>
      <c r="F286" s="12"/>
      <c r="G286" s="12" t="str">
        <f t="shared" si="1"/>
        <v/>
      </c>
      <c r="H286" s="2"/>
      <c r="I286" s="2"/>
      <c r="J286" s="2"/>
      <c r="K286" s="2"/>
      <c r="L286" s="2"/>
    </row>
    <row r="287" ht="15.0" customHeight="1">
      <c r="A287" s="15"/>
      <c r="B287" s="11" t="str">
        <f t="array" ref="B287">IFERROR(INDEX('Patient Bills'!$B:$B,MATCH(A287,'Patient Bills'!$A:$A,0)),"")</f>
        <v/>
      </c>
      <c r="C287" s="15"/>
      <c r="D287" s="15"/>
      <c r="E287" s="12"/>
      <c r="F287" s="12"/>
      <c r="G287" s="12" t="str">
        <f t="shared" si="1"/>
        <v/>
      </c>
      <c r="H287" s="2"/>
      <c r="I287" s="2"/>
      <c r="J287" s="2"/>
      <c r="K287" s="2"/>
      <c r="L287" s="2"/>
    </row>
    <row r="288" ht="15.0" customHeight="1">
      <c r="A288" s="15"/>
      <c r="B288" s="11" t="str">
        <f t="array" ref="B288">IFERROR(INDEX('Patient Bills'!$B:$B,MATCH(A288,'Patient Bills'!$A:$A,0)),"")</f>
        <v/>
      </c>
      <c r="C288" s="15"/>
      <c r="D288" s="15"/>
      <c r="E288" s="12"/>
      <c r="F288" s="12"/>
      <c r="G288" s="12" t="str">
        <f t="shared" si="1"/>
        <v/>
      </c>
      <c r="H288" s="2"/>
      <c r="I288" s="2"/>
      <c r="J288" s="2"/>
      <c r="K288" s="2"/>
      <c r="L288" s="2"/>
    </row>
    <row r="289" ht="15.0" customHeight="1">
      <c r="A289" s="15"/>
      <c r="B289" s="11" t="str">
        <f t="array" ref="B289">IFERROR(INDEX('Patient Bills'!$B:$B,MATCH(A289,'Patient Bills'!$A:$A,0)),"")</f>
        <v/>
      </c>
      <c r="C289" s="15"/>
      <c r="D289" s="15"/>
      <c r="E289" s="12"/>
      <c r="F289" s="12"/>
      <c r="G289" s="12" t="str">
        <f t="shared" si="1"/>
        <v/>
      </c>
      <c r="H289" s="2"/>
      <c r="I289" s="2"/>
      <c r="J289" s="2"/>
      <c r="K289" s="2"/>
      <c r="L289" s="2"/>
    </row>
    <row r="290" ht="15.0" customHeight="1">
      <c r="A290" s="15"/>
      <c r="B290" s="11" t="str">
        <f t="array" ref="B290">IFERROR(INDEX('Patient Bills'!$B:$B,MATCH(A290,'Patient Bills'!$A:$A,0)),"")</f>
        <v/>
      </c>
      <c r="C290" s="15"/>
      <c r="D290" s="15"/>
      <c r="E290" s="12"/>
      <c r="F290" s="12"/>
      <c r="G290" s="12" t="str">
        <f t="shared" si="1"/>
        <v/>
      </c>
      <c r="H290" s="2"/>
      <c r="I290" s="2"/>
      <c r="J290" s="2"/>
      <c r="K290" s="2"/>
      <c r="L290" s="2"/>
    </row>
    <row r="291" ht="15.0" customHeight="1">
      <c r="A291" s="15"/>
      <c r="B291" s="11" t="str">
        <f t="array" ref="B291">IFERROR(INDEX('Patient Bills'!$B:$B,MATCH(A291,'Patient Bills'!$A:$A,0)),"")</f>
        <v/>
      </c>
      <c r="C291" s="15"/>
      <c r="D291" s="15"/>
      <c r="E291" s="12"/>
      <c r="F291" s="12"/>
      <c r="G291" s="12" t="str">
        <f t="shared" si="1"/>
        <v/>
      </c>
      <c r="H291" s="2"/>
      <c r="I291" s="2"/>
      <c r="J291" s="2"/>
      <c r="K291" s="2"/>
      <c r="L291" s="2"/>
    </row>
    <row r="292" ht="15.0" customHeight="1">
      <c r="A292" s="15"/>
      <c r="B292" s="11" t="str">
        <f t="array" ref="B292">IFERROR(INDEX('Patient Bills'!$B:$B,MATCH(A292,'Patient Bills'!$A:$A,0)),"")</f>
        <v/>
      </c>
      <c r="C292" s="15"/>
      <c r="D292" s="15"/>
      <c r="E292" s="12"/>
      <c r="F292" s="12"/>
      <c r="G292" s="12" t="str">
        <f t="shared" si="1"/>
        <v/>
      </c>
      <c r="H292" s="2"/>
      <c r="I292" s="2"/>
      <c r="J292" s="2"/>
      <c r="K292" s="2"/>
      <c r="L292" s="2"/>
    </row>
    <row r="293" ht="15.0" customHeight="1">
      <c r="A293" s="15"/>
      <c r="B293" s="11" t="str">
        <f t="array" ref="B293">IFERROR(INDEX('Patient Bills'!$B:$B,MATCH(A293,'Patient Bills'!$A:$A,0)),"")</f>
        <v/>
      </c>
      <c r="C293" s="15"/>
      <c r="D293" s="15"/>
      <c r="E293" s="12"/>
      <c r="F293" s="12"/>
      <c r="G293" s="12" t="str">
        <f t="shared" si="1"/>
        <v/>
      </c>
      <c r="H293" s="2"/>
      <c r="I293" s="2"/>
      <c r="J293" s="2"/>
      <c r="K293" s="2"/>
      <c r="L293" s="2"/>
    </row>
    <row r="294" ht="15.0" customHeight="1">
      <c r="A294" s="15"/>
      <c r="B294" s="11" t="str">
        <f t="array" ref="B294">IFERROR(INDEX('Patient Bills'!$B:$B,MATCH(A294,'Patient Bills'!$A:$A,0)),"")</f>
        <v/>
      </c>
      <c r="C294" s="15"/>
      <c r="D294" s="15"/>
      <c r="E294" s="12"/>
      <c r="F294" s="12"/>
      <c r="G294" s="12" t="str">
        <f t="shared" si="1"/>
        <v/>
      </c>
      <c r="H294" s="2"/>
      <c r="I294" s="2"/>
      <c r="J294" s="2"/>
      <c r="K294" s="2"/>
      <c r="L294" s="2"/>
    </row>
    <row r="295" ht="15.0" customHeight="1">
      <c r="A295" s="15"/>
      <c r="B295" s="11" t="str">
        <f t="array" ref="B295">IFERROR(INDEX('Patient Bills'!$B:$B,MATCH(A295,'Patient Bills'!$A:$A,0)),"")</f>
        <v/>
      </c>
      <c r="C295" s="15"/>
      <c r="D295" s="15"/>
      <c r="E295" s="12"/>
      <c r="F295" s="12"/>
      <c r="G295" s="12" t="str">
        <f t="shared" si="1"/>
        <v/>
      </c>
      <c r="H295" s="2"/>
      <c r="I295" s="2"/>
      <c r="J295" s="2"/>
      <c r="K295" s="2"/>
      <c r="L295" s="2"/>
    </row>
    <row r="296" ht="15.0" customHeight="1">
      <c r="A296" s="15"/>
      <c r="B296" s="11" t="str">
        <f t="array" ref="B296">IFERROR(INDEX('Patient Bills'!$B:$B,MATCH(A296,'Patient Bills'!$A:$A,0)),"")</f>
        <v/>
      </c>
      <c r="C296" s="15"/>
      <c r="D296" s="15"/>
      <c r="E296" s="12"/>
      <c r="F296" s="12"/>
      <c r="G296" s="12" t="str">
        <f t="shared" si="1"/>
        <v/>
      </c>
      <c r="H296" s="2"/>
      <c r="I296" s="2"/>
      <c r="J296" s="2"/>
      <c r="K296" s="2"/>
      <c r="L296" s="2"/>
    </row>
    <row r="297" ht="15.0" customHeight="1">
      <c r="A297" s="15"/>
      <c r="B297" s="11" t="str">
        <f t="array" ref="B297">IFERROR(INDEX('Patient Bills'!$B:$B,MATCH(A297,'Patient Bills'!$A:$A,0)),"")</f>
        <v/>
      </c>
      <c r="C297" s="15"/>
      <c r="D297" s="15"/>
      <c r="E297" s="12"/>
      <c r="F297" s="12"/>
      <c r="G297" s="12" t="str">
        <f t="shared" si="1"/>
        <v/>
      </c>
      <c r="H297" s="2"/>
      <c r="I297" s="2"/>
      <c r="J297" s="2"/>
      <c r="K297" s="2"/>
      <c r="L297" s="2"/>
    </row>
    <row r="298" ht="15.0" customHeight="1">
      <c r="A298" s="15"/>
      <c r="B298" s="11" t="str">
        <f t="array" ref="B298">IFERROR(INDEX('Patient Bills'!$B:$B,MATCH(A298,'Patient Bills'!$A:$A,0)),"")</f>
        <v/>
      </c>
      <c r="C298" s="15"/>
      <c r="D298" s="15"/>
      <c r="E298" s="12"/>
      <c r="F298" s="12"/>
      <c r="G298" s="12" t="str">
        <f t="shared" si="1"/>
        <v/>
      </c>
      <c r="H298" s="2"/>
      <c r="I298" s="2"/>
      <c r="J298" s="2"/>
      <c r="K298" s="2"/>
      <c r="L298" s="2"/>
    </row>
    <row r="299" ht="15.0" customHeight="1">
      <c r="A299" s="15"/>
      <c r="B299" s="11" t="str">
        <f t="array" ref="B299">IFERROR(INDEX('Patient Bills'!$B:$B,MATCH(A299,'Patient Bills'!$A:$A,0)),"")</f>
        <v/>
      </c>
      <c r="C299" s="15"/>
      <c r="D299" s="15"/>
      <c r="E299" s="12"/>
      <c r="F299" s="12"/>
      <c r="G299" s="12" t="str">
        <f t="shared" si="1"/>
        <v/>
      </c>
      <c r="H299" s="2"/>
      <c r="I299" s="2"/>
      <c r="J299" s="2"/>
      <c r="K299" s="2"/>
      <c r="L299" s="2"/>
    </row>
    <row r="300" ht="15.0" customHeight="1">
      <c r="A300" s="15"/>
      <c r="B300" s="11" t="str">
        <f t="array" ref="B300">IFERROR(INDEX('Patient Bills'!$B:$B,MATCH(A300,'Patient Bills'!$A:$A,0)),"")</f>
        <v/>
      </c>
      <c r="C300" s="15"/>
      <c r="D300" s="15"/>
      <c r="E300" s="12"/>
      <c r="F300" s="12"/>
      <c r="G300" s="12" t="str">
        <f t="shared" si="1"/>
        <v/>
      </c>
      <c r="H300" s="2"/>
      <c r="I300" s="2"/>
      <c r="J300" s="2"/>
      <c r="K300" s="2"/>
      <c r="L300" s="2"/>
    </row>
    <row r="301" ht="15.0" customHeight="1">
      <c r="A301" s="15"/>
      <c r="B301" s="11" t="str">
        <f t="array" ref="B301">IFERROR(INDEX('Patient Bills'!$B:$B,MATCH(A301,'Patient Bills'!$A:$A,0)),"")</f>
        <v/>
      </c>
      <c r="C301" s="15"/>
      <c r="D301" s="15"/>
      <c r="E301" s="12"/>
      <c r="F301" s="12"/>
      <c r="G301" s="12" t="str">
        <f t="shared" si="1"/>
        <v/>
      </c>
      <c r="H301" s="2"/>
      <c r="I301" s="2"/>
      <c r="J301" s="2"/>
      <c r="K301" s="2"/>
      <c r="L301" s="2"/>
    </row>
    <row r="302" ht="15.0" customHeight="1">
      <c r="A302" s="15"/>
      <c r="B302" s="11" t="str">
        <f t="array" ref="B302">IFERROR(INDEX('Patient Bills'!$B:$B,MATCH(A302,'Patient Bills'!$A:$A,0)),"")</f>
        <v/>
      </c>
      <c r="C302" s="15"/>
      <c r="D302" s="15"/>
      <c r="E302" s="12"/>
      <c r="F302" s="12"/>
      <c r="G302" s="12" t="str">
        <f t="shared" si="1"/>
        <v/>
      </c>
      <c r="H302" s="2"/>
      <c r="I302" s="2"/>
      <c r="J302" s="2"/>
      <c r="K302" s="2"/>
      <c r="L302" s="2"/>
    </row>
    <row r="303" ht="15.0" customHeight="1">
      <c r="A303" s="15"/>
      <c r="B303" s="11" t="str">
        <f t="array" ref="B303">IFERROR(INDEX('Patient Bills'!$B:$B,MATCH(A303,'Patient Bills'!$A:$A,0)),"")</f>
        <v/>
      </c>
      <c r="C303" s="15"/>
      <c r="D303" s="15"/>
      <c r="E303" s="12"/>
      <c r="F303" s="12"/>
      <c r="G303" s="12" t="str">
        <f t="shared" si="1"/>
        <v/>
      </c>
      <c r="H303" s="2"/>
      <c r="I303" s="2"/>
      <c r="J303" s="2"/>
      <c r="K303" s="2"/>
      <c r="L303" s="2"/>
    </row>
    <row r="304" ht="15.0" customHeight="1">
      <c r="A304" s="15"/>
      <c r="B304" s="11" t="str">
        <f t="array" ref="B304">IFERROR(INDEX('Patient Bills'!$B:$B,MATCH(A304,'Patient Bills'!$A:$A,0)),"")</f>
        <v/>
      </c>
      <c r="C304" s="15"/>
      <c r="D304" s="15"/>
      <c r="E304" s="12"/>
      <c r="F304" s="12"/>
      <c r="G304" s="12" t="str">
        <f t="shared" si="1"/>
        <v/>
      </c>
      <c r="H304" s="2"/>
      <c r="I304" s="2"/>
      <c r="J304" s="2"/>
      <c r="K304" s="2"/>
      <c r="L304" s="2"/>
    </row>
    <row r="305" ht="15.0" customHeight="1">
      <c r="A305" s="15"/>
      <c r="B305" s="11" t="str">
        <f t="array" ref="B305">IFERROR(INDEX('Patient Bills'!$B:$B,MATCH(A305,'Patient Bills'!$A:$A,0)),"")</f>
        <v/>
      </c>
      <c r="C305" s="15"/>
      <c r="D305" s="15"/>
      <c r="E305" s="12"/>
      <c r="F305" s="12"/>
      <c r="G305" s="12" t="str">
        <f t="shared" si="1"/>
        <v/>
      </c>
      <c r="H305" s="2"/>
      <c r="I305" s="2"/>
      <c r="J305" s="2"/>
      <c r="K305" s="2"/>
      <c r="L305" s="2"/>
    </row>
    <row r="306" ht="15.0" customHeight="1">
      <c r="A306" s="15"/>
      <c r="B306" s="11" t="str">
        <f t="array" ref="B306">IFERROR(INDEX('Patient Bills'!$B:$B,MATCH(A306,'Patient Bills'!$A:$A,0)),"")</f>
        <v/>
      </c>
      <c r="C306" s="15"/>
      <c r="D306" s="15"/>
      <c r="E306" s="12"/>
      <c r="F306" s="12"/>
      <c r="G306" s="12" t="str">
        <f t="shared" si="1"/>
        <v/>
      </c>
      <c r="H306" s="2"/>
      <c r="I306" s="2"/>
      <c r="J306" s="2"/>
      <c r="K306" s="2"/>
      <c r="L306" s="2"/>
    </row>
    <row r="307" ht="15.0" customHeight="1">
      <c r="A307" s="15"/>
      <c r="B307" s="11" t="str">
        <f t="array" ref="B307">IFERROR(INDEX('Patient Bills'!$B:$B,MATCH(A307,'Patient Bills'!$A:$A,0)),"")</f>
        <v/>
      </c>
      <c r="C307" s="15"/>
      <c r="D307" s="15"/>
      <c r="E307" s="12"/>
      <c r="F307" s="12"/>
      <c r="G307" s="12" t="str">
        <f t="shared" si="1"/>
        <v/>
      </c>
      <c r="H307" s="2"/>
      <c r="I307" s="2"/>
      <c r="J307" s="2"/>
      <c r="K307" s="2"/>
      <c r="L307" s="2"/>
    </row>
    <row r="308" ht="15.0" customHeight="1">
      <c r="A308" s="15"/>
      <c r="B308" s="11" t="str">
        <f t="array" ref="B308">IFERROR(INDEX('Patient Bills'!$B:$B,MATCH(A308,'Patient Bills'!$A:$A,0)),"")</f>
        <v/>
      </c>
      <c r="C308" s="15"/>
      <c r="D308" s="15"/>
      <c r="E308" s="12"/>
      <c r="F308" s="12"/>
      <c r="G308" s="12" t="str">
        <f t="shared" si="1"/>
        <v/>
      </c>
      <c r="H308" s="2"/>
      <c r="I308" s="2"/>
      <c r="J308" s="2"/>
      <c r="K308" s="2"/>
      <c r="L308" s="2"/>
    </row>
    <row r="309" ht="15.0" customHeight="1">
      <c r="A309" s="15"/>
      <c r="B309" s="11" t="str">
        <f t="array" ref="B309">IFERROR(INDEX('Patient Bills'!$B:$B,MATCH(A309,'Patient Bills'!$A:$A,0)),"")</f>
        <v/>
      </c>
      <c r="C309" s="15"/>
      <c r="D309" s="15"/>
      <c r="E309" s="12"/>
      <c r="F309" s="12"/>
      <c r="G309" s="12" t="str">
        <f t="shared" si="1"/>
        <v/>
      </c>
      <c r="H309" s="2"/>
      <c r="I309" s="2"/>
      <c r="J309" s="2"/>
      <c r="K309" s="2"/>
      <c r="L309" s="2"/>
    </row>
    <row r="310" ht="15.0" customHeight="1">
      <c r="A310" s="15"/>
      <c r="B310" s="11" t="str">
        <f t="array" ref="B310">IFERROR(INDEX('Patient Bills'!$B:$B,MATCH(A310,'Patient Bills'!$A:$A,0)),"")</f>
        <v/>
      </c>
      <c r="C310" s="15"/>
      <c r="D310" s="15"/>
      <c r="E310" s="12"/>
      <c r="F310" s="12"/>
      <c r="G310" s="12" t="str">
        <f t="shared" si="1"/>
        <v/>
      </c>
      <c r="H310" s="2"/>
      <c r="I310" s="2"/>
      <c r="J310" s="2"/>
      <c r="K310" s="2"/>
      <c r="L310" s="2"/>
    </row>
    <row r="311" ht="15.0" customHeight="1">
      <c r="A311" s="15"/>
      <c r="B311" s="11" t="str">
        <f t="array" ref="B311">IFERROR(INDEX('Patient Bills'!$B:$B,MATCH(A311,'Patient Bills'!$A:$A,0)),"")</f>
        <v/>
      </c>
      <c r="C311" s="15"/>
      <c r="D311" s="15"/>
      <c r="E311" s="12"/>
      <c r="F311" s="12"/>
      <c r="G311" s="12" t="str">
        <f t="shared" si="1"/>
        <v/>
      </c>
      <c r="H311" s="2"/>
      <c r="I311" s="2"/>
      <c r="J311" s="2"/>
      <c r="K311" s="2"/>
      <c r="L311" s="2"/>
    </row>
    <row r="312" ht="15.0" customHeight="1">
      <c r="A312" s="15"/>
      <c r="B312" s="11" t="str">
        <f t="array" ref="B312">IFERROR(INDEX('Patient Bills'!$B:$B,MATCH(A312,'Patient Bills'!$A:$A,0)),"")</f>
        <v/>
      </c>
      <c r="C312" s="15"/>
      <c r="D312" s="15"/>
      <c r="E312" s="12"/>
      <c r="F312" s="12"/>
      <c r="G312" s="12" t="str">
        <f t="shared" si="1"/>
        <v/>
      </c>
      <c r="H312" s="2"/>
      <c r="I312" s="2"/>
      <c r="J312" s="2"/>
      <c r="K312" s="2"/>
      <c r="L312" s="2"/>
    </row>
    <row r="313" ht="15.0" customHeight="1">
      <c r="A313" s="15"/>
      <c r="B313" s="11" t="str">
        <f t="array" ref="B313">IFERROR(INDEX('Patient Bills'!$B:$B,MATCH(A313,'Patient Bills'!$A:$A,0)),"")</f>
        <v/>
      </c>
      <c r="C313" s="15"/>
      <c r="D313" s="15"/>
      <c r="E313" s="12"/>
      <c r="F313" s="12"/>
      <c r="G313" s="12" t="str">
        <f t="shared" si="1"/>
        <v/>
      </c>
      <c r="H313" s="2"/>
      <c r="I313" s="2"/>
      <c r="J313" s="2"/>
      <c r="K313" s="2"/>
      <c r="L313" s="2"/>
    </row>
    <row r="314" ht="15.0" customHeight="1">
      <c r="A314" s="15"/>
      <c r="B314" s="11" t="str">
        <f t="array" ref="B314">IFERROR(INDEX('Patient Bills'!$B:$B,MATCH(A314,'Patient Bills'!$A:$A,0)),"")</f>
        <v/>
      </c>
      <c r="C314" s="15"/>
      <c r="D314" s="15"/>
      <c r="E314" s="12"/>
      <c r="F314" s="12"/>
      <c r="G314" s="12" t="str">
        <f t="shared" si="1"/>
        <v/>
      </c>
      <c r="H314" s="2"/>
      <c r="I314" s="2"/>
      <c r="J314" s="2"/>
      <c r="K314" s="2"/>
      <c r="L314" s="2"/>
    </row>
    <row r="315" ht="15.0" customHeight="1">
      <c r="A315" s="15"/>
      <c r="B315" s="11" t="str">
        <f t="array" ref="B315">IFERROR(INDEX('Patient Bills'!$B:$B,MATCH(A315,'Patient Bills'!$A:$A,0)),"")</f>
        <v/>
      </c>
      <c r="C315" s="15"/>
      <c r="D315" s="15"/>
      <c r="E315" s="12"/>
      <c r="F315" s="12"/>
      <c r="G315" s="12" t="str">
        <f t="shared" si="1"/>
        <v/>
      </c>
      <c r="H315" s="2"/>
      <c r="I315" s="2"/>
      <c r="J315" s="2"/>
      <c r="K315" s="2"/>
      <c r="L315" s="2"/>
    </row>
    <row r="316" ht="15.0" customHeight="1">
      <c r="A316" s="15"/>
      <c r="B316" s="11" t="str">
        <f t="array" ref="B316">IFERROR(INDEX('Patient Bills'!$B:$B,MATCH(A316,'Patient Bills'!$A:$A,0)),"")</f>
        <v/>
      </c>
      <c r="C316" s="15"/>
      <c r="D316" s="15"/>
      <c r="E316" s="12"/>
      <c r="F316" s="12"/>
      <c r="G316" s="12" t="str">
        <f t="shared" si="1"/>
        <v/>
      </c>
      <c r="H316" s="2"/>
      <c r="I316" s="2"/>
      <c r="J316" s="2"/>
      <c r="K316" s="2"/>
      <c r="L316" s="2"/>
    </row>
    <row r="317" ht="15.0" customHeight="1">
      <c r="A317" s="15"/>
      <c r="B317" s="11" t="str">
        <f t="array" ref="B317">IFERROR(INDEX('Patient Bills'!$B:$B,MATCH(A317,'Patient Bills'!$A:$A,0)),"")</f>
        <v/>
      </c>
      <c r="C317" s="15"/>
      <c r="D317" s="15"/>
      <c r="E317" s="12"/>
      <c r="F317" s="12"/>
      <c r="G317" s="12" t="str">
        <f t="shared" si="1"/>
        <v/>
      </c>
      <c r="H317" s="2"/>
      <c r="I317" s="2"/>
      <c r="J317" s="2"/>
      <c r="K317" s="2"/>
      <c r="L317" s="2"/>
    </row>
    <row r="318" ht="15.0" customHeight="1">
      <c r="A318" s="15"/>
      <c r="B318" s="11" t="str">
        <f t="array" ref="B318">IFERROR(INDEX('Patient Bills'!$B:$B,MATCH(A318,'Patient Bills'!$A:$A,0)),"")</f>
        <v/>
      </c>
      <c r="C318" s="15"/>
      <c r="D318" s="15"/>
      <c r="E318" s="12"/>
      <c r="F318" s="12"/>
      <c r="G318" s="12" t="str">
        <f t="shared" si="1"/>
        <v/>
      </c>
      <c r="H318" s="2"/>
      <c r="I318" s="2"/>
      <c r="J318" s="2"/>
      <c r="K318" s="2"/>
      <c r="L318" s="2"/>
    </row>
    <row r="319" ht="15.0" customHeight="1">
      <c r="A319" s="15"/>
      <c r="B319" s="11" t="str">
        <f t="array" ref="B319">IFERROR(INDEX('Patient Bills'!$B:$B,MATCH(A319,'Patient Bills'!$A:$A,0)),"")</f>
        <v/>
      </c>
      <c r="C319" s="15"/>
      <c r="D319" s="15"/>
      <c r="E319" s="12"/>
      <c r="F319" s="12"/>
      <c r="G319" s="12" t="str">
        <f t="shared" si="1"/>
        <v/>
      </c>
      <c r="H319" s="2"/>
      <c r="I319" s="2"/>
      <c r="J319" s="2"/>
      <c r="K319" s="2"/>
      <c r="L319" s="2"/>
    </row>
    <row r="320" ht="15.0" customHeight="1">
      <c r="A320" s="15"/>
      <c r="B320" s="11" t="str">
        <f t="array" ref="B320">IFERROR(INDEX('Patient Bills'!$B:$B,MATCH(A320,'Patient Bills'!$A:$A,0)),"")</f>
        <v/>
      </c>
      <c r="C320" s="15"/>
      <c r="D320" s="15"/>
      <c r="E320" s="12"/>
      <c r="F320" s="12"/>
      <c r="G320" s="12" t="str">
        <f t="shared" si="1"/>
        <v/>
      </c>
      <c r="H320" s="2"/>
      <c r="I320" s="2"/>
      <c r="J320" s="2"/>
      <c r="K320" s="2"/>
      <c r="L320" s="2"/>
    </row>
    <row r="321" ht="15.0" customHeight="1">
      <c r="A321" s="15"/>
      <c r="B321" s="11" t="str">
        <f t="array" ref="B321">IFERROR(INDEX('Patient Bills'!$B:$B,MATCH(A321,'Patient Bills'!$A:$A,0)),"")</f>
        <v/>
      </c>
      <c r="C321" s="15"/>
      <c r="D321" s="15"/>
      <c r="E321" s="12"/>
      <c r="F321" s="12"/>
      <c r="G321" s="12" t="str">
        <f t="shared" si="1"/>
        <v/>
      </c>
      <c r="H321" s="2"/>
      <c r="I321" s="2"/>
      <c r="J321" s="2"/>
      <c r="K321" s="2"/>
      <c r="L321" s="2"/>
    </row>
    <row r="322" ht="15.0" customHeight="1">
      <c r="A322" s="15"/>
      <c r="B322" s="11" t="str">
        <f t="array" ref="B322">IFERROR(INDEX('Patient Bills'!$B:$B,MATCH(A322,'Patient Bills'!$A:$A,0)),"")</f>
        <v/>
      </c>
      <c r="C322" s="15"/>
      <c r="D322" s="15"/>
      <c r="E322" s="12"/>
      <c r="F322" s="12"/>
      <c r="G322" s="12" t="str">
        <f t="shared" si="1"/>
        <v/>
      </c>
      <c r="H322" s="2"/>
      <c r="I322" s="2"/>
      <c r="J322" s="2"/>
      <c r="K322" s="2"/>
      <c r="L322" s="2"/>
    </row>
    <row r="323" ht="15.0" customHeight="1">
      <c r="A323" s="15"/>
      <c r="B323" s="11" t="str">
        <f t="array" ref="B323">IFERROR(INDEX('Patient Bills'!$B:$B,MATCH(A323,'Patient Bills'!$A:$A,0)),"")</f>
        <v/>
      </c>
      <c r="C323" s="15"/>
      <c r="D323" s="15"/>
      <c r="E323" s="12"/>
      <c r="F323" s="12"/>
      <c r="G323" s="12" t="str">
        <f t="shared" si="1"/>
        <v/>
      </c>
      <c r="H323" s="2"/>
      <c r="I323" s="2"/>
      <c r="J323" s="2"/>
      <c r="K323" s="2"/>
      <c r="L323" s="2"/>
    </row>
    <row r="324" ht="15.0" customHeight="1">
      <c r="A324" s="15"/>
      <c r="B324" s="11" t="str">
        <f t="array" ref="B324">IFERROR(INDEX('Patient Bills'!$B:$B,MATCH(A324,'Patient Bills'!$A:$A,0)),"")</f>
        <v/>
      </c>
      <c r="C324" s="15"/>
      <c r="D324" s="15"/>
      <c r="E324" s="12"/>
      <c r="F324" s="12"/>
      <c r="G324" s="12" t="str">
        <f t="shared" si="1"/>
        <v/>
      </c>
      <c r="H324" s="2"/>
      <c r="I324" s="2"/>
      <c r="J324" s="2"/>
      <c r="K324" s="2"/>
      <c r="L324" s="2"/>
    </row>
    <row r="325" ht="15.0" customHeight="1">
      <c r="A325" s="15"/>
      <c r="B325" s="11" t="str">
        <f t="array" ref="B325">IFERROR(INDEX('Patient Bills'!$B:$B,MATCH(A325,'Patient Bills'!$A:$A,0)),"")</f>
        <v/>
      </c>
      <c r="C325" s="15"/>
      <c r="D325" s="15"/>
      <c r="E325" s="12"/>
      <c r="F325" s="12"/>
      <c r="G325" s="12" t="str">
        <f t="shared" si="1"/>
        <v/>
      </c>
      <c r="H325" s="2"/>
      <c r="I325" s="2"/>
      <c r="J325" s="2"/>
      <c r="K325" s="2"/>
      <c r="L325" s="2"/>
    </row>
    <row r="326" ht="15.0" customHeight="1">
      <c r="A326" s="15"/>
      <c r="B326" s="11" t="str">
        <f t="array" ref="B326">IFERROR(INDEX('Patient Bills'!$B:$B,MATCH(A326,'Patient Bills'!$A:$A,0)),"")</f>
        <v/>
      </c>
      <c r="C326" s="15"/>
      <c r="D326" s="15"/>
      <c r="E326" s="12"/>
      <c r="F326" s="12"/>
      <c r="G326" s="12" t="str">
        <f t="shared" si="1"/>
        <v/>
      </c>
      <c r="H326" s="2"/>
      <c r="I326" s="2"/>
      <c r="J326" s="2"/>
      <c r="K326" s="2"/>
      <c r="L326" s="2"/>
    </row>
    <row r="327" ht="15.0" customHeight="1">
      <c r="A327" s="15"/>
      <c r="B327" s="11" t="str">
        <f t="array" ref="B327">IFERROR(INDEX('Patient Bills'!$B:$B,MATCH(A327,'Patient Bills'!$A:$A,0)),"")</f>
        <v/>
      </c>
      <c r="C327" s="15"/>
      <c r="D327" s="15"/>
      <c r="E327" s="12"/>
      <c r="F327" s="12"/>
      <c r="G327" s="12" t="str">
        <f t="shared" si="1"/>
        <v/>
      </c>
      <c r="H327" s="2"/>
      <c r="I327" s="2"/>
      <c r="J327" s="2"/>
      <c r="K327" s="2"/>
      <c r="L327" s="2"/>
    </row>
    <row r="328" ht="15.0" customHeight="1">
      <c r="A328" s="15"/>
      <c r="B328" s="11" t="str">
        <f t="array" ref="B328">IFERROR(INDEX('Patient Bills'!$B:$B,MATCH(A328,'Patient Bills'!$A:$A,0)),"")</f>
        <v/>
      </c>
      <c r="C328" s="15"/>
      <c r="D328" s="15"/>
      <c r="E328" s="12"/>
      <c r="F328" s="12"/>
      <c r="G328" s="12" t="str">
        <f t="shared" si="1"/>
        <v/>
      </c>
      <c r="H328" s="2"/>
      <c r="I328" s="2"/>
      <c r="J328" s="2"/>
      <c r="K328" s="2"/>
      <c r="L328" s="2"/>
    </row>
    <row r="329" ht="15.0" customHeight="1">
      <c r="A329" s="15"/>
      <c r="B329" s="11" t="str">
        <f t="array" ref="B329">IFERROR(INDEX('Patient Bills'!$B:$B,MATCH(A329,'Patient Bills'!$A:$A,0)),"")</f>
        <v/>
      </c>
      <c r="C329" s="15"/>
      <c r="D329" s="15"/>
      <c r="E329" s="12"/>
      <c r="F329" s="12"/>
      <c r="G329" s="12" t="str">
        <f t="shared" si="1"/>
        <v/>
      </c>
      <c r="H329" s="2"/>
      <c r="I329" s="2"/>
      <c r="J329" s="2"/>
      <c r="K329" s="2"/>
      <c r="L329" s="2"/>
    </row>
    <row r="330" ht="15.0" customHeight="1">
      <c r="A330" s="15"/>
      <c r="B330" s="11" t="str">
        <f t="array" ref="B330">IFERROR(INDEX('Patient Bills'!$B:$B,MATCH(A330,'Patient Bills'!$A:$A,0)),"")</f>
        <v/>
      </c>
      <c r="C330" s="15"/>
      <c r="D330" s="15"/>
      <c r="E330" s="12"/>
      <c r="F330" s="12"/>
      <c r="G330" s="12" t="str">
        <f t="shared" si="1"/>
        <v/>
      </c>
      <c r="H330" s="2"/>
      <c r="I330" s="2"/>
      <c r="J330" s="2"/>
      <c r="K330" s="2"/>
      <c r="L330" s="2"/>
    </row>
    <row r="331" ht="15.0" customHeight="1">
      <c r="A331" s="15"/>
      <c r="B331" s="11" t="str">
        <f t="array" ref="B331">IFERROR(INDEX('Patient Bills'!$B:$B,MATCH(A331,'Patient Bills'!$A:$A,0)),"")</f>
        <v/>
      </c>
      <c r="C331" s="15"/>
      <c r="D331" s="15"/>
      <c r="E331" s="12"/>
      <c r="F331" s="12"/>
      <c r="G331" s="12" t="str">
        <f t="shared" si="1"/>
        <v/>
      </c>
      <c r="H331" s="2"/>
      <c r="I331" s="2"/>
      <c r="J331" s="2"/>
      <c r="K331" s="2"/>
      <c r="L331" s="2"/>
    </row>
    <row r="332" ht="15.0" customHeight="1">
      <c r="A332" s="15"/>
      <c r="B332" s="11" t="str">
        <f t="array" ref="B332">IFERROR(INDEX('Patient Bills'!$B:$B,MATCH(A332,'Patient Bills'!$A:$A,0)),"")</f>
        <v/>
      </c>
      <c r="C332" s="15"/>
      <c r="D332" s="15"/>
      <c r="E332" s="12"/>
      <c r="F332" s="12"/>
      <c r="G332" s="12" t="str">
        <f t="shared" si="1"/>
        <v/>
      </c>
      <c r="H332" s="2"/>
      <c r="I332" s="2"/>
      <c r="J332" s="2"/>
      <c r="K332" s="2"/>
      <c r="L332" s="2"/>
    </row>
    <row r="333" ht="15.0" customHeight="1">
      <c r="A333" s="15"/>
      <c r="B333" s="11" t="str">
        <f t="array" ref="B333">IFERROR(INDEX('Patient Bills'!$B:$B,MATCH(A333,'Patient Bills'!$A:$A,0)),"")</f>
        <v/>
      </c>
      <c r="C333" s="15"/>
      <c r="D333" s="15"/>
      <c r="E333" s="12"/>
      <c r="F333" s="12"/>
      <c r="G333" s="12" t="str">
        <f t="shared" si="1"/>
        <v/>
      </c>
      <c r="H333" s="2"/>
      <c r="I333" s="2"/>
      <c r="J333" s="2"/>
      <c r="K333" s="2"/>
      <c r="L333" s="2"/>
    </row>
    <row r="334" ht="15.0" customHeight="1">
      <c r="A334" s="15"/>
      <c r="B334" s="11" t="str">
        <f t="array" ref="B334">IFERROR(INDEX('Patient Bills'!$B:$B,MATCH(A334,'Patient Bills'!$A:$A,0)),"")</f>
        <v/>
      </c>
      <c r="C334" s="15"/>
      <c r="D334" s="15"/>
      <c r="E334" s="12"/>
      <c r="F334" s="12"/>
      <c r="G334" s="12" t="str">
        <f t="shared" si="1"/>
        <v/>
      </c>
      <c r="H334" s="2"/>
      <c r="I334" s="2"/>
      <c r="J334" s="2"/>
      <c r="K334" s="2"/>
      <c r="L334" s="2"/>
    </row>
    <row r="335" ht="15.0" customHeight="1">
      <c r="A335" s="15"/>
      <c r="B335" s="11" t="str">
        <f t="array" ref="B335">IFERROR(INDEX('Patient Bills'!$B:$B,MATCH(A335,'Patient Bills'!$A:$A,0)),"")</f>
        <v/>
      </c>
      <c r="C335" s="15"/>
      <c r="D335" s="15"/>
      <c r="E335" s="12"/>
      <c r="F335" s="12"/>
      <c r="G335" s="12" t="str">
        <f t="shared" si="1"/>
        <v/>
      </c>
      <c r="H335" s="2"/>
      <c r="I335" s="2"/>
      <c r="J335" s="2"/>
      <c r="K335" s="2"/>
      <c r="L335" s="2"/>
    </row>
    <row r="336" ht="15.0" customHeight="1">
      <c r="A336" s="15"/>
      <c r="B336" s="11" t="str">
        <f t="array" ref="B336">IFERROR(INDEX('Patient Bills'!$B:$B,MATCH(A336,'Patient Bills'!$A:$A,0)),"")</f>
        <v/>
      </c>
      <c r="C336" s="15"/>
      <c r="D336" s="15"/>
      <c r="E336" s="12"/>
      <c r="F336" s="12"/>
      <c r="G336" s="12" t="str">
        <f t="shared" si="1"/>
        <v/>
      </c>
      <c r="H336" s="2"/>
      <c r="I336" s="2"/>
      <c r="J336" s="2"/>
      <c r="K336" s="2"/>
      <c r="L336" s="2"/>
    </row>
    <row r="337" ht="15.0" customHeight="1">
      <c r="A337" s="15"/>
      <c r="B337" s="11" t="str">
        <f t="array" ref="B337">IFERROR(INDEX('Patient Bills'!$B:$B,MATCH(A337,'Patient Bills'!$A:$A,0)),"")</f>
        <v/>
      </c>
      <c r="C337" s="15"/>
      <c r="D337" s="15"/>
      <c r="E337" s="12"/>
      <c r="F337" s="12"/>
      <c r="G337" s="12" t="str">
        <f t="shared" si="1"/>
        <v/>
      </c>
      <c r="H337" s="2"/>
      <c r="I337" s="2"/>
      <c r="J337" s="2"/>
      <c r="K337" s="2"/>
      <c r="L337" s="2"/>
    </row>
    <row r="338" ht="15.0" customHeight="1">
      <c r="A338" s="15"/>
      <c r="B338" s="11" t="str">
        <f t="array" ref="B338">IFERROR(INDEX('Patient Bills'!$B:$B,MATCH(A338,'Patient Bills'!$A:$A,0)),"")</f>
        <v/>
      </c>
      <c r="C338" s="15"/>
      <c r="D338" s="15"/>
      <c r="E338" s="12"/>
      <c r="F338" s="12"/>
      <c r="G338" s="12" t="str">
        <f t="shared" si="1"/>
        <v/>
      </c>
      <c r="H338" s="2"/>
      <c r="I338" s="2"/>
      <c r="J338" s="2"/>
      <c r="K338" s="2"/>
      <c r="L338" s="2"/>
    </row>
    <row r="339" ht="15.0" customHeight="1">
      <c r="A339" s="15"/>
      <c r="B339" s="11" t="str">
        <f t="array" ref="B339">IFERROR(INDEX('Patient Bills'!$B:$B,MATCH(A339,'Patient Bills'!$A:$A,0)),"")</f>
        <v/>
      </c>
      <c r="C339" s="15"/>
      <c r="D339" s="15"/>
      <c r="E339" s="12"/>
      <c r="F339" s="12"/>
      <c r="G339" s="12" t="str">
        <f t="shared" si="1"/>
        <v/>
      </c>
      <c r="H339" s="2"/>
      <c r="I339" s="2"/>
      <c r="J339" s="2"/>
      <c r="K339" s="2"/>
      <c r="L339" s="2"/>
    </row>
    <row r="340" ht="15.0" customHeight="1">
      <c r="A340" s="15"/>
      <c r="B340" s="11" t="str">
        <f t="array" ref="B340">IFERROR(INDEX('Patient Bills'!$B:$B,MATCH(A340,'Patient Bills'!$A:$A,0)),"")</f>
        <v/>
      </c>
      <c r="C340" s="15"/>
      <c r="D340" s="15"/>
      <c r="E340" s="12"/>
      <c r="F340" s="12"/>
      <c r="G340" s="12" t="str">
        <f t="shared" si="1"/>
        <v/>
      </c>
      <c r="H340" s="2"/>
      <c r="I340" s="2"/>
      <c r="J340" s="2"/>
      <c r="K340" s="2"/>
      <c r="L340" s="2"/>
    </row>
    <row r="341" ht="15.0" customHeight="1">
      <c r="A341" s="15"/>
      <c r="B341" s="11" t="str">
        <f t="array" ref="B341">IFERROR(INDEX('Patient Bills'!$B:$B,MATCH(A341,'Patient Bills'!$A:$A,0)),"")</f>
        <v/>
      </c>
      <c r="C341" s="15"/>
      <c r="D341" s="15"/>
      <c r="E341" s="12"/>
      <c r="F341" s="12"/>
      <c r="G341" s="12" t="str">
        <f t="shared" si="1"/>
        <v/>
      </c>
      <c r="H341" s="2"/>
      <c r="I341" s="2"/>
      <c r="J341" s="2"/>
      <c r="K341" s="2"/>
      <c r="L341" s="2"/>
    </row>
    <row r="342" ht="15.0" customHeight="1">
      <c r="A342" s="15"/>
      <c r="B342" s="11" t="str">
        <f t="array" ref="B342">IFERROR(INDEX('Patient Bills'!$B:$B,MATCH(A342,'Patient Bills'!$A:$A,0)),"")</f>
        <v/>
      </c>
      <c r="C342" s="15"/>
      <c r="D342" s="15"/>
      <c r="E342" s="12"/>
      <c r="F342" s="12"/>
      <c r="G342" s="12" t="str">
        <f t="shared" si="1"/>
        <v/>
      </c>
      <c r="H342" s="2"/>
      <c r="I342" s="2"/>
      <c r="J342" s="2"/>
      <c r="K342" s="2"/>
      <c r="L342" s="2"/>
    </row>
    <row r="343" ht="15.0" customHeight="1">
      <c r="A343" s="15"/>
      <c r="B343" s="11" t="str">
        <f t="array" ref="B343">IFERROR(INDEX('Patient Bills'!$B:$B,MATCH(A343,'Patient Bills'!$A:$A,0)),"")</f>
        <v/>
      </c>
      <c r="C343" s="15"/>
      <c r="D343" s="15"/>
      <c r="E343" s="12"/>
      <c r="F343" s="12"/>
      <c r="G343" s="12" t="str">
        <f t="shared" si="1"/>
        <v/>
      </c>
      <c r="H343" s="2"/>
      <c r="I343" s="2"/>
      <c r="J343" s="2"/>
      <c r="K343" s="2"/>
      <c r="L343" s="2"/>
    </row>
    <row r="344" ht="15.0" customHeight="1">
      <c r="A344" s="15"/>
      <c r="B344" s="11" t="str">
        <f t="array" ref="B344">IFERROR(INDEX('Patient Bills'!$B:$B,MATCH(A344,'Patient Bills'!$A:$A,0)),"")</f>
        <v/>
      </c>
      <c r="C344" s="15"/>
      <c r="D344" s="15"/>
      <c r="E344" s="12"/>
      <c r="F344" s="12"/>
      <c r="G344" s="12" t="str">
        <f t="shared" si="1"/>
        <v/>
      </c>
      <c r="H344" s="2"/>
      <c r="I344" s="2"/>
      <c r="J344" s="2"/>
      <c r="K344" s="2"/>
      <c r="L344" s="2"/>
    </row>
    <row r="345" ht="15.0" customHeight="1">
      <c r="A345" s="15"/>
      <c r="B345" s="11" t="str">
        <f t="array" ref="B345">IFERROR(INDEX('Patient Bills'!$B:$B,MATCH(A345,'Patient Bills'!$A:$A,0)),"")</f>
        <v/>
      </c>
      <c r="C345" s="15"/>
      <c r="D345" s="15"/>
      <c r="E345" s="12"/>
      <c r="F345" s="12"/>
      <c r="G345" s="12" t="str">
        <f t="shared" si="1"/>
        <v/>
      </c>
      <c r="H345" s="2"/>
      <c r="I345" s="2"/>
      <c r="J345" s="2"/>
      <c r="K345" s="2"/>
      <c r="L345" s="2"/>
    </row>
    <row r="346" ht="15.0" customHeight="1">
      <c r="A346" s="15"/>
      <c r="B346" s="11" t="str">
        <f t="array" ref="B346">IFERROR(INDEX('Patient Bills'!$B:$B,MATCH(A346,'Patient Bills'!$A:$A,0)),"")</f>
        <v/>
      </c>
      <c r="C346" s="15"/>
      <c r="D346" s="15"/>
      <c r="E346" s="12"/>
      <c r="F346" s="12"/>
      <c r="G346" s="12" t="str">
        <f t="shared" si="1"/>
        <v/>
      </c>
      <c r="H346" s="2"/>
      <c r="I346" s="2"/>
      <c r="J346" s="2"/>
      <c r="K346" s="2"/>
      <c r="L346" s="2"/>
    </row>
    <row r="347" ht="15.0" customHeight="1">
      <c r="A347" s="15"/>
      <c r="B347" s="11" t="str">
        <f t="array" ref="B347">IFERROR(INDEX('Patient Bills'!$B:$B,MATCH(A347,'Patient Bills'!$A:$A,0)),"")</f>
        <v/>
      </c>
      <c r="C347" s="15"/>
      <c r="D347" s="15"/>
      <c r="E347" s="12"/>
      <c r="F347" s="12"/>
      <c r="G347" s="12" t="str">
        <f t="shared" si="1"/>
        <v/>
      </c>
      <c r="H347" s="2"/>
      <c r="I347" s="2"/>
      <c r="J347" s="2"/>
      <c r="K347" s="2"/>
      <c r="L347" s="2"/>
    </row>
    <row r="348" ht="15.0" customHeight="1">
      <c r="A348" s="15"/>
      <c r="B348" s="11" t="str">
        <f t="array" ref="B348">IFERROR(INDEX('Patient Bills'!$B:$B,MATCH(A348,'Patient Bills'!$A:$A,0)),"")</f>
        <v/>
      </c>
      <c r="C348" s="15"/>
      <c r="D348" s="15"/>
      <c r="E348" s="12"/>
      <c r="F348" s="12"/>
      <c r="G348" s="12" t="str">
        <f t="shared" si="1"/>
        <v/>
      </c>
      <c r="H348" s="2"/>
      <c r="I348" s="2"/>
      <c r="J348" s="2"/>
      <c r="K348" s="2"/>
      <c r="L348" s="2"/>
    </row>
    <row r="349" ht="15.0" customHeight="1">
      <c r="A349" s="15"/>
      <c r="B349" s="11" t="str">
        <f t="array" ref="B349">IFERROR(INDEX('Patient Bills'!$B:$B,MATCH(A349,'Patient Bills'!$A:$A,0)),"")</f>
        <v/>
      </c>
      <c r="C349" s="15"/>
      <c r="D349" s="15"/>
      <c r="E349" s="12"/>
      <c r="F349" s="12"/>
      <c r="G349" s="12" t="str">
        <f t="shared" si="1"/>
        <v/>
      </c>
      <c r="H349" s="2"/>
      <c r="I349" s="2"/>
      <c r="J349" s="2"/>
      <c r="K349" s="2"/>
      <c r="L349" s="2"/>
    </row>
    <row r="350" ht="15.0" customHeight="1">
      <c r="A350" s="15"/>
      <c r="B350" s="11" t="str">
        <f t="array" ref="B350">IFERROR(INDEX('Patient Bills'!$B:$B,MATCH(A350,'Patient Bills'!$A:$A,0)),"")</f>
        <v/>
      </c>
      <c r="C350" s="15"/>
      <c r="D350" s="15"/>
      <c r="E350" s="12"/>
      <c r="F350" s="12"/>
      <c r="G350" s="12" t="str">
        <f t="shared" si="1"/>
        <v/>
      </c>
      <c r="H350" s="2"/>
      <c r="I350" s="2"/>
      <c r="J350" s="2"/>
      <c r="K350" s="2"/>
      <c r="L350" s="2"/>
    </row>
    <row r="351" ht="15.0" customHeight="1">
      <c r="A351" s="15"/>
      <c r="B351" s="11" t="str">
        <f t="array" ref="B351">IFERROR(INDEX('Patient Bills'!$B:$B,MATCH(A351,'Patient Bills'!$A:$A,0)),"")</f>
        <v/>
      </c>
      <c r="C351" s="15"/>
      <c r="D351" s="15"/>
      <c r="E351" s="12"/>
      <c r="F351" s="12"/>
      <c r="G351" s="12" t="str">
        <f t="shared" si="1"/>
        <v/>
      </c>
      <c r="H351" s="2"/>
      <c r="I351" s="2"/>
      <c r="J351" s="2"/>
      <c r="K351" s="2"/>
      <c r="L351" s="2"/>
    </row>
    <row r="352" ht="15.0" customHeight="1">
      <c r="A352" s="15"/>
      <c r="B352" s="11" t="str">
        <f t="array" ref="B352">IFERROR(INDEX('Patient Bills'!$B:$B,MATCH(A352,'Patient Bills'!$A:$A,0)),"")</f>
        <v/>
      </c>
      <c r="C352" s="15"/>
      <c r="D352" s="15"/>
      <c r="E352" s="12"/>
      <c r="F352" s="12"/>
      <c r="G352" s="12" t="str">
        <f t="shared" si="1"/>
        <v/>
      </c>
      <c r="H352" s="2"/>
      <c r="I352" s="2"/>
      <c r="J352" s="2"/>
      <c r="K352" s="2"/>
      <c r="L352" s="2"/>
    </row>
    <row r="353" ht="15.0" customHeight="1">
      <c r="A353" s="15"/>
      <c r="B353" s="11" t="str">
        <f t="array" ref="B353">IFERROR(INDEX('Patient Bills'!$B:$B,MATCH(A353,'Patient Bills'!$A:$A,0)),"")</f>
        <v/>
      </c>
      <c r="C353" s="15"/>
      <c r="D353" s="15"/>
      <c r="E353" s="12"/>
      <c r="F353" s="12"/>
      <c r="G353" s="12" t="str">
        <f t="shared" si="1"/>
        <v/>
      </c>
      <c r="H353" s="2"/>
      <c r="I353" s="2"/>
      <c r="J353" s="2"/>
      <c r="K353" s="2"/>
      <c r="L353" s="2"/>
    </row>
    <row r="354" ht="15.0" customHeight="1">
      <c r="A354" s="15"/>
      <c r="B354" s="11" t="str">
        <f t="array" ref="B354">IFERROR(INDEX('Patient Bills'!$B:$B,MATCH(A354,'Patient Bills'!$A:$A,0)),"")</f>
        <v/>
      </c>
      <c r="C354" s="15"/>
      <c r="D354" s="15"/>
      <c r="E354" s="12"/>
      <c r="F354" s="12"/>
      <c r="G354" s="12" t="str">
        <f t="shared" si="1"/>
        <v/>
      </c>
      <c r="H354" s="2"/>
      <c r="I354" s="2"/>
      <c r="J354" s="2"/>
      <c r="K354" s="2"/>
      <c r="L354" s="2"/>
    </row>
    <row r="355" ht="15.0" customHeight="1">
      <c r="A355" s="15"/>
      <c r="B355" s="11" t="str">
        <f t="array" ref="B355">IFERROR(INDEX('Patient Bills'!$B:$B,MATCH(A355,'Patient Bills'!$A:$A,0)),"")</f>
        <v/>
      </c>
      <c r="C355" s="15"/>
      <c r="D355" s="15"/>
      <c r="E355" s="12"/>
      <c r="F355" s="12"/>
      <c r="G355" s="12" t="str">
        <f t="shared" si="1"/>
        <v/>
      </c>
      <c r="H355" s="2"/>
      <c r="I355" s="2"/>
      <c r="J355" s="2"/>
      <c r="K355" s="2"/>
      <c r="L355" s="2"/>
    </row>
    <row r="356" ht="15.0" customHeight="1">
      <c r="A356" s="15"/>
      <c r="B356" s="11" t="str">
        <f t="array" ref="B356">IFERROR(INDEX('Patient Bills'!$B:$B,MATCH(A356,'Patient Bills'!$A:$A,0)),"")</f>
        <v/>
      </c>
      <c r="C356" s="15"/>
      <c r="D356" s="15"/>
      <c r="E356" s="12"/>
      <c r="F356" s="12"/>
      <c r="G356" s="12" t="str">
        <f t="shared" si="1"/>
        <v/>
      </c>
      <c r="H356" s="2"/>
      <c r="I356" s="2"/>
      <c r="J356" s="2"/>
      <c r="K356" s="2"/>
      <c r="L356" s="2"/>
    </row>
    <row r="357" ht="15.0" customHeight="1">
      <c r="A357" s="15"/>
      <c r="B357" s="11" t="str">
        <f t="array" ref="B357">IFERROR(INDEX('Patient Bills'!$B:$B,MATCH(A357,'Patient Bills'!$A:$A,0)),"")</f>
        <v/>
      </c>
      <c r="C357" s="15"/>
      <c r="D357" s="15"/>
      <c r="E357" s="12"/>
      <c r="F357" s="12"/>
      <c r="G357" s="12" t="str">
        <f t="shared" si="1"/>
        <v/>
      </c>
      <c r="H357" s="2"/>
      <c r="I357" s="2"/>
      <c r="J357" s="2"/>
      <c r="K357" s="2"/>
      <c r="L357" s="2"/>
    </row>
    <row r="358" ht="15.0" customHeight="1">
      <c r="A358" s="15"/>
      <c r="B358" s="11" t="str">
        <f t="array" ref="B358">IFERROR(INDEX('Patient Bills'!$B:$B,MATCH(A358,'Patient Bills'!$A:$A,0)),"")</f>
        <v/>
      </c>
      <c r="C358" s="15"/>
      <c r="D358" s="15"/>
      <c r="E358" s="12"/>
      <c r="F358" s="12"/>
      <c r="G358" s="12" t="str">
        <f t="shared" si="1"/>
        <v/>
      </c>
      <c r="H358" s="2"/>
      <c r="I358" s="2"/>
      <c r="J358" s="2"/>
      <c r="K358" s="2"/>
      <c r="L358" s="2"/>
    </row>
    <row r="359" ht="15.0" customHeight="1">
      <c r="A359" s="15"/>
      <c r="B359" s="11" t="str">
        <f t="array" ref="B359">IFERROR(INDEX('Patient Bills'!$B:$B,MATCH(A359,'Patient Bills'!$A:$A,0)),"")</f>
        <v/>
      </c>
      <c r="C359" s="15"/>
      <c r="D359" s="15"/>
      <c r="E359" s="12"/>
      <c r="F359" s="12"/>
      <c r="G359" s="12" t="str">
        <f t="shared" si="1"/>
        <v/>
      </c>
      <c r="H359" s="2"/>
      <c r="I359" s="2"/>
      <c r="J359" s="2"/>
      <c r="K359" s="2"/>
      <c r="L359" s="2"/>
    </row>
    <row r="360" ht="15.0" customHeight="1">
      <c r="A360" s="15"/>
      <c r="B360" s="11" t="str">
        <f t="array" ref="B360">IFERROR(INDEX('Patient Bills'!$B:$B,MATCH(A360,'Patient Bills'!$A:$A,0)),"")</f>
        <v/>
      </c>
      <c r="C360" s="15"/>
      <c r="D360" s="15"/>
      <c r="E360" s="12"/>
      <c r="F360" s="12"/>
      <c r="G360" s="12" t="str">
        <f t="shared" si="1"/>
        <v/>
      </c>
      <c r="H360" s="2"/>
      <c r="I360" s="2"/>
      <c r="J360" s="2"/>
      <c r="K360" s="2"/>
      <c r="L360" s="2"/>
    </row>
    <row r="361" ht="15.0" customHeight="1">
      <c r="A361" s="15"/>
      <c r="B361" s="11" t="str">
        <f t="array" ref="B361">IFERROR(INDEX('Patient Bills'!$B:$B,MATCH(A361,'Patient Bills'!$A:$A,0)),"")</f>
        <v/>
      </c>
      <c r="C361" s="15"/>
      <c r="D361" s="15"/>
      <c r="E361" s="12"/>
      <c r="F361" s="12"/>
      <c r="G361" s="12" t="str">
        <f t="shared" si="1"/>
        <v/>
      </c>
      <c r="H361" s="2"/>
      <c r="I361" s="2"/>
      <c r="J361" s="2"/>
      <c r="K361" s="2"/>
      <c r="L361" s="2"/>
    </row>
    <row r="362" ht="15.0" customHeight="1">
      <c r="A362" s="15"/>
      <c r="B362" s="11" t="str">
        <f t="array" ref="B362">IFERROR(INDEX('Patient Bills'!$B:$B,MATCH(A362,'Patient Bills'!$A:$A,0)),"")</f>
        <v/>
      </c>
      <c r="C362" s="15"/>
      <c r="D362" s="15"/>
      <c r="E362" s="12"/>
      <c r="F362" s="12"/>
      <c r="G362" s="12" t="str">
        <f t="shared" si="1"/>
        <v/>
      </c>
      <c r="H362" s="2"/>
      <c r="I362" s="2"/>
      <c r="J362" s="2"/>
      <c r="K362" s="2"/>
      <c r="L362" s="2"/>
    </row>
    <row r="363" ht="15.0" customHeight="1">
      <c r="A363" s="15"/>
      <c r="B363" s="11" t="str">
        <f t="array" ref="B363">IFERROR(INDEX('Patient Bills'!$B:$B,MATCH(A363,'Patient Bills'!$A:$A,0)),"")</f>
        <v/>
      </c>
      <c r="C363" s="15"/>
      <c r="D363" s="15"/>
      <c r="E363" s="12"/>
      <c r="F363" s="12"/>
      <c r="G363" s="12" t="str">
        <f t="shared" si="1"/>
        <v/>
      </c>
      <c r="H363" s="2"/>
      <c r="I363" s="2"/>
      <c r="J363" s="2"/>
      <c r="K363" s="2"/>
      <c r="L363" s="2"/>
    </row>
    <row r="364" ht="15.0" customHeight="1">
      <c r="A364" s="15"/>
      <c r="B364" s="11" t="str">
        <f t="array" ref="B364">IFERROR(INDEX('Patient Bills'!$B:$B,MATCH(A364,'Patient Bills'!$A:$A,0)),"")</f>
        <v/>
      </c>
      <c r="C364" s="15"/>
      <c r="D364" s="15"/>
      <c r="E364" s="12"/>
      <c r="F364" s="12"/>
      <c r="G364" s="12" t="str">
        <f t="shared" si="1"/>
        <v/>
      </c>
      <c r="H364" s="2"/>
      <c r="I364" s="2"/>
      <c r="J364" s="2"/>
      <c r="K364" s="2"/>
      <c r="L364" s="2"/>
    </row>
    <row r="365" ht="15.0" customHeight="1">
      <c r="A365" s="15"/>
      <c r="B365" s="11" t="str">
        <f t="array" ref="B365">IFERROR(INDEX('Patient Bills'!$B:$B,MATCH(A365,'Patient Bills'!$A:$A,0)),"")</f>
        <v/>
      </c>
      <c r="C365" s="15"/>
      <c r="D365" s="15"/>
      <c r="E365" s="12"/>
      <c r="F365" s="12"/>
      <c r="G365" s="12" t="str">
        <f t="shared" si="1"/>
        <v/>
      </c>
      <c r="H365" s="2"/>
      <c r="I365" s="2"/>
      <c r="J365" s="2"/>
      <c r="K365" s="2"/>
      <c r="L365" s="2"/>
    </row>
    <row r="366" ht="15.0" customHeight="1">
      <c r="A366" s="15"/>
      <c r="B366" s="11" t="str">
        <f t="array" ref="B366">IFERROR(INDEX('Patient Bills'!$B:$B,MATCH(A366,'Patient Bills'!$A:$A,0)),"")</f>
        <v/>
      </c>
      <c r="C366" s="15"/>
      <c r="D366" s="15"/>
      <c r="E366" s="12"/>
      <c r="F366" s="12"/>
      <c r="G366" s="12" t="str">
        <f t="shared" si="1"/>
        <v/>
      </c>
      <c r="H366" s="2"/>
      <c r="I366" s="2"/>
      <c r="J366" s="2"/>
      <c r="K366" s="2"/>
      <c r="L366" s="2"/>
    </row>
    <row r="367" ht="15.0" customHeight="1">
      <c r="A367" s="15"/>
      <c r="B367" s="11" t="str">
        <f t="array" ref="B367">IFERROR(INDEX('Patient Bills'!$B:$B,MATCH(A367,'Patient Bills'!$A:$A,0)),"")</f>
        <v/>
      </c>
      <c r="C367" s="15"/>
      <c r="D367" s="15"/>
      <c r="E367" s="12"/>
      <c r="F367" s="12"/>
      <c r="G367" s="12" t="str">
        <f t="shared" si="1"/>
        <v/>
      </c>
      <c r="H367" s="2"/>
      <c r="I367" s="2"/>
      <c r="J367" s="2"/>
      <c r="K367" s="2"/>
      <c r="L367" s="2"/>
    </row>
    <row r="368" ht="15.0" customHeight="1">
      <c r="A368" s="15"/>
      <c r="B368" s="11" t="str">
        <f t="array" ref="B368">IFERROR(INDEX('Patient Bills'!$B:$B,MATCH(A368,'Patient Bills'!$A:$A,0)),"")</f>
        <v/>
      </c>
      <c r="C368" s="15"/>
      <c r="D368" s="15"/>
      <c r="E368" s="12"/>
      <c r="F368" s="12"/>
      <c r="G368" s="12" t="str">
        <f t="shared" si="1"/>
        <v/>
      </c>
      <c r="H368" s="2"/>
      <c r="I368" s="2"/>
      <c r="J368" s="2"/>
      <c r="K368" s="2"/>
      <c r="L368" s="2"/>
    </row>
    <row r="369" ht="15.0" customHeight="1">
      <c r="A369" s="15"/>
      <c r="B369" s="11" t="str">
        <f t="array" ref="B369">IFERROR(INDEX('Patient Bills'!$B:$B,MATCH(A369,'Patient Bills'!$A:$A,0)),"")</f>
        <v/>
      </c>
      <c r="C369" s="15"/>
      <c r="D369" s="15"/>
      <c r="E369" s="12"/>
      <c r="F369" s="12"/>
      <c r="G369" s="12" t="str">
        <f t="shared" si="1"/>
        <v/>
      </c>
      <c r="H369" s="2"/>
      <c r="I369" s="2"/>
      <c r="J369" s="2"/>
      <c r="K369" s="2"/>
      <c r="L369" s="2"/>
    </row>
    <row r="370" ht="15.0" customHeight="1">
      <c r="A370" s="15"/>
      <c r="B370" s="11" t="str">
        <f t="array" ref="B370">IFERROR(INDEX('Patient Bills'!$B:$B,MATCH(A370,'Patient Bills'!$A:$A,0)),"")</f>
        <v/>
      </c>
      <c r="C370" s="15"/>
      <c r="D370" s="15"/>
      <c r="E370" s="12"/>
      <c r="F370" s="12"/>
      <c r="G370" s="12" t="str">
        <f t="shared" si="1"/>
        <v/>
      </c>
      <c r="H370" s="2"/>
      <c r="I370" s="2"/>
      <c r="J370" s="2"/>
      <c r="K370" s="2"/>
      <c r="L370" s="2"/>
    </row>
    <row r="371" ht="15.0" customHeight="1">
      <c r="A371" s="15"/>
      <c r="B371" s="11" t="str">
        <f t="array" ref="B371">IFERROR(INDEX('Patient Bills'!$B:$B,MATCH(A371,'Patient Bills'!$A:$A,0)),"")</f>
        <v/>
      </c>
      <c r="C371" s="15"/>
      <c r="D371" s="15"/>
      <c r="E371" s="12"/>
      <c r="F371" s="12"/>
      <c r="G371" s="12" t="str">
        <f t="shared" si="1"/>
        <v/>
      </c>
      <c r="H371" s="2"/>
      <c r="I371" s="2"/>
      <c r="J371" s="2"/>
      <c r="K371" s="2"/>
      <c r="L371" s="2"/>
    </row>
    <row r="372" ht="15.0" customHeight="1">
      <c r="A372" s="15"/>
      <c r="B372" s="11" t="str">
        <f t="array" ref="B372">IFERROR(INDEX('Patient Bills'!$B:$B,MATCH(A372,'Patient Bills'!$A:$A,0)),"")</f>
        <v/>
      </c>
      <c r="C372" s="15"/>
      <c r="D372" s="15"/>
      <c r="E372" s="12"/>
      <c r="F372" s="12"/>
      <c r="G372" s="12" t="str">
        <f t="shared" si="1"/>
        <v/>
      </c>
      <c r="H372" s="2"/>
      <c r="I372" s="2"/>
      <c r="J372" s="2"/>
      <c r="K372" s="2"/>
      <c r="L372" s="2"/>
    </row>
    <row r="373" ht="15.0" customHeight="1">
      <c r="A373" s="15"/>
      <c r="B373" s="11" t="str">
        <f t="array" ref="B373">IFERROR(INDEX('Patient Bills'!$B:$B,MATCH(A373,'Patient Bills'!$A:$A,0)),"")</f>
        <v/>
      </c>
      <c r="C373" s="15"/>
      <c r="D373" s="15"/>
      <c r="E373" s="12"/>
      <c r="F373" s="12"/>
      <c r="G373" s="12" t="str">
        <f t="shared" si="1"/>
        <v/>
      </c>
      <c r="H373" s="2"/>
      <c r="I373" s="2"/>
      <c r="J373" s="2"/>
      <c r="K373" s="2"/>
      <c r="L373" s="2"/>
    </row>
    <row r="374" ht="15.0" customHeight="1">
      <c r="A374" s="15"/>
      <c r="B374" s="11" t="str">
        <f t="array" ref="B374">IFERROR(INDEX('Patient Bills'!$B:$B,MATCH(A374,'Patient Bills'!$A:$A,0)),"")</f>
        <v/>
      </c>
      <c r="C374" s="15"/>
      <c r="D374" s="15"/>
      <c r="E374" s="12"/>
      <c r="F374" s="12"/>
      <c r="G374" s="12" t="str">
        <f t="shared" si="1"/>
        <v/>
      </c>
      <c r="H374" s="2"/>
      <c r="I374" s="2"/>
      <c r="J374" s="2"/>
      <c r="K374" s="2"/>
      <c r="L374" s="2"/>
    </row>
    <row r="375" ht="15.0" customHeight="1">
      <c r="A375" s="15"/>
      <c r="B375" s="11" t="str">
        <f t="array" ref="B375">IFERROR(INDEX('Patient Bills'!$B:$B,MATCH(A375,'Patient Bills'!$A:$A,0)),"")</f>
        <v/>
      </c>
      <c r="C375" s="15"/>
      <c r="D375" s="15"/>
      <c r="E375" s="12"/>
      <c r="F375" s="12"/>
      <c r="G375" s="12" t="str">
        <f t="shared" si="1"/>
        <v/>
      </c>
      <c r="H375" s="2"/>
      <c r="I375" s="2"/>
      <c r="J375" s="2"/>
      <c r="K375" s="2"/>
      <c r="L375" s="2"/>
    </row>
    <row r="376" ht="15.0" customHeight="1">
      <c r="A376" s="15"/>
      <c r="B376" s="11" t="str">
        <f t="array" ref="B376">IFERROR(INDEX('Patient Bills'!$B:$B,MATCH(A376,'Patient Bills'!$A:$A,0)),"")</f>
        <v/>
      </c>
      <c r="C376" s="15"/>
      <c r="D376" s="15"/>
      <c r="E376" s="12"/>
      <c r="F376" s="12"/>
      <c r="G376" s="12" t="str">
        <f t="shared" si="1"/>
        <v/>
      </c>
      <c r="H376" s="2"/>
      <c r="I376" s="2"/>
      <c r="J376" s="2"/>
      <c r="K376" s="2"/>
      <c r="L376" s="2"/>
    </row>
    <row r="377" ht="15.0" customHeight="1">
      <c r="A377" s="15"/>
      <c r="B377" s="11" t="str">
        <f t="array" ref="B377">IFERROR(INDEX('Patient Bills'!$B:$B,MATCH(A377,'Patient Bills'!$A:$A,0)),"")</f>
        <v/>
      </c>
      <c r="C377" s="15"/>
      <c r="D377" s="15"/>
      <c r="E377" s="12"/>
      <c r="F377" s="12"/>
      <c r="G377" s="12" t="str">
        <f t="shared" si="1"/>
        <v/>
      </c>
      <c r="H377" s="2"/>
      <c r="I377" s="2"/>
      <c r="J377" s="2"/>
      <c r="K377" s="2"/>
      <c r="L377" s="2"/>
    </row>
    <row r="378" ht="15.0" customHeight="1">
      <c r="A378" s="15"/>
      <c r="B378" s="11" t="str">
        <f t="array" ref="B378">IFERROR(INDEX('Patient Bills'!$B:$B,MATCH(A378,'Patient Bills'!$A:$A,0)),"")</f>
        <v/>
      </c>
      <c r="C378" s="15"/>
      <c r="D378" s="15"/>
      <c r="E378" s="12"/>
      <c r="F378" s="12"/>
      <c r="G378" s="12" t="str">
        <f t="shared" si="1"/>
        <v/>
      </c>
      <c r="H378" s="2"/>
      <c r="I378" s="2"/>
      <c r="J378" s="2"/>
      <c r="K378" s="2"/>
      <c r="L378" s="2"/>
    </row>
    <row r="379" ht="15.0" customHeight="1">
      <c r="A379" s="15"/>
      <c r="B379" s="11" t="str">
        <f t="array" ref="B379">IFERROR(INDEX('Patient Bills'!$B:$B,MATCH(A379,'Patient Bills'!$A:$A,0)),"")</f>
        <v/>
      </c>
      <c r="C379" s="15"/>
      <c r="D379" s="15"/>
      <c r="E379" s="12"/>
      <c r="F379" s="12"/>
      <c r="G379" s="12" t="str">
        <f t="shared" si="1"/>
        <v/>
      </c>
      <c r="H379" s="2"/>
      <c r="I379" s="2"/>
      <c r="J379" s="2"/>
      <c r="K379" s="2"/>
      <c r="L379" s="2"/>
    </row>
    <row r="380" ht="15.0" customHeight="1">
      <c r="A380" s="15"/>
      <c r="B380" s="11" t="str">
        <f t="array" ref="B380">IFERROR(INDEX('Patient Bills'!$B:$B,MATCH(A380,'Patient Bills'!$A:$A,0)),"")</f>
        <v/>
      </c>
      <c r="C380" s="15"/>
      <c r="D380" s="15"/>
      <c r="E380" s="12"/>
      <c r="F380" s="12"/>
      <c r="G380" s="12" t="str">
        <f t="shared" si="1"/>
        <v/>
      </c>
      <c r="H380" s="2"/>
      <c r="I380" s="2"/>
      <c r="J380" s="2"/>
      <c r="K380" s="2"/>
      <c r="L380" s="2"/>
    </row>
    <row r="381" ht="15.0" customHeight="1">
      <c r="A381" s="15"/>
      <c r="B381" s="11" t="str">
        <f t="array" ref="B381">IFERROR(INDEX('Patient Bills'!$B:$B,MATCH(A381,'Patient Bills'!$A:$A,0)),"")</f>
        <v/>
      </c>
      <c r="C381" s="15"/>
      <c r="D381" s="15"/>
      <c r="E381" s="12"/>
      <c r="F381" s="12"/>
      <c r="G381" s="12" t="str">
        <f t="shared" si="1"/>
        <v/>
      </c>
      <c r="H381" s="2"/>
      <c r="I381" s="2"/>
      <c r="J381" s="2"/>
      <c r="K381" s="2"/>
      <c r="L381" s="2"/>
    </row>
    <row r="382" ht="15.0" customHeight="1">
      <c r="A382" s="15"/>
      <c r="B382" s="11" t="str">
        <f t="array" ref="B382">IFERROR(INDEX('Patient Bills'!$B:$B,MATCH(A382,'Patient Bills'!$A:$A,0)),"")</f>
        <v/>
      </c>
      <c r="C382" s="15"/>
      <c r="D382" s="15"/>
      <c r="E382" s="12"/>
      <c r="F382" s="12"/>
      <c r="G382" s="12" t="str">
        <f t="shared" si="1"/>
        <v/>
      </c>
      <c r="H382" s="2"/>
      <c r="I382" s="2"/>
      <c r="J382" s="2"/>
      <c r="K382" s="2"/>
      <c r="L382" s="2"/>
    </row>
    <row r="383" ht="15.0" customHeight="1">
      <c r="A383" s="15"/>
      <c r="B383" s="11" t="str">
        <f t="array" ref="B383">IFERROR(INDEX('Patient Bills'!$B:$B,MATCH(A383,'Patient Bills'!$A:$A,0)),"")</f>
        <v/>
      </c>
      <c r="C383" s="15"/>
      <c r="D383" s="15"/>
      <c r="E383" s="12"/>
      <c r="F383" s="12"/>
      <c r="G383" s="12" t="str">
        <f t="shared" si="1"/>
        <v/>
      </c>
      <c r="H383" s="2"/>
      <c r="I383" s="2"/>
      <c r="J383" s="2"/>
      <c r="K383" s="2"/>
      <c r="L383" s="2"/>
    </row>
    <row r="384" ht="15.0" customHeight="1">
      <c r="A384" s="15"/>
      <c r="B384" s="11" t="str">
        <f t="array" ref="B384">IFERROR(INDEX('Patient Bills'!$B:$B,MATCH(A384,'Patient Bills'!$A:$A,0)),"")</f>
        <v/>
      </c>
      <c r="C384" s="15"/>
      <c r="D384" s="15"/>
      <c r="E384" s="12"/>
      <c r="F384" s="12"/>
      <c r="G384" s="12" t="str">
        <f t="shared" si="1"/>
        <v/>
      </c>
      <c r="H384" s="2"/>
      <c r="I384" s="2"/>
      <c r="J384" s="2"/>
      <c r="K384" s="2"/>
      <c r="L384" s="2"/>
    </row>
    <row r="385" ht="15.0" customHeight="1">
      <c r="A385" s="15"/>
      <c r="B385" s="11" t="str">
        <f t="array" ref="B385">IFERROR(INDEX('Patient Bills'!$B:$B,MATCH(A385,'Patient Bills'!$A:$A,0)),"")</f>
        <v/>
      </c>
      <c r="C385" s="15"/>
      <c r="D385" s="15"/>
      <c r="E385" s="12"/>
      <c r="F385" s="12"/>
      <c r="G385" s="12" t="str">
        <f t="shared" si="1"/>
        <v/>
      </c>
      <c r="H385" s="2"/>
      <c r="I385" s="2"/>
      <c r="J385" s="2"/>
      <c r="K385" s="2"/>
      <c r="L385" s="2"/>
    </row>
    <row r="386" ht="15.0" customHeight="1">
      <c r="A386" s="15"/>
      <c r="B386" s="11" t="str">
        <f t="array" ref="B386">IFERROR(INDEX('Patient Bills'!$B:$B,MATCH(A386,'Patient Bills'!$A:$A,0)),"")</f>
        <v/>
      </c>
      <c r="C386" s="15"/>
      <c r="D386" s="15"/>
      <c r="E386" s="12"/>
      <c r="F386" s="12"/>
      <c r="G386" s="12" t="str">
        <f t="shared" si="1"/>
        <v/>
      </c>
      <c r="H386" s="2"/>
      <c r="I386" s="2"/>
      <c r="J386" s="2"/>
      <c r="K386" s="2"/>
      <c r="L386" s="2"/>
    </row>
    <row r="387" ht="15.0" customHeight="1">
      <c r="A387" s="15"/>
      <c r="B387" s="11" t="str">
        <f t="array" ref="B387">IFERROR(INDEX('Patient Bills'!$B:$B,MATCH(A387,'Patient Bills'!$A:$A,0)),"")</f>
        <v/>
      </c>
      <c r="C387" s="15"/>
      <c r="D387" s="15"/>
      <c r="E387" s="12"/>
      <c r="F387" s="12"/>
      <c r="G387" s="12" t="str">
        <f t="shared" si="1"/>
        <v/>
      </c>
      <c r="H387" s="2"/>
      <c r="I387" s="2"/>
      <c r="J387" s="2"/>
      <c r="K387" s="2"/>
      <c r="L387" s="2"/>
    </row>
    <row r="388" ht="15.0" customHeight="1">
      <c r="A388" s="15"/>
      <c r="B388" s="11" t="str">
        <f t="array" ref="B388">IFERROR(INDEX('Patient Bills'!$B:$B,MATCH(A388,'Patient Bills'!$A:$A,0)),"")</f>
        <v/>
      </c>
      <c r="C388" s="15"/>
      <c r="D388" s="15"/>
      <c r="E388" s="12"/>
      <c r="F388" s="12"/>
      <c r="G388" s="12" t="str">
        <f t="shared" si="1"/>
        <v/>
      </c>
      <c r="H388" s="2"/>
      <c r="I388" s="2"/>
      <c r="J388" s="2"/>
      <c r="K388" s="2"/>
      <c r="L388" s="2"/>
    </row>
    <row r="389" ht="15.0" customHeight="1">
      <c r="A389" s="15"/>
      <c r="B389" s="11" t="str">
        <f t="array" ref="B389">IFERROR(INDEX('Patient Bills'!$B:$B,MATCH(A389,'Patient Bills'!$A:$A,0)),"")</f>
        <v/>
      </c>
      <c r="C389" s="15"/>
      <c r="D389" s="15"/>
      <c r="E389" s="12"/>
      <c r="F389" s="12"/>
      <c r="G389" s="12" t="str">
        <f t="shared" si="1"/>
        <v/>
      </c>
      <c r="H389" s="2"/>
      <c r="I389" s="2"/>
      <c r="J389" s="2"/>
      <c r="K389" s="2"/>
      <c r="L389" s="2"/>
    </row>
    <row r="390" ht="15.0" customHeight="1">
      <c r="A390" s="15"/>
      <c r="B390" s="11" t="str">
        <f t="array" ref="B390">IFERROR(INDEX('Patient Bills'!$B:$B,MATCH(A390,'Patient Bills'!$A:$A,0)),"")</f>
        <v/>
      </c>
      <c r="C390" s="15"/>
      <c r="D390" s="15"/>
      <c r="E390" s="12"/>
      <c r="F390" s="12"/>
      <c r="G390" s="12" t="str">
        <f t="shared" si="1"/>
        <v/>
      </c>
      <c r="H390" s="2"/>
      <c r="I390" s="2"/>
      <c r="J390" s="2"/>
      <c r="K390" s="2"/>
      <c r="L390" s="2"/>
    </row>
    <row r="391" ht="15.0" customHeight="1">
      <c r="A391" s="15"/>
      <c r="B391" s="11" t="str">
        <f t="array" ref="B391">IFERROR(INDEX('Patient Bills'!$B:$B,MATCH(A391,'Patient Bills'!$A:$A,0)),"")</f>
        <v/>
      </c>
      <c r="C391" s="15"/>
      <c r="D391" s="15"/>
      <c r="E391" s="12"/>
      <c r="F391" s="12"/>
      <c r="G391" s="12" t="str">
        <f t="shared" si="1"/>
        <v/>
      </c>
      <c r="H391" s="2"/>
      <c r="I391" s="2"/>
      <c r="J391" s="2"/>
      <c r="K391" s="2"/>
      <c r="L391" s="2"/>
    </row>
    <row r="392" ht="15.0" customHeight="1">
      <c r="A392" s="15"/>
      <c r="B392" s="11" t="str">
        <f t="array" ref="B392">IFERROR(INDEX('Patient Bills'!$B:$B,MATCH(A392,'Patient Bills'!$A:$A,0)),"")</f>
        <v/>
      </c>
      <c r="C392" s="15"/>
      <c r="D392" s="15"/>
      <c r="E392" s="12"/>
      <c r="F392" s="12"/>
      <c r="G392" s="12" t="str">
        <f t="shared" si="1"/>
        <v/>
      </c>
      <c r="H392" s="2"/>
      <c r="I392" s="2"/>
      <c r="J392" s="2"/>
      <c r="K392" s="2"/>
      <c r="L392" s="2"/>
    </row>
    <row r="393" ht="15.0" customHeight="1">
      <c r="A393" s="15"/>
      <c r="B393" s="11" t="str">
        <f t="array" ref="B393">IFERROR(INDEX('Patient Bills'!$B:$B,MATCH(A393,'Patient Bills'!$A:$A,0)),"")</f>
        <v/>
      </c>
      <c r="C393" s="15"/>
      <c r="D393" s="15"/>
      <c r="E393" s="12"/>
      <c r="F393" s="12"/>
      <c r="G393" s="12" t="str">
        <f t="shared" si="1"/>
        <v/>
      </c>
      <c r="H393" s="2"/>
      <c r="I393" s="2"/>
      <c r="J393" s="2"/>
      <c r="K393" s="2"/>
      <c r="L393" s="2"/>
    </row>
    <row r="394" ht="15.0" customHeight="1">
      <c r="A394" s="15"/>
      <c r="B394" s="11" t="str">
        <f t="array" ref="B394">IFERROR(INDEX('Patient Bills'!$B:$B,MATCH(A394,'Patient Bills'!$A:$A,0)),"")</f>
        <v/>
      </c>
      <c r="C394" s="15"/>
      <c r="D394" s="15"/>
      <c r="E394" s="12"/>
      <c r="F394" s="12"/>
      <c r="G394" s="12" t="str">
        <f t="shared" si="1"/>
        <v/>
      </c>
      <c r="H394" s="2"/>
      <c r="I394" s="2"/>
      <c r="J394" s="2"/>
      <c r="K394" s="2"/>
      <c r="L394" s="2"/>
    </row>
    <row r="395" ht="15.0" customHeight="1">
      <c r="A395" s="15"/>
      <c r="B395" s="11" t="str">
        <f t="array" ref="B395">IFERROR(INDEX('Patient Bills'!$B:$B,MATCH(A395,'Patient Bills'!$A:$A,0)),"")</f>
        <v/>
      </c>
      <c r="C395" s="15"/>
      <c r="D395" s="15"/>
      <c r="E395" s="12"/>
      <c r="F395" s="12"/>
      <c r="G395" s="12" t="str">
        <f t="shared" si="1"/>
        <v/>
      </c>
      <c r="H395" s="2"/>
      <c r="I395" s="2"/>
      <c r="J395" s="2"/>
      <c r="K395" s="2"/>
      <c r="L395" s="2"/>
    </row>
    <row r="396" ht="15.0" customHeight="1">
      <c r="A396" s="15"/>
      <c r="B396" s="11" t="str">
        <f t="array" ref="B396">IFERROR(INDEX('Patient Bills'!$B:$B,MATCH(A396,'Patient Bills'!$A:$A,0)),"")</f>
        <v/>
      </c>
      <c r="C396" s="15"/>
      <c r="D396" s="15"/>
      <c r="E396" s="12"/>
      <c r="F396" s="12"/>
      <c r="G396" s="12" t="str">
        <f t="shared" si="1"/>
        <v/>
      </c>
      <c r="H396" s="2"/>
      <c r="I396" s="2"/>
      <c r="J396" s="2"/>
      <c r="K396" s="2"/>
      <c r="L396" s="2"/>
    </row>
    <row r="397" ht="15.0" customHeight="1">
      <c r="A397" s="15"/>
      <c r="B397" s="11" t="str">
        <f t="array" ref="B397">IFERROR(INDEX('Patient Bills'!$B:$B,MATCH(A397,'Patient Bills'!$A:$A,0)),"")</f>
        <v/>
      </c>
      <c r="C397" s="15"/>
      <c r="D397" s="15"/>
      <c r="E397" s="12"/>
      <c r="F397" s="12"/>
      <c r="G397" s="12" t="str">
        <f t="shared" si="1"/>
        <v/>
      </c>
      <c r="H397" s="2"/>
      <c r="I397" s="2"/>
      <c r="J397" s="2"/>
      <c r="K397" s="2"/>
      <c r="L397" s="2"/>
    </row>
    <row r="398" ht="15.0" customHeight="1">
      <c r="A398" s="15"/>
      <c r="B398" s="11" t="str">
        <f t="array" ref="B398">IFERROR(INDEX('Patient Bills'!$B:$B,MATCH(A398,'Patient Bills'!$A:$A,0)),"")</f>
        <v/>
      </c>
      <c r="C398" s="15"/>
      <c r="D398" s="15"/>
      <c r="E398" s="12"/>
      <c r="F398" s="12"/>
      <c r="G398" s="12" t="str">
        <f t="shared" si="1"/>
        <v/>
      </c>
      <c r="H398" s="2"/>
      <c r="I398" s="2"/>
      <c r="J398" s="2"/>
      <c r="K398" s="2"/>
      <c r="L398" s="2"/>
    </row>
    <row r="399" ht="15.0" customHeight="1">
      <c r="A399" s="15"/>
      <c r="B399" s="11" t="str">
        <f t="array" ref="B399">IFERROR(INDEX('Patient Bills'!$B:$B,MATCH(A399,'Patient Bills'!$A:$A,0)),"")</f>
        <v/>
      </c>
      <c r="C399" s="15"/>
      <c r="D399" s="15"/>
      <c r="E399" s="12"/>
      <c r="F399" s="12"/>
      <c r="G399" s="12" t="str">
        <f t="shared" si="1"/>
        <v/>
      </c>
      <c r="H399" s="2"/>
      <c r="I399" s="2"/>
      <c r="J399" s="2"/>
      <c r="K399" s="2"/>
      <c r="L399" s="2"/>
    </row>
    <row r="400" ht="15.0" customHeight="1">
      <c r="A400" s="15"/>
      <c r="B400" s="11" t="str">
        <f t="array" ref="B400">IFERROR(INDEX('Patient Bills'!$B:$B,MATCH(A400,'Patient Bills'!$A:$A,0)),"")</f>
        <v/>
      </c>
      <c r="C400" s="15"/>
      <c r="D400" s="15"/>
      <c r="E400" s="12"/>
      <c r="F400" s="12"/>
      <c r="G400" s="12" t="str">
        <f t="shared" si="1"/>
        <v/>
      </c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22.0"/>
    <col customWidth="1" min="4" max="5" width="16.0"/>
    <col customWidth="1" min="6" max="6" width="14.0"/>
    <col customWidth="1" min="7" max="7" width="16.0"/>
    <col customWidth="1" min="8" max="8" width="22.0"/>
    <col customWidth="1" min="9" max="26" width="8.71"/>
  </cols>
  <sheetData>
    <row r="1" ht="21.75" customHeight="1">
      <c r="A1" s="1" t="s">
        <v>23</v>
      </c>
    </row>
    <row r="2" ht="15.0" customHeight="1">
      <c r="A2" s="3" t="s">
        <v>159</v>
      </c>
    </row>
    <row r="3">
      <c r="A3" s="2"/>
      <c r="B3" s="2"/>
      <c r="C3" s="2"/>
      <c r="D3" s="2"/>
      <c r="E3" s="2"/>
      <c r="F3" s="2"/>
      <c r="G3" s="2"/>
      <c r="H3" s="2"/>
    </row>
    <row r="4" ht="23.25" customHeight="1">
      <c r="A4" s="7" t="s">
        <v>32</v>
      </c>
      <c r="B4" s="7" t="s">
        <v>57</v>
      </c>
      <c r="C4" s="7" t="s">
        <v>160</v>
      </c>
      <c r="D4" s="7" t="s">
        <v>161</v>
      </c>
      <c r="E4" s="7" t="s">
        <v>162</v>
      </c>
      <c r="F4" s="7" t="s">
        <v>93</v>
      </c>
      <c r="G4" s="7" t="s">
        <v>94</v>
      </c>
      <c r="H4" s="7" t="s">
        <v>163</v>
      </c>
    </row>
    <row r="5" ht="15.0" customHeight="1">
      <c r="A5" s="8" t="s">
        <v>60</v>
      </c>
      <c r="B5" s="8" t="s">
        <v>62</v>
      </c>
      <c r="C5" s="8" t="s">
        <v>164</v>
      </c>
      <c r="D5" s="64">
        <f>SUMIFS('Nursing Charges'!$J:$J,'Nursing Charges'!$D:$D,A5,'Nursing Charges'!$K:$K,B5)</f>
        <v>0</v>
      </c>
      <c r="E5" s="9">
        <v>0.0</v>
      </c>
      <c r="F5" s="12">
        <f t="shared" ref="F5:F7" si="1">D5-E5</f>
        <v>0</v>
      </c>
      <c r="G5" s="45" t="str">
        <f t="shared" ref="G5:G7" si="2">IF(D5=0,"No Charges",IF(F5&lt;=0,"Paid",IF(E5&gt;0,"Partial","Pending")))</f>
        <v>No Charges</v>
      </c>
      <c r="H5" s="8"/>
    </row>
    <row r="6" ht="15.0" customHeight="1">
      <c r="A6" s="8" t="s">
        <v>65</v>
      </c>
      <c r="B6" s="8" t="s">
        <v>67</v>
      </c>
      <c r="C6" s="8" t="s">
        <v>63</v>
      </c>
      <c r="D6" s="64">
        <f>SUMIFS('Nursing Charges'!$J:$J,'Nursing Charges'!$D:$D,A6,'Nursing Charges'!$K:$K,B6)</f>
        <v>0</v>
      </c>
      <c r="E6" s="9">
        <v>0.0</v>
      </c>
      <c r="F6" s="12">
        <f t="shared" si="1"/>
        <v>0</v>
      </c>
      <c r="G6" s="45" t="str">
        <f t="shared" si="2"/>
        <v>No Charges</v>
      </c>
      <c r="H6" s="8"/>
    </row>
    <row r="7" ht="15.0" customHeight="1">
      <c r="A7" s="8" t="s">
        <v>65</v>
      </c>
      <c r="B7" s="8" t="s">
        <v>62</v>
      </c>
      <c r="C7" s="8" t="s">
        <v>63</v>
      </c>
      <c r="D7" s="64">
        <f>SUMIFS('Nursing Charges'!$J:$J,'Nursing Charges'!$D:$D,A7,'Nursing Charges'!$K:$K,B7)</f>
        <v>0</v>
      </c>
      <c r="E7" s="9">
        <v>0.0</v>
      </c>
      <c r="F7" s="12">
        <f t="shared" si="1"/>
        <v>0</v>
      </c>
      <c r="G7" s="45" t="str">
        <f t="shared" si="2"/>
        <v>No Charges</v>
      </c>
      <c r="H7" s="8"/>
    </row>
    <row r="8" ht="15.0" customHeight="1">
      <c r="A8" s="15"/>
      <c r="B8" s="15"/>
      <c r="C8" s="15"/>
      <c r="D8" s="64">
        <f>SUMIFS('Nursing Charges'!$J:$J,'Nursing Charges'!$D:$D,A8,'Nursing Charges'!$K:$K,B8)</f>
        <v>0</v>
      </c>
      <c r="E8" s="20"/>
      <c r="F8" s="12" t="str">
        <f t="shared" ref="F8:F200" si="3">IF(A8="","",D8-E8)</f>
        <v/>
      </c>
      <c r="G8" s="45" t="str">
        <f t="shared" ref="G8:G200" si="4">IF(A8="","",IF(D8=0,"No Charges",IF(F8&lt;=0,"Paid",IF(E8&gt;0,"Partial","Pending"))))</f>
        <v/>
      </c>
      <c r="H8" s="15"/>
    </row>
    <row r="9" ht="15.0" customHeight="1">
      <c r="A9" s="15"/>
      <c r="B9" s="15"/>
      <c r="C9" s="15"/>
      <c r="D9" s="64">
        <f>SUMIFS('Nursing Charges'!$J:$J,'Nursing Charges'!$D:$D,A9,'Nursing Charges'!$K:$K,B9)</f>
        <v>0</v>
      </c>
      <c r="E9" s="20"/>
      <c r="F9" s="12" t="str">
        <f t="shared" si="3"/>
        <v/>
      </c>
      <c r="G9" s="45" t="str">
        <f t="shared" si="4"/>
        <v/>
      </c>
      <c r="H9" s="15"/>
    </row>
    <row r="10" ht="15.0" customHeight="1">
      <c r="A10" s="15"/>
      <c r="B10" s="15"/>
      <c r="C10" s="15"/>
      <c r="D10" s="64">
        <f>SUMIFS('Nursing Charges'!$J:$J,'Nursing Charges'!$D:$D,A10,'Nursing Charges'!$K:$K,B10)</f>
        <v>0</v>
      </c>
      <c r="E10" s="20"/>
      <c r="F10" s="12" t="str">
        <f t="shared" si="3"/>
        <v/>
      </c>
      <c r="G10" s="45" t="str">
        <f t="shared" si="4"/>
        <v/>
      </c>
      <c r="H10" s="15"/>
    </row>
    <row r="11" ht="15.0" customHeight="1">
      <c r="A11" s="15"/>
      <c r="B11" s="15"/>
      <c r="C11" s="15"/>
      <c r="D11" s="64">
        <f>SUMIFS('Nursing Charges'!$J:$J,'Nursing Charges'!$D:$D,A11,'Nursing Charges'!$K:$K,B11)</f>
        <v>0</v>
      </c>
      <c r="E11" s="20"/>
      <c r="F11" s="12" t="str">
        <f t="shared" si="3"/>
        <v/>
      </c>
      <c r="G11" s="45" t="str">
        <f t="shared" si="4"/>
        <v/>
      </c>
      <c r="H11" s="15"/>
    </row>
    <row r="12" ht="15.0" customHeight="1">
      <c r="A12" s="15"/>
      <c r="B12" s="15"/>
      <c r="C12" s="15"/>
      <c r="D12" s="64">
        <f>SUMIFS('Nursing Charges'!$J:$J,'Nursing Charges'!$D:$D,A12,'Nursing Charges'!$K:$K,B12)</f>
        <v>0</v>
      </c>
      <c r="E12" s="20"/>
      <c r="F12" s="12" t="str">
        <f t="shared" si="3"/>
        <v/>
      </c>
      <c r="G12" s="45" t="str">
        <f t="shared" si="4"/>
        <v/>
      </c>
      <c r="H12" s="15"/>
    </row>
    <row r="13" ht="15.0" customHeight="1">
      <c r="A13" s="15"/>
      <c r="B13" s="15"/>
      <c r="C13" s="15"/>
      <c r="D13" s="64">
        <f>SUMIFS('Nursing Charges'!$J:$J,'Nursing Charges'!$D:$D,A13,'Nursing Charges'!$K:$K,B13)</f>
        <v>0</v>
      </c>
      <c r="E13" s="20"/>
      <c r="F13" s="12" t="str">
        <f t="shared" si="3"/>
        <v/>
      </c>
      <c r="G13" s="45" t="str">
        <f t="shared" si="4"/>
        <v/>
      </c>
      <c r="H13" s="15"/>
    </row>
    <row r="14" ht="15.0" customHeight="1">
      <c r="A14" s="15"/>
      <c r="B14" s="15"/>
      <c r="C14" s="15"/>
      <c r="D14" s="64">
        <f>SUMIFS('Nursing Charges'!$J:$J,'Nursing Charges'!$D:$D,A14,'Nursing Charges'!$K:$K,B14)</f>
        <v>0</v>
      </c>
      <c r="E14" s="20"/>
      <c r="F14" s="12" t="str">
        <f t="shared" si="3"/>
        <v/>
      </c>
      <c r="G14" s="45" t="str">
        <f t="shared" si="4"/>
        <v/>
      </c>
      <c r="H14" s="15"/>
    </row>
    <row r="15" ht="15.0" customHeight="1">
      <c r="A15" s="15"/>
      <c r="B15" s="15"/>
      <c r="C15" s="15"/>
      <c r="D15" s="64">
        <f>SUMIFS('Nursing Charges'!$J:$J,'Nursing Charges'!$D:$D,A15,'Nursing Charges'!$K:$K,B15)</f>
        <v>0</v>
      </c>
      <c r="E15" s="20"/>
      <c r="F15" s="12" t="str">
        <f t="shared" si="3"/>
        <v/>
      </c>
      <c r="G15" s="45" t="str">
        <f t="shared" si="4"/>
        <v/>
      </c>
      <c r="H15" s="15"/>
    </row>
    <row r="16" ht="15.0" customHeight="1">
      <c r="A16" s="15"/>
      <c r="B16" s="15"/>
      <c r="C16" s="15"/>
      <c r="D16" s="64">
        <f>SUMIFS('Nursing Charges'!$J:$J,'Nursing Charges'!$D:$D,A16,'Nursing Charges'!$K:$K,B16)</f>
        <v>0</v>
      </c>
      <c r="E16" s="20"/>
      <c r="F16" s="12" t="str">
        <f t="shared" si="3"/>
        <v/>
      </c>
      <c r="G16" s="45" t="str">
        <f t="shared" si="4"/>
        <v/>
      </c>
      <c r="H16" s="15"/>
    </row>
    <row r="17" ht="15.0" customHeight="1">
      <c r="A17" s="15"/>
      <c r="B17" s="15"/>
      <c r="C17" s="15"/>
      <c r="D17" s="64">
        <f>SUMIFS('Nursing Charges'!$J:$J,'Nursing Charges'!$D:$D,A17,'Nursing Charges'!$K:$K,B17)</f>
        <v>0</v>
      </c>
      <c r="E17" s="20"/>
      <c r="F17" s="12" t="str">
        <f t="shared" si="3"/>
        <v/>
      </c>
      <c r="G17" s="45" t="str">
        <f t="shared" si="4"/>
        <v/>
      </c>
      <c r="H17" s="15"/>
    </row>
    <row r="18" ht="15.0" customHeight="1">
      <c r="A18" s="15"/>
      <c r="B18" s="15"/>
      <c r="C18" s="15"/>
      <c r="D18" s="64">
        <f>SUMIFS('Nursing Charges'!$J:$J,'Nursing Charges'!$D:$D,A18,'Nursing Charges'!$K:$K,B18)</f>
        <v>0</v>
      </c>
      <c r="E18" s="20"/>
      <c r="F18" s="12" t="str">
        <f t="shared" si="3"/>
        <v/>
      </c>
      <c r="G18" s="45" t="str">
        <f t="shared" si="4"/>
        <v/>
      </c>
      <c r="H18" s="15"/>
    </row>
    <row r="19" ht="15.0" customHeight="1">
      <c r="A19" s="15"/>
      <c r="B19" s="15"/>
      <c r="C19" s="15"/>
      <c r="D19" s="64">
        <f>SUMIFS('Nursing Charges'!$J:$J,'Nursing Charges'!$D:$D,A19,'Nursing Charges'!$K:$K,B19)</f>
        <v>0</v>
      </c>
      <c r="E19" s="20"/>
      <c r="F19" s="12" t="str">
        <f t="shared" si="3"/>
        <v/>
      </c>
      <c r="G19" s="45" t="str">
        <f t="shared" si="4"/>
        <v/>
      </c>
      <c r="H19" s="15"/>
    </row>
    <row r="20" ht="15.0" customHeight="1">
      <c r="A20" s="15"/>
      <c r="B20" s="15"/>
      <c r="C20" s="15"/>
      <c r="D20" s="64">
        <f>SUMIFS('Nursing Charges'!$J:$J,'Nursing Charges'!$D:$D,A20,'Nursing Charges'!$K:$K,B20)</f>
        <v>0</v>
      </c>
      <c r="E20" s="20"/>
      <c r="F20" s="12" t="str">
        <f t="shared" si="3"/>
        <v/>
      </c>
      <c r="G20" s="45" t="str">
        <f t="shared" si="4"/>
        <v/>
      </c>
      <c r="H20" s="15"/>
    </row>
    <row r="21" ht="15.0" customHeight="1">
      <c r="A21" s="15"/>
      <c r="B21" s="15"/>
      <c r="C21" s="15"/>
      <c r="D21" s="64">
        <f>SUMIFS('Nursing Charges'!$J:$J,'Nursing Charges'!$D:$D,A21,'Nursing Charges'!$K:$K,B21)</f>
        <v>0</v>
      </c>
      <c r="E21" s="20"/>
      <c r="F21" s="12" t="str">
        <f t="shared" si="3"/>
        <v/>
      </c>
      <c r="G21" s="45" t="str">
        <f t="shared" si="4"/>
        <v/>
      </c>
      <c r="H21" s="15"/>
    </row>
    <row r="22" ht="15.0" customHeight="1">
      <c r="A22" s="15"/>
      <c r="B22" s="15"/>
      <c r="C22" s="15"/>
      <c r="D22" s="64">
        <f>SUMIFS('Nursing Charges'!$J:$J,'Nursing Charges'!$D:$D,A22,'Nursing Charges'!$K:$K,B22)</f>
        <v>0</v>
      </c>
      <c r="E22" s="20"/>
      <c r="F22" s="12" t="str">
        <f t="shared" si="3"/>
        <v/>
      </c>
      <c r="G22" s="45" t="str">
        <f t="shared" si="4"/>
        <v/>
      </c>
      <c r="H22" s="15"/>
    </row>
    <row r="23" ht="15.0" customHeight="1">
      <c r="A23" s="15"/>
      <c r="B23" s="15"/>
      <c r="C23" s="15"/>
      <c r="D23" s="64">
        <f>SUMIFS('Nursing Charges'!$J:$J,'Nursing Charges'!$D:$D,A23,'Nursing Charges'!$K:$K,B23)</f>
        <v>0</v>
      </c>
      <c r="E23" s="20"/>
      <c r="F23" s="12" t="str">
        <f t="shared" si="3"/>
        <v/>
      </c>
      <c r="G23" s="45" t="str">
        <f t="shared" si="4"/>
        <v/>
      </c>
      <c r="H23" s="15"/>
    </row>
    <row r="24" ht="15.0" customHeight="1">
      <c r="A24" s="15"/>
      <c r="B24" s="15"/>
      <c r="C24" s="15"/>
      <c r="D24" s="64">
        <f>SUMIFS('Nursing Charges'!$J:$J,'Nursing Charges'!$D:$D,A24,'Nursing Charges'!$K:$K,B24)</f>
        <v>0</v>
      </c>
      <c r="E24" s="20"/>
      <c r="F24" s="12" t="str">
        <f t="shared" si="3"/>
        <v/>
      </c>
      <c r="G24" s="45" t="str">
        <f t="shared" si="4"/>
        <v/>
      </c>
      <c r="H24" s="15"/>
    </row>
    <row r="25" ht="15.0" customHeight="1">
      <c r="A25" s="15"/>
      <c r="B25" s="15"/>
      <c r="C25" s="15"/>
      <c r="D25" s="64">
        <f>SUMIFS('Nursing Charges'!$J:$J,'Nursing Charges'!$D:$D,A25,'Nursing Charges'!$K:$K,B25)</f>
        <v>0</v>
      </c>
      <c r="E25" s="20"/>
      <c r="F25" s="12" t="str">
        <f t="shared" si="3"/>
        <v/>
      </c>
      <c r="G25" s="45" t="str">
        <f t="shared" si="4"/>
        <v/>
      </c>
      <c r="H25" s="15"/>
    </row>
    <row r="26" ht="15.0" customHeight="1">
      <c r="A26" s="15"/>
      <c r="B26" s="15"/>
      <c r="C26" s="15"/>
      <c r="D26" s="64">
        <f>SUMIFS('Nursing Charges'!$J:$J,'Nursing Charges'!$D:$D,A26,'Nursing Charges'!$K:$K,B26)</f>
        <v>0</v>
      </c>
      <c r="E26" s="20"/>
      <c r="F26" s="12" t="str">
        <f t="shared" si="3"/>
        <v/>
      </c>
      <c r="G26" s="45" t="str">
        <f t="shared" si="4"/>
        <v/>
      </c>
      <c r="H26" s="15"/>
    </row>
    <row r="27" ht="15.0" customHeight="1">
      <c r="A27" s="15"/>
      <c r="B27" s="15"/>
      <c r="C27" s="15"/>
      <c r="D27" s="64">
        <f>SUMIFS('Nursing Charges'!$J:$J,'Nursing Charges'!$D:$D,A27,'Nursing Charges'!$K:$K,B27)</f>
        <v>0</v>
      </c>
      <c r="E27" s="20"/>
      <c r="F27" s="12" t="str">
        <f t="shared" si="3"/>
        <v/>
      </c>
      <c r="G27" s="45" t="str">
        <f t="shared" si="4"/>
        <v/>
      </c>
      <c r="H27" s="15"/>
    </row>
    <row r="28" ht="15.0" customHeight="1">
      <c r="A28" s="15"/>
      <c r="B28" s="15"/>
      <c r="C28" s="15"/>
      <c r="D28" s="64">
        <f>SUMIFS('Nursing Charges'!$J:$J,'Nursing Charges'!$D:$D,A28,'Nursing Charges'!$K:$K,B28)</f>
        <v>0</v>
      </c>
      <c r="E28" s="20"/>
      <c r="F28" s="12" t="str">
        <f t="shared" si="3"/>
        <v/>
      </c>
      <c r="G28" s="45" t="str">
        <f t="shared" si="4"/>
        <v/>
      </c>
      <c r="H28" s="15"/>
    </row>
    <row r="29" ht="15.0" customHeight="1">
      <c r="A29" s="15"/>
      <c r="B29" s="15"/>
      <c r="C29" s="15"/>
      <c r="D29" s="64">
        <f>SUMIFS('Nursing Charges'!$J:$J,'Nursing Charges'!$D:$D,A29,'Nursing Charges'!$K:$K,B29)</f>
        <v>0</v>
      </c>
      <c r="E29" s="20"/>
      <c r="F29" s="12" t="str">
        <f t="shared" si="3"/>
        <v/>
      </c>
      <c r="G29" s="45" t="str">
        <f t="shared" si="4"/>
        <v/>
      </c>
      <c r="H29" s="15"/>
    </row>
    <row r="30" ht="15.0" customHeight="1">
      <c r="A30" s="15"/>
      <c r="B30" s="15"/>
      <c r="C30" s="15"/>
      <c r="D30" s="64">
        <f>SUMIFS('Nursing Charges'!$J:$J,'Nursing Charges'!$D:$D,A30,'Nursing Charges'!$K:$K,B30)</f>
        <v>0</v>
      </c>
      <c r="E30" s="20"/>
      <c r="F30" s="12" t="str">
        <f t="shared" si="3"/>
        <v/>
      </c>
      <c r="G30" s="45" t="str">
        <f t="shared" si="4"/>
        <v/>
      </c>
      <c r="H30" s="15"/>
    </row>
    <row r="31" ht="15.0" customHeight="1">
      <c r="A31" s="15"/>
      <c r="B31" s="15"/>
      <c r="C31" s="15"/>
      <c r="D31" s="64">
        <f>SUMIFS('Nursing Charges'!$J:$J,'Nursing Charges'!$D:$D,A31,'Nursing Charges'!$K:$K,B31)</f>
        <v>0</v>
      </c>
      <c r="E31" s="20"/>
      <c r="F31" s="12" t="str">
        <f t="shared" si="3"/>
        <v/>
      </c>
      <c r="G31" s="45" t="str">
        <f t="shared" si="4"/>
        <v/>
      </c>
      <c r="H31" s="15"/>
    </row>
    <row r="32" ht="15.0" customHeight="1">
      <c r="A32" s="15"/>
      <c r="B32" s="15"/>
      <c r="C32" s="15"/>
      <c r="D32" s="64">
        <f>SUMIFS('Nursing Charges'!$J:$J,'Nursing Charges'!$D:$D,A32,'Nursing Charges'!$K:$K,B32)</f>
        <v>0</v>
      </c>
      <c r="E32" s="20"/>
      <c r="F32" s="12" t="str">
        <f t="shared" si="3"/>
        <v/>
      </c>
      <c r="G32" s="45" t="str">
        <f t="shared" si="4"/>
        <v/>
      </c>
      <c r="H32" s="15"/>
    </row>
    <row r="33" ht="15.0" customHeight="1">
      <c r="A33" s="15"/>
      <c r="B33" s="15"/>
      <c r="C33" s="15"/>
      <c r="D33" s="64">
        <f>SUMIFS('Nursing Charges'!$J:$J,'Nursing Charges'!$D:$D,A33,'Nursing Charges'!$K:$K,B33)</f>
        <v>0</v>
      </c>
      <c r="E33" s="20"/>
      <c r="F33" s="12" t="str">
        <f t="shared" si="3"/>
        <v/>
      </c>
      <c r="G33" s="45" t="str">
        <f t="shared" si="4"/>
        <v/>
      </c>
      <c r="H33" s="15"/>
    </row>
    <row r="34" ht="15.0" customHeight="1">
      <c r="A34" s="15"/>
      <c r="B34" s="15"/>
      <c r="C34" s="15"/>
      <c r="D34" s="64">
        <f>SUMIFS('Nursing Charges'!$J:$J,'Nursing Charges'!$D:$D,A34,'Nursing Charges'!$K:$K,B34)</f>
        <v>0</v>
      </c>
      <c r="E34" s="20"/>
      <c r="F34" s="12" t="str">
        <f t="shared" si="3"/>
        <v/>
      </c>
      <c r="G34" s="45" t="str">
        <f t="shared" si="4"/>
        <v/>
      </c>
      <c r="H34" s="15"/>
    </row>
    <row r="35" ht="15.0" customHeight="1">
      <c r="A35" s="15"/>
      <c r="B35" s="15"/>
      <c r="C35" s="15"/>
      <c r="D35" s="64">
        <f>SUMIFS('Nursing Charges'!$J:$J,'Nursing Charges'!$D:$D,A35,'Nursing Charges'!$K:$K,B35)</f>
        <v>0</v>
      </c>
      <c r="E35" s="20"/>
      <c r="F35" s="12" t="str">
        <f t="shared" si="3"/>
        <v/>
      </c>
      <c r="G35" s="45" t="str">
        <f t="shared" si="4"/>
        <v/>
      </c>
      <c r="H35" s="15"/>
    </row>
    <row r="36" ht="15.0" customHeight="1">
      <c r="A36" s="15"/>
      <c r="B36" s="15"/>
      <c r="C36" s="15"/>
      <c r="D36" s="64">
        <f>SUMIFS('Nursing Charges'!$J:$J,'Nursing Charges'!$D:$D,A36,'Nursing Charges'!$K:$K,B36)</f>
        <v>0</v>
      </c>
      <c r="E36" s="20"/>
      <c r="F36" s="12" t="str">
        <f t="shared" si="3"/>
        <v/>
      </c>
      <c r="G36" s="45" t="str">
        <f t="shared" si="4"/>
        <v/>
      </c>
      <c r="H36" s="15"/>
    </row>
    <row r="37" ht="15.0" customHeight="1">
      <c r="A37" s="15"/>
      <c r="B37" s="15"/>
      <c r="C37" s="15"/>
      <c r="D37" s="64">
        <f>SUMIFS('Nursing Charges'!$J:$J,'Nursing Charges'!$D:$D,A37,'Nursing Charges'!$K:$K,B37)</f>
        <v>0</v>
      </c>
      <c r="E37" s="20"/>
      <c r="F37" s="12" t="str">
        <f t="shared" si="3"/>
        <v/>
      </c>
      <c r="G37" s="45" t="str">
        <f t="shared" si="4"/>
        <v/>
      </c>
      <c r="H37" s="15"/>
    </row>
    <row r="38" ht="15.0" customHeight="1">
      <c r="A38" s="15"/>
      <c r="B38" s="15"/>
      <c r="C38" s="15"/>
      <c r="D38" s="64">
        <f>SUMIFS('Nursing Charges'!$J:$J,'Nursing Charges'!$D:$D,A38,'Nursing Charges'!$K:$K,B38)</f>
        <v>0</v>
      </c>
      <c r="E38" s="20"/>
      <c r="F38" s="12" t="str">
        <f t="shared" si="3"/>
        <v/>
      </c>
      <c r="G38" s="45" t="str">
        <f t="shared" si="4"/>
        <v/>
      </c>
      <c r="H38" s="15"/>
    </row>
    <row r="39" ht="15.0" customHeight="1">
      <c r="A39" s="15"/>
      <c r="B39" s="15"/>
      <c r="C39" s="15"/>
      <c r="D39" s="64">
        <f>SUMIFS('Nursing Charges'!$J:$J,'Nursing Charges'!$D:$D,A39,'Nursing Charges'!$K:$K,B39)</f>
        <v>0</v>
      </c>
      <c r="E39" s="20"/>
      <c r="F39" s="12" t="str">
        <f t="shared" si="3"/>
        <v/>
      </c>
      <c r="G39" s="45" t="str">
        <f t="shared" si="4"/>
        <v/>
      </c>
      <c r="H39" s="15"/>
    </row>
    <row r="40" ht="15.0" customHeight="1">
      <c r="A40" s="15"/>
      <c r="B40" s="15"/>
      <c r="C40" s="15"/>
      <c r="D40" s="64">
        <f>SUMIFS('Nursing Charges'!$J:$J,'Nursing Charges'!$D:$D,A40,'Nursing Charges'!$K:$K,B40)</f>
        <v>0</v>
      </c>
      <c r="E40" s="20"/>
      <c r="F40" s="12" t="str">
        <f t="shared" si="3"/>
        <v/>
      </c>
      <c r="G40" s="45" t="str">
        <f t="shared" si="4"/>
        <v/>
      </c>
      <c r="H40" s="15"/>
    </row>
    <row r="41" ht="15.0" customHeight="1">
      <c r="A41" s="15"/>
      <c r="B41" s="15"/>
      <c r="C41" s="15"/>
      <c r="D41" s="64">
        <f>SUMIFS('Nursing Charges'!$J:$J,'Nursing Charges'!$D:$D,A41,'Nursing Charges'!$K:$K,B41)</f>
        <v>0</v>
      </c>
      <c r="E41" s="20"/>
      <c r="F41" s="12" t="str">
        <f t="shared" si="3"/>
        <v/>
      </c>
      <c r="G41" s="45" t="str">
        <f t="shared" si="4"/>
        <v/>
      </c>
      <c r="H41" s="15"/>
    </row>
    <row r="42" ht="15.0" customHeight="1">
      <c r="A42" s="15"/>
      <c r="B42" s="15"/>
      <c r="C42" s="15"/>
      <c r="D42" s="64">
        <f>SUMIFS('Nursing Charges'!$J:$J,'Nursing Charges'!$D:$D,A42,'Nursing Charges'!$K:$K,B42)</f>
        <v>0</v>
      </c>
      <c r="E42" s="20"/>
      <c r="F42" s="12" t="str">
        <f t="shared" si="3"/>
        <v/>
      </c>
      <c r="G42" s="45" t="str">
        <f t="shared" si="4"/>
        <v/>
      </c>
      <c r="H42" s="15"/>
    </row>
    <row r="43" ht="15.0" customHeight="1">
      <c r="A43" s="15"/>
      <c r="B43" s="15"/>
      <c r="C43" s="15"/>
      <c r="D43" s="64">
        <f>SUMIFS('Nursing Charges'!$J:$J,'Nursing Charges'!$D:$D,A43,'Nursing Charges'!$K:$K,B43)</f>
        <v>0</v>
      </c>
      <c r="E43" s="20"/>
      <c r="F43" s="12" t="str">
        <f t="shared" si="3"/>
        <v/>
      </c>
      <c r="G43" s="45" t="str">
        <f t="shared" si="4"/>
        <v/>
      </c>
      <c r="H43" s="15"/>
    </row>
    <row r="44" ht="15.0" customHeight="1">
      <c r="A44" s="15"/>
      <c r="B44" s="15"/>
      <c r="C44" s="15"/>
      <c r="D44" s="64">
        <f>SUMIFS('Nursing Charges'!$J:$J,'Nursing Charges'!$D:$D,A44,'Nursing Charges'!$K:$K,B44)</f>
        <v>0</v>
      </c>
      <c r="E44" s="20"/>
      <c r="F44" s="12" t="str">
        <f t="shared" si="3"/>
        <v/>
      </c>
      <c r="G44" s="45" t="str">
        <f t="shared" si="4"/>
        <v/>
      </c>
      <c r="H44" s="15"/>
    </row>
    <row r="45" ht="15.0" customHeight="1">
      <c r="A45" s="15"/>
      <c r="B45" s="15"/>
      <c r="C45" s="15"/>
      <c r="D45" s="64">
        <f>SUMIFS('Nursing Charges'!$J:$J,'Nursing Charges'!$D:$D,A45,'Nursing Charges'!$K:$K,B45)</f>
        <v>0</v>
      </c>
      <c r="E45" s="20"/>
      <c r="F45" s="12" t="str">
        <f t="shared" si="3"/>
        <v/>
      </c>
      <c r="G45" s="45" t="str">
        <f t="shared" si="4"/>
        <v/>
      </c>
      <c r="H45" s="15"/>
    </row>
    <row r="46" ht="15.0" customHeight="1">
      <c r="A46" s="15"/>
      <c r="B46" s="15"/>
      <c r="C46" s="15"/>
      <c r="D46" s="64">
        <f>SUMIFS('Nursing Charges'!$J:$J,'Nursing Charges'!$D:$D,A46,'Nursing Charges'!$K:$K,B46)</f>
        <v>0</v>
      </c>
      <c r="E46" s="20"/>
      <c r="F46" s="12" t="str">
        <f t="shared" si="3"/>
        <v/>
      </c>
      <c r="G46" s="45" t="str">
        <f t="shared" si="4"/>
        <v/>
      </c>
      <c r="H46" s="15"/>
    </row>
    <row r="47" ht="15.0" customHeight="1">
      <c r="A47" s="15"/>
      <c r="B47" s="15"/>
      <c r="C47" s="15"/>
      <c r="D47" s="64">
        <f>SUMIFS('Nursing Charges'!$J:$J,'Nursing Charges'!$D:$D,A47,'Nursing Charges'!$K:$K,B47)</f>
        <v>0</v>
      </c>
      <c r="E47" s="20"/>
      <c r="F47" s="12" t="str">
        <f t="shared" si="3"/>
        <v/>
      </c>
      <c r="G47" s="45" t="str">
        <f t="shared" si="4"/>
        <v/>
      </c>
      <c r="H47" s="15"/>
    </row>
    <row r="48" ht="15.0" customHeight="1">
      <c r="A48" s="15"/>
      <c r="B48" s="15"/>
      <c r="C48" s="15"/>
      <c r="D48" s="64">
        <f>SUMIFS('Nursing Charges'!$J:$J,'Nursing Charges'!$D:$D,A48,'Nursing Charges'!$K:$K,B48)</f>
        <v>0</v>
      </c>
      <c r="E48" s="20"/>
      <c r="F48" s="12" t="str">
        <f t="shared" si="3"/>
        <v/>
      </c>
      <c r="G48" s="45" t="str">
        <f t="shared" si="4"/>
        <v/>
      </c>
      <c r="H48" s="15"/>
    </row>
    <row r="49" ht="15.0" customHeight="1">
      <c r="A49" s="15"/>
      <c r="B49" s="15"/>
      <c r="C49" s="15"/>
      <c r="D49" s="64">
        <f>SUMIFS('Nursing Charges'!$J:$J,'Nursing Charges'!$D:$D,A49,'Nursing Charges'!$K:$K,B49)</f>
        <v>0</v>
      </c>
      <c r="E49" s="20"/>
      <c r="F49" s="12" t="str">
        <f t="shared" si="3"/>
        <v/>
      </c>
      <c r="G49" s="45" t="str">
        <f t="shared" si="4"/>
        <v/>
      </c>
      <c r="H49" s="15"/>
    </row>
    <row r="50" ht="15.0" customHeight="1">
      <c r="A50" s="15"/>
      <c r="B50" s="15"/>
      <c r="C50" s="15"/>
      <c r="D50" s="64">
        <f>SUMIFS('Nursing Charges'!$J:$J,'Nursing Charges'!$D:$D,A50,'Nursing Charges'!$K:$K,B50)</f>
        <v>0</v>
      </c>
      <c r="E50" s="20"/>
      <c r="F50" s="12" t="str">
        <f t="shared" si="3"/>
        <v/>
      </c>
      <c r="G50" s="45" t="str">
        <f t="shared" si="4"/>
        <v/>
      </c>
      <c r="H50" s="15"/>
    </row>
    <row r="51" ht="15.0" customHeight="1">
      <c r="A51" s="15"/>
      <c r="B51" s="15"/>
      <c r="C51" s="15"/>
      <c r="D51" s="64">
        <f>SUMIFS('Nursing Charges'!$J:$J,'Nursing Charges'!$D:$D,A51,'Nursing Charges'!$K:$K,B51)</f>
        <v>0</v>
      </c>
      <c r="E51" s="20"/>
      <c r="F51" s="12" t="str">
        <f t="shared" si="3"/>
        <v/>
      </c>
      <c r="G51" s="45" t="str">
        <f t="shared" si="4"/>
        <v/>
      </c>
      <c r="H51" s="15"/>
    </row>
    <row r="52" ht="15.0" customHeight="1">
      <c r="A52" s="15"/>
      <c r="B52" s="15"/>
      <c r="C52" s="15"/>
      <c r="D52" s="64">
        <f>SUMIFS('Nursing Charges'!$J:$J,'Nursing Charges'!$D:$D,A52,'Nursing Charges'!$K:$K,B52)</f>
        <v>0</v>
      </c>
      <c r="E52" s="20"/>
      <c r="F52" s="12" t="str">
        <f t="shared" si="3"/>
        <v/>
      </c>
      <c r="G52" s="45" t="str">
        <f t="shared" si="4"/>
        <v/>
      </c>
      <c r="H52" s="15"/>
    </row>
    <row r="53" ht="15.0" customHeight="1">
      <c r="A53" s="15"/>
      <c r="B53" s="15"/>
      <c r="C53" s="15"/>
      <c r="D53" s="64">
        <f>SUMIFS('Nursing Charges'!$J:$J,'Nursing Charges'!$D:$D,A53,'Nursing Charges'!$K:$K,B53)</f>
        <v>0</v>
      </c>
      <c r="E53" s="20"/>
      <c r="F53" s="12" t="str">
        <f t="shared" si="3"/>
        <v/>
      </c>
      <c r="G53" s="45" t="str">
        <f t="shared" si="4"/>
        <v/>
      </c>
      <c r="H53" s="15"/>
    </row>
    <row r="54" ht="15.0" customHeight="1">
      <c r="A54" s="15"/>
      <c r="B54" s="15"/>
      <c r="C54" s="15"/>
      <c r="D54" s="64">
        <f>SUMIFS('Nursing Charges'!$J:$J,'Nursing Charges'!$D:$D,A54,'Nursing Charges'!$K:$K,B54)</f>
        <v>0</v>
      </c>
      <c r="E54" s="20"/>
      <c r="F54" s="12" t="str">
        <f t="shared" si="3"/>
        <v/>
      </c>
      <c r="G54" s="45" t="str">
        <f t="shared" si="4"/>
        <v/>
      </c>
      <c r="H54" s="15"/>
    </row>
    <row r="55" ht="15.0" customHeight="1">
      <c r="A55" s="15"/>
      <c r="B55" s="15"/>
      <c r="C55" s="15"/>
      <c r="D55" s="64">
        <f>SUMIFS('Nursing Charges'!$J:$J,'Nursing Charges'!$D:$D,A55,'Nursing Charges'!$K:$K,B55)</f>
        <v>0</v>
      </c>
      <c r="E55" s="20"/>
      <c r="F55" s="12" t="str">
        <f t="shared" si="3"/>
        <v/>
      </c>
      <c r="G55" s="45" t="str">
        <f t="shared" si="4"/>
        <v/>
      </c>
      <c r="H55" s="15"/>
    </row>
    <row r="56" ht="15.0" customHeight="1">
      <c r="A56" s="15"/>
      <c r="B56" s="15"/>
      <c r="C56" s="15"/>
      <c r="D56" s="64">
        <f>SUMIFS('Nursing Charges'!$J:$J,'Nursing Charges'!$D:$D,A56,'Nursing Charges'!$K:$K,B56)</f>
        <v>0</v>
      </c>
      <c r="E56" s="20"/>
      <c r="F56" s="12" t="str">
        <f t="shared" si="3"/>
        <v/>
      </c>
      <c r="G56" s="45" t="str">
        <f t="shared" si="4"/>
        <v/>
      </c>
      <c r="H56" s="15"/>
    </row>
    <row r="57" ht="15.0" customHeight="1">
      <c r="A57" s="15"/>
      <c r="B57" s="15"/>
      <c r="C57" s="15"/>
      <c r="D57" s="64">
        <f>SUMIFS('Nursing Charges'!$J:$J,'Nursing Charges'!$D:$D,A57,'Nursing Charges'!$K:$K,B57)</f>
        <v>0</v>
      </c>
      <c r="E57" s="20"/>
      <c r="F57" s="12" t="str">
        <f t="shared" si="3"/>
        <v/>
      </c>
      <c r="G57" s="45" t="str">
        <f t="shared" si="4"/>
        <v/>
      </c>
      <c r="H57" s="15"/>
    </row>
    <row r="58" ht="15.0" customHeight="1">
      <c r="A58" s="15"/>
      <c r="B58" s="15"/>
      <c r="C58" s="15"/>
      <c r="D58" s="64">
        <f>SUMIFS('Nursing Charges'!$J:$J,'Nursing Charges'!$D:$D,A58,'Nursing Charges'!$K:$K,B58)</f>
        <v>0</v>
      </c>
      <c r="E58" s="20"/>
      <c r="F58" s="12" t="str">
        <f t="shared" si="3"/>
        <v/>
      </c>
      <c r="G58" s="45" t="str">
        <f t="shared" si="4"/>
        <v/>
      </c>
      <c r="H58" s="15"/>
    </row>
    <row r="59" ht="15.0" customHeight="1">
      <c r="A59" s="15"/>
      <c r="B59" s="15"/>
      <c r="C59" s="15"/>
      <c r="D59" s="64">
        <f>SUMIFS('Nursing Charges'!$J:$J,'Nursing Charges'!$D:$D,A59,'Nursing Charges'!$K:$K,B59)</f>
        <v>0</v>
      </c>
      <c r="E59" s="20"/>
      <c r="F59" s="12" t="str">
        <f t="shared" si="3"/>
        <v/>
      </c>
      <c r="G59" s="45" t="str">
        <f t="shared" si="4"/>
        <v/>
      </c>
      <c r="H59" s="15"/>
    </row>
    <row r="60" ht="15.0" customHeight="1">
      <c r="A60" s="15"/>
      <c r="B60" s="15"/>
      <c r="C60" s="15"/>
      <c r="D60" s="64">
        <f>SUMIFS('Nursing Charges'!$J:$J,'Nursing Charges'!$D:$D,A60,'Nursing Charges'!$K:$K,B60)</f>
        <v>0</v>
      </c>
      <c r="E60" s="20"/>
      <c r="F60" s="12" t="str">
        <f t="shared" si="3"/>
        <v/>
      </c>
      <c r="G60" s="45" t="str">
        <f t="shared" si="4"/>
        <v/>
      </c>
      <c r="H60" s="15"/>
    </row>
    <row r="61" ht="15.0" customHeight="1">
      <c r="A61" s="15"/>
      <c r="B61" s="15"/>
      <c r="C61" s="15"/>
      <c r="D61" s="64">
        <f>SUMIFS('Nursing Charges'!$J:$J,'Nursing Charges'!$D:$D,A61,'Nursing Charges'!$K:$K,B61)</f>
        <v>0</v>
      </c>
      <c r="E61" s="20"/>
      <c r="F61" s="12" t="str">
        <f t="shared" si="3"/>
        <v/>
      </c>
      <c r="G61" s="45" t="str">
        <f t="shared" si="4"/>
        <v/>
      </c>
      <c r="H61" s="15"/>
    </row>
    <row r="62" ht="15.0" customHeight="1">
      <c r="A62" s="15"/>
      <c r="B62" s="15"/>
      <c r="C62" s="15"/>
      <c r="D62" s="64">
        <f>SUMIFS('Nursing Charges'!$J:$J,'Nursing Charges'!$D:$D,A62,'Nursing Charges'!$K:$K,B62)</f>
        <v>0</v>
      </c>
      <c r="E62" s="20"/>
      <c r="F62" s="12" t="str">
        <f t="shared" si="3"/>
        <v/>
      </c>
      <c r="G62" s="45" t="str">
        <f t="shared" si="4"/>
        <v/>
      </c>
      <c r="H62" s="15"/>
    </row>
    <row r="63" ht="15.0" customHeight="1">
      <c r="A63" s="15"/>
      <c r="B63" s="15"/>
      <c r="C63" s="15"/>
      <c r="D63" s="64">
        <f>SUMIFS('Nursing Charges'!$J:$J,'Nursing Charges'!$D:$D,A63,'Nursing Charges'!$K:$K,B63)</f>
        <v>0</v>
      </c>
      <c r="E63" s="20"/>
      <c r="F63" s="12" t="str">
        <f t="shared" si="3"/>
        <v/>
      </c>
      <c r="G63" s="45" t="str">
        <f t="shared" si="4"/>
        <v/>
      </c>
      <c r="H63" s="15"/>
    </row>
    <row r="64" ht="15.0" customHeight="1">
      <c r="A64" s="15"/>
      <c r="B64" s="15"/>
      <c r="C64" s="15"/>
      <c r="D64" s="64">
        <f>SUMIFS('Nursing Charges'!$J:$J,'Nursing Charges'!$D:$D,A64,'Nursing Charges'!$K:$K,B64)</f>
        <v>0</v>
      </c>
      <c r="E64" s="20"/>
      <c r="F64" s="12" t="str">
        <f t="shared" si="3"/>
        <v/>
      </c>
      <c r="G64" s="45" t="str">
        <f t="shared" si="4"/>
        <v/>
      </c>
      <c r="H64" s="15"/>
    </row>
    <row r="65" ht="15.0" customHeight="1">
      <c r="A65" s="15"/>
      <c r="B65" s="15"/>
      <c r="C65" s="15"/>
      <c r="D65" s="64">
        <f>SUMIFS('Nursing Charges'!$J:$J,'Nursing Charges'!$D:$D,A65,'Nursing Charges'!$K:$K,B65)</f>
        <v>0</v>
      </c>
      <c r="E65" s="20"/>
      <c r="F65" s="12" t="str">
        <f t="shared" si="3"/>
        <v/>
      </c>
      <c r="G65" s="45" t="str">
        <f t="shared" si="4"/>
        <v/>
      </c>
      <c r="H65" s="15"/>
    </row>
    <row r="66" ht="15.0" customHeight="1">
      <c r="A66" s="15"/>
      <c r="B66" s="15"/>
      <c r="C66" s="15"/>
      <c r="D66" s="64">
        <f>SUMIFS('Nursing Charges'!$J:$J,'Nursing Charges'!$D:$D,A66,'Nursing Charges'!$K:$K,B66)</f>
        <v>0</v>
      </c>
      <c r="E66" s="20"/>
      <c r="F66" s="12" t="str">
        <f t="shared" si="3"/>
        <v/>
      </c>
      <c r="G66" s="45" t="str">
        <f t="shared" si="4"/>
        <v/>
      </c>
      <c r="H66" s="15"/>
    </row>
    <row r="67" ht="15.0" customHeight="1">
      <c r="A67" s="15"/>
      <c r="B67" s="15"/>
      <c r="C67" s="15"/>
      <c r="D67" s="64">
        <f>SUMIFS('Nursing Charges'!$J:$J,'Nursing Charges'!$D:$D,A67,'Nursing Charges'!$K:$K,B67)</f>
        <v>0</v>
      </c>
      <c r="E67" s="20"/>
      <c r="F67" s="12" t="str">
        <f t="shared" si="3"/>
        <v/>
      </c>
      <c r="G67" s="45" t="str">
        <f t="shared" si="4"/>
        <v/>
      </c>
      <c r="H67" s="15"/>
    </row>
    <row r="68" ht="15.0" customHeight="1">
      <c r="A68" s="15"/>
      <c r="B68" s="15"/>
      <c r="C68" s="15"/>
      <c r="D68" s="64">
        <f>SUMIFS('Nursing Charges'!$J:$J,'Nursing Charges'!$D:$D,A68,'Nursing Charges'!$K:$K,B68)</f>
        <v>0</v>
      </c>
      <c r="E68" s="20"/>
      <c r="F68" s="12" t="str">
        <f t="shared" si="3"/>
        <v/>
      </c>
      <c r="G68" s="45" t="str">
        <f t="shared" si="4"/>
        <v/>
      </c>
      <c r="H68" s="15"/>
    </row>
    <row r="69" ht="15.0" customHeight="1">
      <c r="A69" s="15"/>
      <c r="B69" s="15"/>
      <c r="C69" s="15"/>
      <c r="D69" s="64">
        <f>SUMIFS('Nursing Charges'!$J:$J,'Nursing Charges'!$D:$D,A69,'Nursing Charges'!$K:$K,B69)</f>
        <v>0</v>
      </c>
      <c r="E69" s="20"/>
      <c r="F69" s="12" t="str">
        <f t="shared" si="3"/>
        <v/>
      </c>
      <c r="G69" s="45" t="str">
        <f t="shared" si="4"/>
        <v/>
      </c>
      <c r="H69" s="15"/>
    </row>
    <row r="70" ht="15.0" customHeight="1">
      <c r="A70" s="15"/>
      <c r="B70" s="15"/>
      <c r="C70" s="15"/>
      <c r="D70" s="64">
        <f>SUMIFS('Nursing Charges'!$J:$J,'Nursing Charges'!$D:$D,A70,'Nursing Charges'!$K:$K,B70)</f>
        <v>0</v>
      </c>
      <c r="E70" s="20"/>
      <c r="F70" s="12" t="str">
        <f t="shared" si="3"/>
        <v/>
      </c>
      <c r="G70" s="45" t="str">
        <f t="shared" si="4"/>
        <v/>
      </c>
      <c r="H70" s="15"/>
    </row>
    <row r="71" ht="15.0" customHeight="1">
      <c r="A71" s="15"/>
      <c r="B71" s="15"/>
      <c r="C71" s="15"/>
      <c r="D71" s="64">
        <f>SUMIFS('Nursing Charges'!$J:$J,'Nursing Charges'!$D:$D,A71,'Nursing Charges'!$K:$K,B71)</f>
        <v>0</v>
      </c>
      <c r="E71" s="20"/>
      <c r="F71" s="12" t="str">
        <f t="shared" si="3"/>
        <v/>
      </c>
      <c r="G71" s="45" t="str">
        <f t="shared" si="4"/>
        <v/>
      </c>
      <c r="H71" s="15"/>
    </row>
    <row r="72" ht="15.0" customHeight="1">
      <c r="A72" s="15"/>
      <c r="B72" s="15"/>
      <c r="C72" s="15"/>
      <c r="D72" s="64">
        <f>SUMIFS('Nursing Charges'!$J:$J,'Nursing Charges'!$D:$D,A72,'Nursing Charges'!$K:$K,B72)</f>
        <v>0</v>
      </c>
      <c r="E72" s="20"/>
      <c r="F72" s="12" t="str">
        <f t="shared" si="3"/>
        <v/>
      </c>
      <c r="G72" s="45" t="str">
        <f t="shared" si="4"/>
        <v/>
      </c>
      <c r="H72" s="15"/>
    </row>
    <row r="73" ht="15.0" customHeight="1">
      <c r="A73" s="15"/>
      <c r="B73" s="15"/>
      <c r="C73" s="15"/>
      <c r="D73" s="64">
        <f>SUMIFS('Nursing Charges'!$J:$J,'Nursing Charges'!$D:$D,A73,'Nursing Charges'!$K:$K,B73)</f>
        <v>0</v>
      </c>
      <c r="E73" s="20"/>
      <c r="F73" s="12" t="str">
        <f t="shared" si="3"/>
        <v/>
      </c>
      <c r="G73" s="45" t="str">
        <f t="shared" si="4"/>
        <v/>
      </c>
      <c r="H73" s="15"/>
    </row>
    <row r="74" ht="15.0" customHeight="1">
      <c r="A74" s="15"/>
      <c r="B74" s="15"/>
      <c r="C74" s="15"/>
      <c r="D74" s="64">
        <f>SUMIFS('Nursing Charges'!$J:$J,'Nursing Charges'!$D:$D,A74,'Nursing Charges'!$K:$K,B74)</f>
        <v>0</v>
      </c>
      <c r="E74" s="20"/>
      <c r="F74" s="12" t="str">
        <f t="shared" si="3"/>
        <v/>
      </c>
      <c r="G74" s="45" t="str">
        <f t="shared" si="4"/>
        <v/>
      </c>
      <c r="H74" s="15"/>
    </row>
    <row r="75" ht="15.0" customHeight="1">
      <c r="A75" s="15"/>
      <c r="B75" s="15"/>
      <c r="C75" s="15"/>
      <c r="D75" s="64">
        <f>SUMIFS('Nursing Charges'!$J:$J,'Nursing Charges'!$D:$D,A75,'Nursing Charges'!$K:$K,B75)</f>
        <v>0</v>
      </c>
      <c r="E75" s="20"/>
      <c r="F75" s="12" t="str">
        <f t="shared" si="3"/>
        <v/>
      </c>
      <c r="G75" s="45" t="str">
        <f t="shared" si="4"/>
        <v/>
      </c>
      <c r="H75" s="15"/>
    </row>
    <row r="76" ht="15.0" customHeight="1">
      <c r="A76" s="15"/>
      <c r="B76" s="15"/>
      <c r="C76" s="15"/>
      <c r="D76" s="64">
        <f>SUMIFS('Nursing Charges'!$J:$J,'Nursing Charges'!$D:$D,A76,'Nursing Charges'!$K:$K,B76)</f>
        <v>0</v>
      </c>
      <c r="E76" s="20"/>
      <c r="F76" s="12" t="str">
        <f t="shared" si="3"/>
        <v/>
      </c>
      <c r="G76" s="45" t="str">
        <f t="shared" si="4"/>
        <v/>
      </c>
      <c r="H76" s="15"/>
    </row>
    <row r="77" ht="15.0" customHeight="1">
      <c r="A77" s="15"/>
      <c r="B77" s="15"/>
      <c r="C77" s="15"/>
      <c r="D77" s="64">
        <f>SUMIFS('Nursing Charges'!$J:$J,'Nursing Charges'!$D:$D,A77,'Nursing Charges'!$K:$K,B77)</f>
        <v>0</v>
      </c>
      <c r="E77" s="20"/>
      <c r="F77" s="12" t="str">
        <f t="shared" si="3"/>
        <v/>
      </c>
      <c r="G77" s="45" t="str">
        <f t="shared" si="4"/>
        <v/>
      </c>
      <c r="H77" s="15"/>
    </row>
    <row r="78" ht="15.0" customHeight="1">
      <c r="A78" s="15"/>
      <c r="B78" s="15"/>
      <c r="C78" s="15"/>
      <c r="D78" s="64">
        <f>SUMIFS('Nursing Charges'!$J:$J,'Nursing Charges'!$D:$D,A78,'Nursing Charges'!$K:$K,B78)</f>
        <v>0</v>
      </c>
      <c r="E78" s="20"/>
      <c r="F78" s="12" t="str">
        <f t="shared" si="3"/>
        <v/>
      </c>
      <c r="G78" s="45" t="str">
        <f t="shared" si="4"/>
        <v/>
      </c>
      <c r="H78" s="15"/>
    </row>
    <row r="79" ht="15.0" customHeight="1">
      <c r="A79" s="15"/>
      <c r="B79" s="15"/>
      <c r="C79" s="15"/>
      <c r="D79" s="64">
        <f>SUMIFS('Nursing Charges'!$J:$J,'Nursing Charges'!$D:$D,A79,'Nursing Charges'!$K:$K,B79)</f>
        <v>0</v>
      </c>
      <c r="E79" s="20"/>
      <c r="F79" s="12" t="str">
        <f t="shared" si="3"/>
        <v/>
      </c>
      <c r="G79" s="45" t="str">
        <f t="shared" si="4"/>
        <v/>
      </c>
      <c r="H79" s="15"/>
    </row>
    <row r="80" ht="15.0" customHeight="1">
      <c r="A80" s="15"/>
      <c r="B80" s="15"/>
      <c r="C80" s="15"/>
      <c r="D80" s="64">
        <f>SUMIFS('Nursing Charges'!$J:$J,'Nursing Charges'!$D:$D,A80,'Nursing Charges'!$K:$K,B80)</f>
        <v>0</v>
      </c>
      <c r="E80" s="20"/>
      <c r="F80" s="12" t="str">
        <f t="shared" si="3"/>
        <v/>
      </c>
      <c r="G80" s="45" t="str">
        <f t="shared" si="4"/>
        <v/>
      </c>
      <c r="H80" s="15"/>
    </row>
    <row r="81" ht="15.0" customHeight="1">
      <c r="A81" s="15"/>
      <c r="B81" s="15"/>
      <c r="C81" s="15"/>
      <c r="D81" s="64">
        <f>SUMIFS('Nursing Charges'!$J:$J,'Nursing Charges'!$D:$D,A81,'Nursing Charges'!$K:$K,B81)</f>
        <v>0</v>
      </c>
      <c r="E81" s="20"/>
      <c r="F81" s="12" t="str">
        <f t="shared" si="3"/>
        <v/>
      </c>
      <c r="G81" s="45" t="str">
        <f t="shared" si="4"/>
        <v/>
      </c>
      <c r="H81" s="15"/>
    </row>
    <row r="82" ht="15.0" customHeight="1">
      <c r="A82" s="15"/>
      <c r="B82" s="15"/>
      <c r="C82" s="15"/>
      <c r="D82" s="64">
        <f>SUMIFS('Nursing Charges'!$J:$J,'Nursing Charges'!$D:$D,A82,'Nursing Charges'!$K:$K,B82)</f>
        <v>0</v>
      </c>
      <c r="E82" s="20"/>
      <c r="F82" s="12" t="str">
        <f t="shared" si="3"/>
        <v/>
      </c>
      <c r="G82" s="45" t="str">
        <f t="shared" si="4"/>
        <v/>
      </c>
      <c r="H82" s="15"/>
    </row>
    <row r="83" ht="15.0" customHeight="1">
      <c r="A83" s="15"/>
      <c r="B83" s="15"/>
      <c r="C83" s="15"/>
      <c r="D83" s="64">
        <f>SUMIFS('Nursing Charges'!$J:$J,'Nursing Charges'!$D:$D,A83,'Nursing Charges'!$K:$K,B83)</f>
        <v>0</v>
      </c>
      <c r="E83" s="20"/>
      <c r="F83" s="12" t="str">
        <f t="shared" si="3"/>
        <v/>
      </c>
      <c r="G83" s="45" t="str">
        <f t="shared" si="4"/>
        <v/>
      </c>
      <c r="H83" s="15"/>
    </row>
    <row r="84" ht="15.0" customHeight="1">
      <c r="A84" s="15"/>
      <c r="B84" s="15"/>
      <c r="C84" s="15"/>
      <c r="D84" s="64">
        <f>SUMIFS('Nursing Charges'!$J:$J,'Nursing Charges'!$D:$D,A84,'Nursing Charges'!$K:$K,B84)</f>
        <v>0</v>
      </c>
      <c r="E84" s="20"/>
      <c r="F84" s="12" t="str">
        <f t="shared" si="3"/>
        <v/>
      </c>
      <c r="G84" s="45" t="str">
        <f t="shared" si="4"/>
        <v/>
      </c>
      <c r="H84" s="15"/>
    </row>
    <row r="85" ht="15.0" customHeight="1">
      <c r="A85" s="15"/>
      <c r="B85" s="15"/>
      <c r="C85" s="15"/>
      <c r="D85" s="64">
        <f>SUMIFS('Nursing Charges'!$J:$J,'Nursing Charges'!$D:$D,A85,'Nursing Charges'!$K:$K,B85)</f>
        <v>0</v>
      </c>
      <c r="E85" s="20"/>
      <c r="F85" s="12" t="str">
        <f t="shared" si="3"/>
        <v/>
      </c>
      <c r="G85" s="45" t="str">
        <f t="shared" si="4"/>
        <v/>
      </c>
      <c r="H85" s="15"/>
    </row>
    <row r="86" ht="15.0" customHeight="1">
      <c r="A86" s="15"/>
      <c r="B86" s="15"/>
      <c r="C86" s="15"/>
      <c r="D86" s="64">
        <f>SUMIFS('Nursing Charges'!$J:$J,'Nursing Charges'!$D:$D,A86,'Nursing Charges'!$K:$K,B86)</f>
        <v>0</v>
      </c>
      <c r="E86" s="20"/>
      <c r="F86" s="12" t="str">
        <f t="shared" si="3"/>
        <v/>
      </c>
      <c r="G86" s="45" t="str">
        <f t="shared" si="4"/>
        <v/>
      </c>
      <c r="H86" s="15"/>
    </row>
    <row r="87" ht="15.0" customHeight="1">
      <c r="A87" s="15"/>
      <c r="B87" s="15"/>
      <c r="C87" s="15"/>
      <c r="D87" s="64">
        <f>SUMIFS('Nursing Charges'!$J:$J,'Nursing Charges'!$D:$D,A87,'Nursing Charges'!$K:$K,B87)</f>
        <v>0</v>
      </c>
      <c r="E87" s="20"/>
      <c r="F87" s="12" t="str">
        <f t="shared" si="3"/>
        <v/>
      </c>
      <c r="G87" s="45" t="str">
        <f t="shared" si="4"/>
        <v/>
      </c>
      <c r="H87" s="15"/>
    </row>
    <row r="88" ht="15.0" customHeight="1">
      <c r="A88" s="15"/>
      <c r="B88" s="15"/>
      <c r="C88" s="15"/>
      <c r="D88" s="64">
        <f>SUMIFS('Nursing Charges'!$J:$J,'Nursing Charges'!$D:$D,A88,'Nursing Charges'!$K:$K,B88)</f>
        <v>0</v>
      </c>
      <c r="E88" s="20"/>
      <c r="F88" s="12" t="str">
        <f t="shared" si="3"/>
        <v/>
      </c>
      <c r="G88" s="45" t="str">
        <f t="shared" si="4"/>
        <v/>
      </c>
      <c r="H88" s="15"/>
    </row>
    <row r="89" ht="15.0" customHeight="1">
      <c r="A89" s="15"/>
      <c r="B89" s="15"/>
      <c r="C89" s="15"/>
      <c r="D89" s="64">
        <f>SUMIFS('Nursing Charges'!$J:$J,'Nursing Charges'!$D:$D,A89,'Nursing Charges'!$K:$K,B89)</f>
        <v>0</v>
      </c>
      <c r="E89" s="20"/>
      <c r="F89" s="12" t="str">
        <f t="shared" si="3"/>
        <v/>
      </c>
      <c r="G89" s="45" t="str">
        <f t="shared" si="4"/>
        <v/>
      </c>
      <c r="H89" s="15"/>
    </row>
    <row r="90" ht="15.0" customHeight="1">
      <c r="A90" s="15"/>
      <c r="B90" s="15"/>
      <c r="C90" s="15"/>
      <c r="D90" s="64">
        <f>SUMIFS('Nursing Charges'!$J:$J,'Nursing Charges'!$D:$D,A90,'Nursing Charges'!$K:$K,B90)</f>
        <v>0</v>
      </c>
      <c r="E90" s="20"/>
      <c r="F90" s="12" t="str">
        <f t="shared" si="3"/>
        <v/>
      </c>
      <c r="G90" s="45" t="str">
        <f t="shared" si="4"/>
        <v/>
      </c>
      <c r="H90" s="15"/>
    </row>
    <row r="91" ht="15.0" customHeight="1">
      <c r="A91" s="15"/>
      <c r="B91" s="15"/>
      <c r="C91" s="15"/>
      <c r="D91" s="64">
        <f>SUMIFS('Nursing Charges'!$J:$J,'Nursing Charges'!$D:$D,A91,'Nursing Charges'!$K:$K,B91)</f>
        <v>0</v>
      </c>
      <c r="E91" s="20"/>
      <c r="F91" s="12" t="str">
        <f t="shared" si="3"/>
        <v/>
      </c>
      <c r="G91" s="45" t="str">
        <f t="shared" si="4"/>
        <v/>
      </c>
      <c r="H91" s="15"/>
    </row>
    <row r="92" ht="15.0" customHeight="1">
      <c r="A92" s="15"/>
      <c r="B92" s="15"/>
      <c r="C92" s="15"/>
      <c r="D92" s="64">
        <f>SUMIFS('Nursing Charges'!$J:$J,'Nursing Charges'!$D:$D,A92,'Nursing Charges'!$K:$K,B92)</f>
        <v>0</v>
      </c>
      <c r="E92" s="20"/>
      <c r="F92" s="12" t="str">
        <f t="shared" si="3"/>
        <v/>
      </c>
      <c r="G92" s="45" t="str">
        <f t="shared" si="4"/>
        <v/>
      </c>
      <c r="H92" s="15"/>
    </row>
    <row r="93" ht="15.0" customHeight="1">
      <c r="A93" s="15"/>
      <c r="B93" s="15"/>
      <c r="C93" s="15"/>
      <c r="D93" s="64">
        <f>SUMIFS('Nursing Charges'!$J:$J,'Nursing Charges'!$D:$D,A93,'Nursing Charges'!$K:$K,B93)</f>
        <v>0</v>
      </c>
      <c r="E93" s="20"/>
      <c r="F93" s="12" t="str">
        <f t="shared" si="3"/>
        <v/>
      </c>
      <c r="G93" s="45" t="str">
        <f t="shared" si="4"/>
        <v/>
      </c>
      <c r="H93" s="15"/>
    </row>
    <row r="94" ht="15.0" customHeight="1">
      <c r="A94" s="15"/>
      <c r="B94" s="15"/>
      <c r="C94" s="15"/>
      <c r="D94" s="64">
        <f>SUMIFS('Nursing Charges'!$J:$J,'Nursing Charges'!$D:$D,A94,'Nursing Charges'!$K:$K,B94)</f>
        <v>0</v>
      </c>
      <c r="E94" s="20"/>
      <c r="F94" s="12" t="str">
        <f t="shared" si="3"/>
        <v/>
      </c>
      <c r="G94" s="45" t="str">
        <f t="shared" si="4"/>
        <v/>
      </c>
      <c r="H94" s="15"/>
    </row>
    <row r="95" ht="15.0" customHeight="1">
      <c r="A95" s="15"/>
      <c r="B95" s="15"/>
      <c r="C95" s="15"/>
      <c r="D95" s="64">
        <f>SUMIFS('Nursing Charges'!$J:$J,'Nursing Charges'!$D:$D,A95,'Nursing Charges'!$K:$K,B95)</f>
        <v>0</v>
      </c>
      <c r="E95" s="20"/>
      <c r="F95" s="12" t="str">
        <f t="shared" si="3"/>
        <v/>
      </c>
      <c r="G95" s="45" t="str">
        <f t="shared" si="4"/>
        <v/>
      </c>
      <c r="H95" s="15"/>
    </row>
    <row r="96" ht="15.0" customHeight="1">
      <c r="A96" s="15"/>
      <c r="B96" s="15"/>
      <c r="C96" s="15"/>
      <c r="D96" s="64">
        <f>SUMIFS('Nursing Charges'!$J:$J,'Nursing Charges'!$D:$D,A96,'Nursing Charges'!$K:$K,B96)</f>
        <v>0</v>
      </c>
      <c r="E96" s="20"/>
      <c r="F96" s="12" t="str">
        <f t="shared" si="3"/>
        <v/>
      </c>
      <c r="G96" s="45" t="str">
        <f t="shared" si="4"/>
        <v/>
      </c>
      <c r="H96" s="15"/>
    </row>
    <row r="97" ht="15.0" customHeight="1">
      <c r="A97" s="15"/>
      <c r="B97" s="15"/>
      <c r="C97" s="15"/>
      <c r="D97" s="64">
        <f>SUMIFS('Nursing Charges'!$J:$J,'Nursing Charges'!$D:$D,A97,'Nursing Charges'!$K:$K,B97)</f>
        <v>0</v>
      </c>
      <c r="E97" s="20"/>
      <c r="F97" s="12" t="str">
        <f t="shared" si="3"/>
        <v/>
      </c>
      <c r="G97" s="45" t="str">
        <f t="shared" si="4"/>
        <v/>
      </c>
      <c r="H97" s="15"/>
    </row>
    <row r="98" ht="15.0" customHeight="1">
      <c r="A98" s="15"/>
      <c r="B98" s="15"/>
      <c r="C98" s="15"/>
      <c r="D98" s="64">
        <f>SUMIFS('Nursing Charges'!$J:$J,'Nursing Charges'!$D:$D,A98,'Nursing Charges'!$K:$K,B98)</f>
        <v>0</v>
      </c>
      <c r="E98" s="20"/>
      <c r="F98" s="12" t="str">
        <f t="shared" si="3"/>
        <v/>
      </c>
      <c r="G98" s="45" t="str">
        <f t="shared" si="4"/>
        <v/>
      </c>
      <c r="H98" s="15"/>
    </row>
    <row r="99" ht="15.0" customHeight="1">
      <c r="A99" s="15"/>
      <c r="B99" s="15"/>
      <c r="C99" s="15"/>
      <c r="D99" s="64">
        <f>SUMIFS('Nursing Charges'!$J:$J,'Nursing Charges'!$D:$D,A99,'Nursing Charges'!$K:$K,B99)</f>
        <v>0</v>
      </c>
      <c r="E99" s="20"/>
      <c r="F99" s="12" t="str">
        <f t="shared" si="3"/>
        <v/>
      </c>
      <c r="G99" s="45" t="str">
        <f t="shared" si="4"/>
        <v/>
      </c>
      <c r="H99" s="15"/>
    </row>
    <row r="100" ht="15.0" customHeight="1">
      <c r="A100" s="15"/>
      <c r="B100" s="15"/>
      <c r="C100" s="15"/>
      <c r="D100" s="64">
        <f>SUMIFS('Nursing Charges'!$J:$J,'Nursing Charges'!$D:$D,A100,'Nursing Charges'!$K:$K,B100)</f>
        <v>0</v>
      </c>
      <c r="E100" s="20"/>
      <c r="F100" s="12" t="str">
        <f t="shared" si="3"/>
        <v/>
      </c>
      <c r="G100" s="45" t="str">
        <f t="shared" si="4"/>
        <v/>
      </c>
      <c r="H100" s="15"/>
    </row>
    <row r="101" ht="15.0" customHeight="1">
      <c r="A101" s="15"/>
      <c r="B101" s="15"/>
      <c r="C101" s="15"/>
      <c r="D101" s="64">
        <f>SUMIFS('Nursing Charges'!$J:$J,'Nursing Charges'!$D:$D,A101,'Nursing Charges'!$K:$K,B101)</f>
        <v>0</v>
      </c>
      <c r="E101" s="20"/>
      <c r="F101" s="12" t="str">
        <f t="shared" si="3"/>
        <v/>
      </c>
      <c r="G101" s="45" t="str">
        <f t="shared" si="4"/>
        <v/>
      </c>
      <c r="H101" s="15"/>
    </row>
    <row r="102" ht="15.0" customHeight="1">
      <c r="A102" s="15"/>
      <c r="B102" s="15"/>
      <c r="C102" s="15"/>
      <c r="D102" s="64">
        <f>SUMIFS('Nursing Charges'!$J:$J,'Nursing Charges'!$D:$D,A102,'Nursing Charges'!$K:$K,B102)</f>
        <v>0</v>
      </c>
      <c r="E102" s="20"/>
      <c r="F102" s="12" t="str">
        <f t="shared" si="3"/>
        <v/>
      </c>
      <c r="G102" s="45" t="str">
        <f t="shared" si="4"/>
        <v/>
      </c>
      <c r="H102" s="15"/>
    </row>
    <row r="103" ht="15.0" customHeight="1">
      <c r="A103" s="15"/>
      <c r="B103" s="15"/>
      <c r="C103" s="15"/>
      <c r="D103" s="64">
        <f>SUMIFS('Nursing Charges'!$J:$J,'Nursing Charges'!$D:$D,A103,'Nursing Charges'!$K:$K,B103)</f>
        <v>0</v>
      </c>
      <c r="E103" s="20"/>
      <c r="F103" s="12" t="str">
        <f t="shared" si="3"/>
        <v/>
      </c>
      <c r="G103" s="45" t="str">
        <f t="shared" si="4"/>
        <v/>
      </c>
      <c r="H103" s="15"/>
    </row>
    <row r="104" ht="15.0" customHeight="1">
      <c r="A104" s="15"/>
      <c r="B104" s="15"/>
      <c r="C104" s="15"/>
      <c r="D104" s="64">
        <f>SUMIFS('Nursing Charges'!$J:$J,'Nursing Charges'!$D:$D,A104,'Nursing Charges'!$K:$K,B104)</f>
        <v>0</v>
      </c>
      <c r="E104" s="20"/>
      <c r="F104" s="12" t="str">
        <f t="shared" si="3"/>
        <v/>
      </c>
      <c r="G104" s="45" t="str">
        <f t="shared" si="4"/>
        <v/>
      </c>
      <c r="H104" s="15"/>
    </row>
    <row r="105" ht="15.0" customHeight="1">
      <c r="A105" s="15"/>
      <c r="B105" s="15"/>
      <c r="C105" s="15"/>
      <c r="D105" s="64">
        <f>SUMIFS('Nursing Charges'!$J:$J,'Nursing Charges'!$D:$D,A105,'Nursing Charges'!$K:$K,B105)</f>
        <v>0</v>
      </c>
      <c r="E105" s="20"/>
      <c r="F105" s="12" t="str">
        <f t="shared" si="3"/>
        <v/>
      </c>
      <c r="G105" s="45" t="str">
        <f t="shared" si="4"/>
        <v/>
      </c>
      <c r="H105" s="15"/>
    </row>
    <row r="106" ht="15.0" customHeight="1">
      <c r="A106" s="15"/>
      <c r="B106" s="15"/>
      <c r="C106" s="15"/>
      <c r="D106" s="64">
        <f>SUMIFS('Nursing Charges'!$J:$J,'Nursing Charges'!$D:$D,A106,'Nursing Charges'!$K:$K,B106)</f>
        <v>0</v>
      </c>
      <c r="E106" s="20"/>
      <c r="F106" s="12" t="str">
        <f t="shared" si="3"/>
        <v/>
      </c>
      <c r="G106" s="45" t="str">
        <f t="shared" si="4"/>
        <v/>
      </c>
      <c r="H106" s="15"/>
    </row>
    <row r="107" ht="15.0" customHeight="1">
      <c r="A107" s="15"/>
      <c r="B107" s="15"/>
      <c r="C107" s="15"/>
      <c r="D107" s="64">
        <f>SUMIFS('Nursing Charges'!$J:$J,'Nursing Charges'!$D:$D,A107,'Nursing Charges'!$K:$K,B107)</f>
        <v>0</v>
      </c>
      <c r="E107" s="20"/>
      <c r="F107" s="12" t="str">
        <f t="shared" si="3"/>
        <v/>
      </c>
      <c r="G107" s="45" t="str">
        <f t="shared" si="4"/>
        <v/>
      </c>
      <c r="H107" s="15"/>
    </row>
    <row r="108" ht="15.0" customHeight="1">
      <c r="A108" s="15"/>
      <c r="B108" s="15"/>
      <c r="C108" s="15"/>
      <c r="D108" s="64">
        <f>SUMIFS('Nursing Charges'!$J:$J,'Nursing Charges'!$D:$D,A108,'Nursing Charges'!$K:$K,B108)</f>
        <v>0</v>
      </c>
      <c r="E108" s="20"/>
      <c r="F108" s="12" t="str">
        <f t="shared" si="3"/>
        <v/>
      </c>
      <c r="G108" s="45" t="str">
        <f t="shared" si="4"/>
        <v/>
      </c>
      <c r="H108" s="15"/>
    </row>
    <row r="109" ht="15.0" customHeight="1">
      <c r="A109" s="15"/>
      <c r="B109" s="15"/>
      <c r="C109" s="15"/>
      <c r="D109" s="64">
        <f>SUMIFS('Nursing Charges'!$J:$J,'Nursing Charges'!$D:$D,A109,'Nursing Charges'!$K:$K,B109)</f>
        <v>0</v>
      </c>
      <c r="E109" s="20"/>
      <c r="F109" s="12" t="str">
        <f t="shared" si="3"/>
        <v/>
      </c>
      <c r="G109" s="45" t="str">
        <f t="shared" si="4"/>
        <v/>
      </c>
      <c r="H109" s="15"/>
    </row>
    <row r="110" ht="15.0" customHeight="1">
      <c r="A110" s="15"/>
      <c r="B110" s="15"/>
      <c r="C110" s="15"/>
      <c r="D110" s="64">
        <f>SUMIFS('Nursing Charges'!$J:$J,'Nursing Charges'!$D:$D,A110,'Nursing Charges'!$K:$K,B110)</f>
        <v>0</v>
      </c>
      <c r="E110" s="20"/>
      <c r="F110" s="12" t="str">
        <f t="shared" si="3"/>
        <v/>
      </c>
      <c r="G110" s="45" t="str">
        <f t="shared" si="4"/>
        <v/>
      </c>
      <c r="H110" s="15"/>
    </row>
    <row r="111" ht="15.0" customHeight="1">
      <c r="A111" s="15"/>
      <c r="B111" s="15"/>
      <c r="C111" s="15"/>
      <c r="D111" s="64">
        <f>SUMIFS('Nursing Charges'!$J:$J,'Nursing Charges'!$D:$D,A111,'Nursing Charges'!$K:$K,B111)</f>
        <v>0</v>
      </c>
      <c r="E111" s="20"/>
      <c r="F111" s="12" t="str">
        <f t="shared" si="3"/>
        <v/>
      </c>
      <c r="G111" s="45" t="str">
        <f t="shared" si="4"/>
        <v/>
      </c>
      <c r="H111" s="15"/>
    </row>
    <row r="112" ht="15.0" customHeight="1">
      <c r="A112" s="15"/>
      <c r="B112" s="15"/>
      <c r="C112" s="15"/>
      <c r="D112" s="64">
        <f>SUMIFS('Nursing Charges'!$J:$J,'Nursing Charges'!$D:$D,A112,'Nursing Charges'!$K:$K,B112)</f>
        <v>0</v>
      </c>
      <c r="E112" s="20"/>
      <c r="F112" s="12" t="str">
        <f t="shared" si="3"/>
        <v/>
      </c>
      <c r="G112" s="45" t="str">
        <f t="shared" si="4"/>
        <v/>
      </c>
      <c r="H112" s="15"/>
    </row>
    <row r="113" ht="15.0" customHeight="1">
      <c r="A113" s="15"/>
      <c r="B113" s="15"/>
      <c r="C113" s="15"/>
      <c r="D113" s="64">
        <f>SUMIFS('Nursing Charges'!$J:$J,'Nursing Charges'!$D:$D,A113,'Nursing Charges'!$K:$K,B113)</f>
        <v>0</v>
      </c>
      <c r="E113" s="20"/>
      <c r="F113" s="12" t="str">
        <f t="shared" si="3"/>
        <v/>
      </c>
      <c r="G113" s="45" t="str">
        <f t="shared" si="4"/>
        <v/>
      </c>
      <c r="H113" s="15"/>
    </row>
    <row r="114" ht="15.0" customHeight="1">
      <c r="A114" s="15"/>
      <c r="B114" s="15"/>
      <c r="C114" s="15"/>
      <c r="D114" s="64">
        <f>SUMIFS('Nursing Charges'!$J:$J,'Nursing Charges'!$D:$D,A114,'Nursing Charges'!$K:$K,B114)</f>
        <v>0</v>
      </c>
      <c r="E114" s="20"/>
      <c r="F114" s="12" t="str">
        <f t="shared" si="3"/>
        <v/>
      </c>
      <c r="G114" s="45" t="str">
        <f t="shared" si="4"/>
        <v/>
      </c>
      <c r="H114" s="15"/>
    </row>
    <row r="115" ht="15.0" customHeight="1">
      <c r="A115" s="15"/>
      <c r="B115" s="15"/>
      <c r="C115" s="15"/>
      <c r="D115" s="64">
        <f>SUMIFS('Nursing Charges'!$J:$J,'Nursing Charges'!$D:$D,A115,'Nursing Charges'!$K:$K,B115)</f>
        <v>0</v>
      </c>
      <c r="E115" s="20"/>
      <c r="F115" s="12" t="str">
        <f t="shared" si="3"/>
        <v/>
      </c>
      <c r="G115" s="45" t="str">
        <f t="shared" si="4"/>
        <v/>
      </c>
      <c r="H115" s="15"/>
    </row>
    <row r="116" ht="15.0" customHeight="1">
      <c r="A116" s="15"/>
      <c r="B116" s="15"/>
      <c r="C116" s="15"/>
      <c r="D116" s="64">
        <f>SUMIFS('Nursing Charges'!$J:$J,'Nursing Charges'!$D:$D,A116,'Nursing Charges'!$K:$K,B116)</f>
        <v>0</v>
      </c>
      <c r="E116" s="20"/>
      <c r="F116" s="12" t="str">
        <f t="shared" si="3"/>
        <v/>
      </c>
      <c r="G116" s="45" t="str">
        <f t="shared" si="4"/>
        <v/>
      </c>
      <c r="H116" s="15"/>
    </row>
    <row r="117" ht="15.0" customHeight="1">
      <c r="A117" s="15"/>
      <c r="B117" s="15"/>
      <c r="C117" s="15"/>
      <c r="D117" s="64">
        <f>SUMIFS('Nursing Charges'!$J:$J,'Nursing Charges'!$D:$D,A117,'Nursing Charges'!$K:$K,B117)</f>
        <v>0</v>
      </c>
      <c r="E117" s="20"/>
      <c r="F117" s="12" t="str">
        <f t="shared" si="3"/>
        <v/>
      </c>
      <c r="G117" s="45" t="str">
        <f t="shared" si="4"/>
        <v/>
      </c>
      <c r="H117" s="15"/>
    </row>
    <row r="118" ht="15.0" customHeight="1">
      <c r="A118" s="15"/>
      <c r="B118" s="15"/>
      <c r="C118" s="15"/>
      <c r="D118" s="64">
        <f>SUMIFS('Nursing Charges'!$J:$J,'Nursing Charges'!$D:$D,A118,'Nursing Charges'!$K:$K,B118)</f>
        <v>0</v>
      </c>
      <c r="E118" s="20"/>
      <c r="F118" s="12" t="str">
        <f t="shared" si="3"/>
        <v/>
      </c>
      <c r="G118" s="45" t="str">
        <f t="shared" si="4"/>
        <v/>
      </c>
      <c r="H118" s="15"/>
    </row>
    <row r="119" ht="15.0" customHeight="1">
      <c r="A119" s="15"/>
      <c r="B119" s="15"/>
      <c r="C119" s="15"/>
      <c r="D119" s="64">
        <f>SUMIFS('Nursing Charges'!$J:$J,'Nursing Charges'!$D:$D,A119,'Nursing Charges'!$K:$K,B119)</f>
        <v>0</v>
      </c>
      <c r="E119" s="20"/>
      <c r="F119" s="12" t="str">
        <f t="shared" si="3"/>
        <v/>
      </c>
      <c r="G119" s="45" t="str">
        <f t="shared" si="4"/>
        <v/>
      </c>
      <c r="H119" s="15"/>
    </row>
    <row r="120" ht="15.0" customHeight="1">
      <c r="A120" s="15"/>
      <c r="B120" s="15"/>
      <c r="C120" s="15"/>
      <c r="D120" s="64">
        <f>SUMIFS('Nursing Charges'!$J:$J,'Nursing Charges'!$D:$D,A120,'Nursing Charges'!$K:$K,B120)</f>
        <v>0</v>
      </c>
      <c r="E120" s="20"/>
      <c r="F120" s="12" t="str">
        <f t="shared" si="3"/>
        <v/>
      </c>
      <c r="G120" s="45" t="str">
        <f t="shared" si="4"/>
        <v/>
      </c>
      <c r="H120" s="15"/>
    </row>
    <row r="121" ht="15.0" customHeight="1">
      <c r="A121" s="15"/>
      <c r="B121" s="15"/>
      <c r="C121" s="15"/>
      <c r="D121" s="64">
        <f>SUMIFS('Nursing Charges'!$J:$J,'Nursing Charges'!$D:$D,A121,'Nursing Charges'!$K:$K,B121)</f>
        <v>0</v>
      </c>
      <c r="E121" s="20"/>
      <c r="F121" s="12" t="str">
        <f t="shared" si="3"/>
        <v/>
      </c>
      <c r="G121" s="45" t="str">
        <f t="shared" si="4"/>
        <v/>
      </c>
      <c r="H121" s="15"/>
    </row>
    <row r="122" ht="15.0" customHeight="1">
      <c r="A122" s="15"/>
      <c r="B122" s="15"/>
      <c r="C122" s="15"/>
      <c r="D122" s="64">
        <f>SUMIFS('Nursing Charges'!$J:$J,'Nursing Charges'!$D:$D,A122,'Nursing Charges'!$K:$K,B122)</f>
        <v>0</v>
      </c>
      <c r="E122" s="20"/>
      <c r="F122" s="12" t="str">
        <f t="shared" si="3"/>
        <v/>
      </c>
      <c r="G122" s="45" t="str">
        <f t="shared" si="4"/>
        <v/>
      </c>
      <c r="H122" s="15"/>
    </row>
    <row r="123" ht="15.0" customHeight="1">
      <c r="A123" s="15"/>
      <c r="B123" s="15"/>
      <c r="C123" s="15"/>
      <c r="D123" s="64">
        <f>SUMIFS('Nursing Charges'!$J:$J,'Nursing Charges'!$D:$D,A123,'Nursing Charges'!$K:$K,B123)</f>
        <v>0</v>
      </c>
      <c r="E123" s="20"/>
      <c r="F123" s="12" t="str">
        <f t="shared" si="3"/>
        <v/>
      </c>
      <c r="G123" s="45" t="str">
        <f t="shared" si="4"/>
        <v/>
      </c>
      <c r="H123" s="15"/>
    </row>
    <row r="124" ht="15.0" customHeight="1">
      <c r="A124" s="15"/>
      <c r="B124" s="15"/>
      <c r="C124" s="15"/>
      <c r="D124" s="64">
        <f>SUMIFS('Nursing Charges'!$J:$J,'Nursing Charges'!$D:$D,A124,'Nursing Charges'!$K:$K,B124)</f>
        <v>0</v>
      </c>
      <c r="E124" s="20"/>
      <c r="F124" s="12" t="str">
        <f t="shared" si="3"/>
        <v/>
      </c>
      <c r="G124" s="45" t="str">
        <f t="shared" si="4"/>
        <v/>
      </c>
      <c r="H124" s="15"/>
    </row>
    <row r="125" ht="15.0" customHeight="1">
      <c r="A125" s="15"/>
      <c r="B125" s="15"/>
      <c r="C125" s="15"/>
      <c r="D125" s="64">
        <f>SUMIFS('Nursing Charges'!$J:$J,'Nursing Charges'!$D:$D,A125,'Nursing Charges'!$K:$K,B125)</f>
        <v>0</v>
      </c>
      <c r="E125" s="20"/>
      <c r="F125" s="12" t="str">
        <f t="shared" si="3"/>
        <v/>
      </c>
      <c r="G125" s="45" t="str">
        <f t="shared" si="4"/>
        <v/>
      </c>
      <c r="H125" s="15"/>
    </row>
    <row r="126" ht="15.0" customHeight="1">
      <c r="A126" s="15"/>
      <c r="B126" s="15"/>
      <c r="C126" s="15"/>
      <c r="D126" s="64">
        <f>SUMIFS('Nursing Charges'!$J:$J,'Nursing Charges'!$D:$D,A126,'Nursing Charges'!$K:$K,B126)</f>
        <v>0</v>
      </c>
      <c r="E126" s="20"/>
      <c r="F126" s="12" t="str">
        <f t="shared" si="3"/>
        <v/>
      </c>
      <c r="G126" s="45" t="str">
        <f t="shared" si="4"/>
        <v/>
      </c>
      <c r="H126" s="15"/>
    </row>
    <row r="127" ht="15.0" customHeight="1">
      <c r="A127" s="15"/>
      <c r="B127" s="15"/>
      <c r="C127" s="15"/>
      <c r="D127" s="64">
        <f>SUMIFS('Nursing Charges'!$J:$J,'Nursing Charges'!$D:$D,A127,'Nursing Charges'!$K:$K,B127)</f>
        <v>0</v>
      </c>
      <c r="E127" s="20"/>
      <c r="F127" s="12" t="str">
        <f t="shared" si="3"/>
        <v/>
      </c>
      <c r="G127" s="45" t="str">
        <f t="shared" si="4"/>
        <v/>
      </c>
      <c r="H127" s="15"/>
    </row>
    <row r="128" ht="15.0" customHeight="1">
      <c r="A128" s="15"/>
      <c r="B128" s="15"/>
      <c r="C128" s="15"/>
      <c r="D128" s="64">
        <f>SUMIFS('Nursing Charges'!$J:$J,'Nursing Charges'!$D:$D,A128,'Nursing Charges'!$K:$K,B128)</f>
        <v>0</v>
      </c>
      <c r="E128" s="20"/>
      <c r="F128" s="12" t="str">
        <f t="shared" si="3"/>
        <v/>
      </c>
      <c r="G128" s="45" t="str">
        <f t="shared" si="4"/>
        <v/>
      </c>
      <c r="H128" s="15"/>
    </row>
    <row r="129" ht="15.0" customHeight="1">
      <c r="A129" s="15"/>
      <c r="B129" s="15"/>
      <c r="C129" s="15"/>
      <c r="D129" s="64">
        <f>SUMIFS('Nursing Charges'!$J:$J,'Nursing Charges'!$D:$D,A129,'Nursing Charges'!$K:$K,B129)</f>
        <v>0</v>
      </c>
      <c r="E129" s="20"/>
      <c r="F129" s="12" t="str">
        <f t="shared" si="3"/>
        <v/>
      </c>
      <c r="G129" s="45" t="str">
        <f t="shared" si="4"/>
        <v/>
      </c>
      <c r="H129" s="15"/>
    </row>
    <row r="130" ht="15.0" customHeight="1">
      <c r="A130" s="15"/>
      <c r="B130" s="15"/>
      <c r="C130" s="15"/>
      <c r="D130" s="64">
        <f>SUMIFS('Nursing Charges'!$J:$J,'Nursing Charges'!$D:$D,A130,'Nursing Charges'!$K:$K,B130)</f>
        <v>0</v>
      </c>
      <c r="E130" s="20"/>
      <c r="F130" s="12" t="str">
        <f t="shared" si="3"/>
        <v/>
      </c>
      <c r="G130" s="45" t="str">
        <f t="shared" si="4"/>
        <v/>
      </c>
      <c r="H130" s="15"/>
    </row>
    <row r="131" ht="15.0" customHeight="1">
      <c r="A131" s="15"/>
      <c r="B131" s="15"/>
      <c r="C131" s="15"/>
      <c r="D131" s="64">
        <f>SUMIFS('Nursing Charges'!$J:$J,'Nursing Charges'!$D:$D,A131,'Nursing Charges'!$K:$K,B131)</f>
        <v>0</v>
      </c>
      <c r="E131" s="20"/>
      <c r="F131" s="12" t="str">
        <f t="shared" si="3"/>
        <v/>
      </c>
      <c r="G131" s="45" t="str">
        <f t="shared" si="4"/>
        <v/>
      </c>
      <c r="H131" s="15"/>
    </row>
    <row r="132" ht="15.0" customHeight="1">
      <c r="A132" s="15"/>
      <c r="B132" s="15"/>
      <c r="C132" s="15"/>
      <c r="D132" s="64">
        <f>SUMIFS('Nursing Charges'!$J:$J,'Nursing Charges'!$D:$D,A132,'Nursing Charges'!$K:$K,B132)</f>
        <v>0</v>
      </c>
      <c r="E132" s="20"/>
      <c r="F132" s="12" t="str">
        <f t="shared" si="3"/>
        <v/>
      </c>
      <c r="G132" s="45" t="str">
        <f t="shared" si="4"/>
        <v/>
      </c>
      <c r="H132" s="15"/>
    </row>
    <row r="133" ht="15.0" customHeight="1">
      <c r="A133" s="15"/>
      <c r="B133" s="15"/>
      <c r="C133" s="15"/>
      <c r="D133" s="64">
        <f>SUMIFS('Nursing Charges'!$J:$J,'Nursing Charges'!$D:$D,A133,'Nursing Charges'!$K:$K,B133)</f>
        <v>0</v>
      </c>
      <c r="E133" s="20"/>
      <c r="F133" s="12" t="str">
        <f t="shared" si="3"/>
        <v/>
      </c>
      <c r="G133" s="45" t="str">
        <f t="shared" si="4"/>
        <v/>
      </c>
      <c r="H133" s="15"/>
    </row>
    <row r="134" ht="15.0" customHeight="1">
      <c r="A134" s="15"/>
      <c r="B134" s="15"/>
      <c r="C134" s="15"/>
      <c r="D134" s="64">
        <f>SUMIFS('Nursing Charges'!$J:$J,'Nursing Charges'!$D:$D,A134,'Nursing Charges'!$K:$K,B134)</f>
        <v>0</v>
      </c>
      <c r="E134" s="20"/>
      <c r="F134" s="12" t="str">
        <f t="shared" si="3"/>
        <v/>
      </c>
      <c r="G134" s="45" t="str">
        <f t="shared" si="4"/>
        <v/>
      </c>
      <c r="H134" s="15"/>
    </row>
    <row r="135" ht="15.0" customHeight="1">
      <c r="A135" s="15"/>
      <c r="B135" s="15"/>
      <c r="C135" s="15"/>
      <c r="D135" s="64">
        <f>SUMIFS('Nursing Charges'!$J:$J,'Nursing Charges'!$D:$D,A135,'Nursing Charges'!$K:$K,B135)</f>
        <v>0</v>
      </c>
      <c r="E135" s="20"/>
      <c r="F135" s="12" t="str">
        <f t="shared" si="3"/>
        <v/>
      </c>
      <c r="G135" s="45" t="str">
        <f t="shared" si="4"/>
        <v/>
      </c>
      <c r="H135" s="15"/>
    </row>
    <row r="136" ht="15.0" customHeight="1">
      <c r="A136" s="15"/>
      <c r="B136" s="15"/>
      <c r="C136" s="15"/>
      <c r="D136" s="64">
        <f>SUMIFS('Nursing Charges'!$J:$J,'Nursing Charges'!$D:$D,A136,'Nursing Charges'!$K:$K,B136)</f>
        <v>0</v>
      </c>
      <c r="E136" s="20"/>
      <c r="F136" s="12" t="str">
        <f t="shared" si="3"/>
        <v/>
      </c>
      <c r="G136" s="45" t="str">
        <f t="shared" si="4"/>
        <v/>
      </c>
      <c r="H136" s="15"/>
    </row>
    <row r="137" ht="15.0" customHeight="1">
      <c r="A137" s="15"/>
      <c r="B137" s="15"/>
      <c r="C137" s="15"/>
      <c r="D137" s="64">
        <f>SUMIFS('Nursing Charges'!$J:$J,'Nursing Charges'!$D:$D,A137,'Nursing Charges'!$K:$K,B137)</f>
        <v>0</v>
      </c>
      <c r="E137" s="20"/>
      <c r="F137" s="12" t="str">
        <f t="shared" si="3"/>
        <v/>
      </c>
      <c r="G137" s="45" t="str">
        <f t="shared" si="4"/>
        <v/>
      </c>
      <c r="H137" s="15"/>
    </row>
    <row r="138" ht="15.0" customHeight="1">
      <c r="A138" s="15"/>
      <c r="B138" s="15"/>
      <c r="C138" s="15"/>
      <c r="D138" s="64">
        <f>SUMIFS('Nursing Charges'!$J:$J,'Nursing Charges'!$D:$D,A138,'Nursing Charges'!$K:$K,B138)</f>
        <v>0</v>
      </c>
      <c r="E138" s="20"/>
      <c r="F138" s="12" t="str">
        <f t="shared" si="3"/>
        <v/>
      </c>
      <c r="G138" s="45" t="str">
        <f t="shared" si="4"/>
        <v/>
      </c>
      <c r="H138" s="15"/>
    </row>
    <row r="139" ht="15.0" customHeight="1">
      <c r="A139" s="15"/>
      <c r="B139" s="15"/>
      <c r="C139" s="15"/>
      <c r="D139" s="64">
        <f>SUMIFS('Nursing Charges'!$J:$J,'Nursing Charges'!$D:$D,A139,'Nursing Charges'!$K:$K,B139)</f>
        <v>0</v>
      </c>
      <c r="E139" s="20"/>
      <c r="F139" s="12" t="str">
        <f t="shared" si="3"/>
        <v/>
      </c>
      <c r="G139" s="45" t="str">
        <f t="shared" si="4"/>
        <v/>
      </c>
      <c r="H139" s="15"/>
    </row>
    <row r="140" ht="15.0" customHeight="1">
      <c r="A140" s="15"/>
      <c r="B140" s="15"/>
      <c r="C140" s="15"/>
      <c r="D140" s="64">
        <f>SUMIFS('Nursing Charges'!$J:$J,'Nursing Charges'!$D:$D,A140,'Nursing Charges'!$K:$K,B140)</f>
        <v>0</v>
      </c>
      <c r="E140" s="20"/>
      <c r="F140" s="12" t="str">
        <f t="shared" si="3"/>
        <v/>
      </c>
      <c r="G140" s="45" t="str">
        <f t="shared" si="4"/>
        <v/>
      </c>
      <c r="H140" s="15"/>
    </row>
    <row r="141" ht="15.0" customHeight="1">
      <c r="A141" s="15"/>
      <c r="B141" s="15"/>
      <c r="C141" s="15"/>
      <c r="D141" s="64">
        <f>SUMIFS('Nursing Charges'!$J:$J,'Nursing Charges'!$D:$D,A141,'Nursing Charges'!$K:$K,B141)</f>
        <v>0</v>
      </c>
      <c r="E141" s="20"/>
      <c r="F141" s="12" t="str">
        <f t="shared" si="3"/>
        <v/>
      </c>
      <c r="G141" s="45" t="str">
        <f t="shared" si="4"/>
        <v/>
      </c>
      <c r="H141" s="15"/>
    </row>
    <row r="142" ht="15.0" customHeight="1">
      <c r="A142" s="15"/>
      <c r="B142" s="15"/>
      <c r="C142" s="15"/>
      <c r="D142" s="64">
        <f>SUMIFS('Nursing Charges'!$J:$J,'Nursing Charges'!$D:$D,A142,'Nursing Charges'!$K:$K,B142)</f>
        <v>0</v>
      </c>
      <c r="E142" s="20"/>
      <c r="F142" s="12" t="str">
        <f t="shared" si="3"/>
        <v/>
      </c>
      <c r="G142" s="45" t="str">
        <f t="shared" si="4"/>
        <v/>
      </c>
      <c r="H142" s="15"/>
    </row>
    <row r="143" ht="15.0" customHeight="1">
      <c r="A143" s="15"/>
      <c r="B143" s="15"/>
      <c r="C143" s="15"/>
      <c r="D143" s="64">
        <f>SUMIFS('Nursing Charges'!$J:$J,'Nursing Charges'!$D:$D,A143,'Nursing Charges'!$K:$K,B143)</f>
        <v>0</v>
      </c>
      <c r="E143" s="20"/>
      <c r="F143" s="12" t="str">
        <f t="shared" si="3"/>
        <v/>
      </c>
      <c r="G143" s="45" t="str">
        <f t="shared" si="4"/>
        <v/>
      </c>
      <c r="H143" s="15"/>
    </row>
    <row r="144" ht="15.0" customHeight="1">
      <c r="A144" s="15"/>
      <c r="B144" s="15"/>
      <c r="C144" s="15"/>
      <c r="D144" s="64">
        <f>SUMIFS('Nursing Charges'!$J:$J,'Nursing Charges'!$D:$D,A144,'Nursing Charges'!$K:$K,B144)</f>
        <v>0</v>
      </c>
      <c r="E144" s="20"/>
      <c r="F144" s="12" t="str">
        <f t="shared" si="3"/>
        <v/>
      </c>
      <c r="G144" s="45" t="str">
        <f t="shared" si="4"/>
        <v/>
      </c>
      <c r="H144" s="15"/>
    </row>
    <row r="145" ht="15.0" customHeight="1">
      <c r="A145" s="15"/>
      <c r="B145" s="15"/>
      <c r="C145" s="15"/>
      <c r="D145" s="64">
        <f>SUMIFS('Nursing Charges'!$J:$J,'Nursing Charges'!$D:$D,A145,'Nursing Charges'!$K:$K,B145)</f>
        <v>0</v>
      </c>
      <c r="E145" s="20"/>
      <c r="F145" s="12" t="str">
        <f t="shared" si="3"/>
        <v/>
      </c>
      <c r="G145" s="45" t="str">
        <f t="shared" si="4"/>
        <v/>
      </c>
      <c r="H145" s="15"/>
    </row>
    <row r="146" ht="15.0" customHeight="1">
      <c r="A146" s="15"/>
      <c r="B146" s="15"/>
      <c r="C146" s="15"/>
      <c r="D146" s="64">
        <f>SUMIFS('Nursing Charges'!$J:$J,'Nursing Charges'!$D:$D,A146,'Nursing Charges'!$K:$K,B146)</f>
        <v>0</v>
      </c>
      <c r="E146" s="20"/>
      <c r="F146" s="12" t="str">
        <f t="shared" si="3"/>
        <v/>
      </c>
      <c r="G146" s="45" t="str">
        <f t="shared" si="4"/>
        <v/>
      </c>
      <c r="H146" s="15"/>
    </row>
    <row r="147" ht="15.0" customHeight="1">
      <c r="A147" s="15"/>
      <c r="B147" s="15"/>
      <c r="C147" s="15"/>
      <c r="D147" s="64">
        <f>SUMIFS('Nursing Charges'!$J:$J,'Nursing Charges'!$D:$D,A147,'Nursing Charges'!$K:$K,B147)</f>
        <v>0</v>
      </c>
      <c r="E147" s="20"/>
      <c r="F147" s="12" t="str">
        <f t="shared" si="3"/>
        <v/>
      </c>
      <c r="G147" s="45" t="str">
        <f t="shared" si="4"/>
        <v/>
      </c>
      <c r="H147" s="15"/>
    </row>
    <row r="148" ht="15.0" customHeight="1">
      <c r="A148" s="15"/>
      <c r="B148" s="15"/>
      <c r="C148" s="15"/>
      <c r="D148" s="64">
        <f>SUMIFS('Nursing Charges'!$J:$J,'Nursing Charges'!$D:$D,A148,'Nursing Charges'!$K:$K,B148)</f>
        <v>0</v>
      </c>
      <c r="E148" s="20"/>
      <c r="F148" s="12" t="str">
        <f t="shared" si="3"/>
        <v/>
      </c>
      <c r="G148" s="45" t="str">
        <f t="shared" si="4"/>
        <v/>
      </c>
      <c r="H148" s="15"/>
    </row>
    <row r="149" ht="15.0" customHeight="1">
      <c r="A149" s="15"/>
      <c r="B149" s="15"/>
      <c r="C149" s="15"/>
      <c r="D149" s="64">
        <f>SUMIFS('Nursing Charges'!$J:$J,'Nursing Charges'!$D:$D,A149,'Nursing Charges'!$K:$K,B149)</f>
        <v>0</v>
      </c>
      <c r="E149" s="20"/>
      <c r="F149" s="12" t="str">
        <f t="shared" si="3"/>
        <v/>
      </c>
      <c r="G149" s="45" t="str">
        <f t="shared" si="4"/>
        <v/>
      </c>
      <c r="H149" s="15"/>
    </row>
    <row r="150" ht="15.0" customHeight="1">
      <c r="A150" s="15"/>
      <c r="B150" s="15"/>
      <c r="C150" s="15"/>
      <c r="D150" s="64">
        <f>SUMIFS('Nursing Charges'!$J:$J,'Nursing Charges'!$D:$D,A150,'Nursing Charges'!$K:$K,B150)</f>
        <v>0</v>
      </c>
      <c r="E150" s="20"/>
      <c r="F150" s="12" t="str">
        <f t="shared" si="3"/>
        <v/>
      </c>
      <c r="G150" s="45" t="str">
        <f t="shared" si="4"/>
        <v/>
      </c>
      <c r="H150" s="15"/>
    </row>
    <row r="151" ht="15.0" customHeight="1">
      <c r="A151" s="15"/>
      <c r="B151" s="15"/>
      <c r="C151" s="15"/>
      <c r="D151" s="64">
        <f>SUMIFS('Nursing Charges'!$J:$J,'Nursing Charges'!$D:$D,A151,'Nursing Charges'!$K:$K,B151)</f>
        <v>0</v>
      </c>
      <c r="E151" s="20"/>
      <c r="F151" s="12" t="str">
        <f t="shared" si="3"/>
        <v/>
      </c>
      <c r="G151" s="45" t="str">
        <f t="shared" si="4"/>
        <v/>
      </c>
      <c r="H151" s="15"/>
    </row>
    <row r="152" ht="15.0" customHeight="1">
      <c r="A152" s="15"/>
      <c r="B152" s="15"/>
      <c r="C152" s="15"/>
      <c r="D152" s="64">
        <f>SUMIFS('Nursing Charges'!$J:$J,'Nursing Charges'!$D:$D,A152,'Nursing Charges'!$K:$K,B152)</f>
        <v>0</v>
      </c>
      <c r="E152" s="20"/>
      <c r="F152" s="12" t="str">
        <f t="shared" si="3"/>
        <v/>
      </c>
      <c r="G152" s="45" t="str">
        <f t="shared" si="4"/>
        <v/>
      </c>
      <c r="H152" s="15"/>
    </row>
    <row r="153" ht="15.0" customHeight="1">
      <c r="A153" s="15"/>
      <c r="B153" s="15"/>
      <c r="C153" s="15"/>
      <c r="D153" s="64">
        <f>SUMIFS('Nursing Charges'!$J:$J,'Nursing Charges'!$D:$D,A153,'Nursing Charges'!$K:$K,B153)</f>
        <v>0</v>
      </c>
      <c r="E153" s="20"/>
      <c r="F153" s="12" t="str">
        <f t="shared" si="3"/>
        <v/>
      </c>
      <c r="G153" s="45" t="str">
        <f t="shared" si="4"/>
        <v/>
      </c>
      <c r="H153" s="15"/>
    </row>
    <row r="154" ht="15.0" customHeight="1">
      <c r="A154" s="15"/>
      <c r="B154" s="15"/>
      <c r="C154" s="15"/>
      <c r="D154" s="64">
        <f>SUMIFS('Nursing Charges'!$J:$J,'Nursing Charges'!$D:$D,A154,'Nursing Charges'!$K:$K,B154)</f>
        <v>0</v>
      </c>
      <c r="E154" s="20"/>
      <c r="F154" s="12" t="str">
        <f t="shared" si="3"/>
        <v/>
      </c>
      <c r="G154" s="45" t="str">
        <f t="shared" si="4"/>
        <v/>
      </c>
      <c r="H154" s="15"/>
    </row>
    <row r="155" ht="15.0" customHeight="1">
      <c r="A155" s="15"/>
      <c r="B155" s="15"/>
      <c r="C155" s="15"/>
      <c r="D155" s="64">
        <f>SUMIFS('Nursing Charges'!$J:$J,'Nursing Charges'!$D:$D,A155,'Nursing Charges'!$K:$K,B155)</f>
        <v>0</v>
      </c>
      <c r="E155" s="20"/>
      <c r="F155" s="12" t="str">
        <f t="shared" si="3"/>
        <v/>
      </c>
      <c r="G155" s="45" t="str">
        <f t="shared" si="4"/>
        <v/>
      </c>
      <c r="H155" s="15"/>
    </row>
    <row r="156" ht="15.0" customHeight="1">
      <c r="A156" s="15"/>
      <c r="B156" s="15"/>
      <c r="C156" s="15"/>
      <c r="D156" s="64">
        <f>SUMIFS('Nursing Charges'!$J:$J,'Nursing Charges'!$D:$D,A156,'Nursing Charges'!$K:$K,B156)</f>
        <v>0</v>
      </c>
      <c r="E156" s="20"/>
      <c r="F156" s="12" t="str">
        <f t="shared" si="3"/>
        <v/>
      </c>
      <c r="G156" s="45" t="str">
        <f t="shared" si="4"/>
        <v/>
      </c>
      <c r="H156" s="15"/>
    </row>
    <row r="157" ht="15.0" customHeight="1">
      <c r="A157" s="15"/>
      <c r="B157" s="15"/>
      <c r="C157" s="15"/>
      <c r="D157" s="64">
        <f>SUMIFS('Nursing Charges'!$J:$J,'Nursing Charges'!$D:$D,A157,'Nursing Charges'!$K:$K,B157)</f>
        <v>0</v>
      </c>
      <c r="E157" s="20"/>
      <c r="F157" s="12" t="str">
        <f t="shared" si="3"/>
        <v/>
      </c>
      <c r="G157" s="45" t="str">
        <f t="shared" si="4"/>
        <v/>
      </c>
      <c r="H157" s="15"/>
    </row>
    <row r="158" ht="15.0" customHeight="1">
      <c r="A158" s="15"/>
      <c r="B158" s="15"/>
      <c r="C158" s="15"/>
      <c r="D158" s="64">
        <f>SUMIFS('Nursing Charges'!$J:$J,'Nursing Charges'!$D:$D,A158,'Nursing Charges'!$K:$K,B158)</f>
        <v>0</v>
      </c>
      <c r="E158" s="20"/>
      <c r="F158" s="12" t="str">
        <f t="shared" si="3"/>
        <v/>
      </c>
      <c r="G158" s="45" t="str">
        <f t="shared" si="4"/>
        <v/>
      </c>
      <c r="H158" s="15"/>
    </row>
    <row r="159" ht="15.0" customHeight="1">
      <c r="A159" s="15"/>
      <c r="B159" s="15"/>
      <c r="C159" s="15"/>
      <c r="D159" s="64">
        <f>SUMIFS('Nursing Charges'!$J:$J,'Nursing Charges'!$D:$D,A159,'Nursing Charges'!$K:$K,B159)</f>
        <v>0</v>
      </c>
      <c r="E159" s="20"/>
      <c r="F159" s="12" t="str">
        <f t="shared" si="3"/>
        <v/>
      </c>
      <c r="G159" s="45" t="str">
        <f t="shared" si="4"/>
        <v/>
      </c>
      <c r="H159" s="15"/>
    </row>
    <row r="160" ht="15.0" customHeight="1">
      <c r="A160" s="15"/>
      <c r="B160" s="15"/>
      <c r="C160" s="15"/>
      <c r="D160" s="64">
        <f>SUMIFS('Nursing Charges'!$J:$J,'Nursing Charges'!$D:$D,A160,'Nursing Charges'!$K:$K,B160)</f>
        <v>0</v>
      </c>
      <c r="E160" s="20"/>
      <c r="F160" s="12" t="str">
        <f t="shared" si="3"/>
        <v/>
      </c>
      <c r="G160" s="45" t="str">
        <f t="shared" si="4"/>
        <v/>
      </c>
      <c r="H160" s="15"/>
    </row>
    <row r="161" ht="15.0" customHeight="1">
      <c r="A161" s="15"/>
      <c r="B161" s="15"/>
      <c r="C161" s="15"/>
      <c r="D161" s="64">
        <f>SUMIFS('Nursing Charges'!$J:$J,'Nursing Charges'!$D:$D,A161,'Nursing Charges'!$K:$K,B161)</f>
        <v>0</v>
      </c>
      <c r="E161" s="20"/>
      <c r="F161" s="12" t="str">
        <f t="shared" si="3"/>
        <v/>
      </c>
      <c r="G161" s="45" t="str">
        <f t="shared" si="4"/>
        <v/>
      </c>
      <c r="H161" s="15"/>
    </row>
    <row r="162" ht="15.0" customHeight="1">
      <c r="A162" s="15"/>
      <c r="B162" s="15"/>
      <c r="C162" s="15"/>
      <c r="D162" s="64">
        <f>SUMIFS('Nursing Charges'!$J:$J,'Nursing Charges'!$D:$D,A162,'Nursing Charges'!$K:$K,B162)</f>
        <v>0</v>
      </c>
      <c r="E162" s="20"/>
      <c r="F162" s="12" t="str">
        <f t="shared" si="3"/>
        <v/>
      </c>
      <c r="G162" s="45" t="str">
        <f t="shared" si="4"/>
        <v/>
      </c>
      <c r="H162" s="15"/>
    </row>
    <row r="163" ht="15.0" customHeight="1">
      <c r="A163" s="15"/>
      <c r="B163" s="15"/>
      <c r="C163" s="15"/>
      <c r="D163" s="64">
        <f>SUMIFS('Nursing Charges'!$J:$J,'Nursing Charges'!$D:$D,A163,'Nursing Charges'!$K:$K,B163)</f>
        <v>0</v>
      </c>
      <c r="E163" s="20"/>
      <c r="F163" s="12" t="str">
        <f t="shared" si="3"/>
        <v/>
      </c>
      <c r="G163" s="45" t="str">
        <f t="shared" si="4"/>
        <v/>
      </c>
      <c r="H163" s="15"/>
    </row>
    <row r="164" ht="15.0" customHeight="1">
      <c r="A164" s="15"/>
      <c r="B164" s="15"/>
      <c r="C164" s="15"/>
      <c r="D164" s="64">
        <f>SUMIFS('Nursing Charges'!$J:$J,'Nursing Charges'!$D:$D,A164,'Nursing Charges'!$K:$K,B164)</f>
        <v>0</v>
      </c>
      <c r="E164" s="20"/>
      <c r="F164" s="12" t="str">
        <f t="shared" si="3"/>
        <v/>
      </c>
      <c r="G164" s="45" t="str">
        <f t="shared" si="4"/>
        <v/>
      </c>
      <c r="H164" s="15"/>
    </row>
    <row r="165" ht="15.0" customHeight="1">
      <c r="A165" s="15"/>
      <c r="B165" s="15"/>
      <c r="C165" s="15"/>
      <c r="D165" s="64">
        <f>SUMIFS('Nursing Charges'!$J:$J,'Nursing Charges'!$D:$D,A165,'Nursing Charges'!$K:$K,B165)</f>
        <v>0</v>
      </c>
      <c r="E165" s="20"/>
      <c r="F165" s="12" t="str">
        <f t="shared" si="3"/>
        <v/>
      </c>
      <c r="G165" s="45" t="str">
        <f t="shared" si="4"/>
        <v/>
      </c>
      <c r="H165" s="15"/>
    </row>
    <row r="166" ht="15.0" customHeight="1">
      <c r="A166" s="15"/>
      <c r="B166" s="15"/>
      <c r="C166" s="15"/>
      <c r="D166" s="64">
        <f>SUMIFS('Nursing Charges'!$J:$J,'Nursing Charges'!$D:$D,A166,'Nursing Charges'!$K:$K,B166)</f>
        <v>0</v>
      </c>
      <c r="E166" s="20"/>
      <c r="F166" s="12" t="str">
        <f t="shared" si="3"/>
        <v/>
      </c>
      <c r="G166" s="45" t="str">
        <f t="shared" si="4"/>
        <v/>
      </c>
      <c r="H166" s="15"/>
    </row>
    <row r="167" ht="15.0" customHeight="1">
      <c r="A167" s="15"/>
      <c r="B167" s="15"/>
      <c r="C167" s="15"/>
      <c r="D167" s="64">
        <f>SUMIFS('Nursing Charges'!$J:$J,'Nursing Charges'!$D:$D,A167,'Nursing Charges'!$K:$K,B167)</f>
        <v>0</v>
      </c>
      <c r="E167" s="20"/>
      <c r="F167" s="12" t="str">
        <f t="shared" si="3"/>
        <v/>
      </c>
      <c r="G167" s="45" t="str">
        <f t="shared" si="4"/>
        <v/>
      </c>
      <c r="H167" s="15"/>
    </row>
    <row r="168" ht="15.0" customHeight="1">
      <c r="A168" s="15"/>
      <c r="B168" s="15"/>
      <c r="C168" s="15"/>
      <c r="D168" s="64">
        <f>SUMIFS('Nursing Charges'!$J:$J,'Nursing Charges'!$D:$D,A168,'Nursing Charges'!$K:$K,B168)</f>
        <v>0</v>
      </c>
      <c r="E168" s="20"/>
      <c r="F168" s="12" t="str">
        <f t="shared" si="3"/>
        <v/>
      </c>
      <c r="G168" s="45" t="str">
        <f t="shared" si="4"/>
        <v/>
      </c>
      <c r="H168" s="15"/>
    </row>
    <row r="169" ht="15.0" customHeight="1">
      <c r="A169" s="15"/>
      <c r="B169" s="15"/>
      <c r="C169" s="15"/>
      <c r="D169" s="64">
        <f>SUMIFS('Nursing Charges'!$J:$J,'Nursing Charges'!$D:$D,A169,'Nursing Charges'!$K:$K,B169)</f>
        <v>0</v>
      </c>
      <c r="E169" s="20"/>
      <c r="F169" s="12" t="str">
        <f t="shared" si="3"/>
        <v/>
      </c>
      <c r="G169" s="45" t="str">
        <f t="shared" si="4"/>
        <v/>
      </c>
      <c r="H169" s="15"/>
    </row>
    <row r="170" ht="15.0" customHeight="1">
      <c r="A170" s="15"/>
      <c r="B170" s="15"/>
      <c r="C170" s="15"/>
      <c r="D170" s="64">
        <f>SUMIFS('Nursing Charges'!$J:$J,'Nursing Charges'!$D:$D,A170,'Nursing Charges'!$K:$K,B170)</f>
        <v>0</v>
      </c>
      <c r="E170" s="20"/>
      <c r="F170" s="12" t="str">
        <f t="shared" si="3"/>
        <v/>
      </c>
      <c r="G170" s="45" t="str">
        <f t="shared" si="4"/>
        <v/>
      </c>
      <c r="H170" s="15"/>
    </row>
    <row r="171" ht="15.0" customHeight="1">
      <c r="A171" s="15"/>
      <c r="B171" s="15"/>
      <c r="C171" s="15"/>
      <c r="D171" s="64">
        <f>SUMIFS('Nursing Charges'!$J:$J,'Nursing Charges'!$D:$D,A171,'Nursing Charges'!$K:$K,B171)</f>
        <v>0</v>
      </c>
      <c r="E171" s="20"/>
      <c r="F171" s="12" t="str">
        <f t="shared" si="3"/>
        <v/>
      </c>
      <c r="G171" s="45" t="str">
        <f t="shared" si="4"/>
        <v/>
      </c>
      <c r="H171" s="15"/>
    </row>
    <row r="172" ht="15.0" customHeight="1">
      <c r="A172" s="15"/>
      <c r="B172" s="15"/>
      <c r="C172" s="15"/>
      <c r="D172" s="64">
        <f>SUMIFS('Nursing Charges'!$J:$J,'Nursing Charges'!$D:$D,A172,'Nursing Charges'!$K:$K,B172)</f>
        <v>0</v>
      </c>
      <c r="E172" s="20"/>
      <c r="F172" s="12" t="str">
        <f t="shared" si="3"/>
        <v/>
      </c>
      <c r="G172" s="45" t="str">
        <f t="shared" si="4"/>
        <v/>
      </c>
      <c r="H172" s="15"/>
    </row>
    <row r="173" ht="15.0" customHeight="1">
      <c r="A173" s="15"/>
      <c r="B173" s="15"/>
      <c r="C173" s="15"/>
      <c r="D173" s="64">
        <f>SUMIFS('Nursing Charges'!$J:$J,'Nursing Charges'!$D:$D,A173,'Nursing Charges'!$K:$K,B173)</f>
        <v>0</v>
      </c>
      <c r="E173" s="20"/>
      <c r="F173" s="12" t="str">
        <f t="shared" si="3"/>
        <v/>
      </c>
      <c r="G173" s="45" t="str">
        <f t="shared" si="4"/>
        <v/>
      </c>
      <c r="H173" s="15"/>
    </row>
    <row r="174" ht="15.0" customHeight="1">
      <c r="A174" s="15"/>
      <c r="B174" s="15"/>
      <c r="C174" s="15"/>
      <c r="D174" s="64">
        <f>SUMIFS('Nursing Charges'!$J:$J,'Nursing Charges'!$D:$D,A174,'Nursing Charges'!$K:$K,B174)</f>
        <v>0</v>
      </c>
      <c r="E174" s="20"/>
      <c r="F174" s="12" t="str">
        <f t="shared" si="3"/>
        <v/>
      </c>
      <c r="G174" s="45" t="str">
        <f t="shared" si="4"/>
        <v/>
      </c>
      <c r="H174" s="15"/>
    </row>
    <row r="175" ht="15.0" customHeight="1">
      <c r="A175" s="15"/>
      <c r="B175" s="15"/>
      <c r="C175" s="15"/>
      <c r="D175" s="64">
        <f>SUMIFS('Nursing Charges'!$J:$J,'Nursing Charges'!$D:$D,A175,'Nursing Charges'!$K:$K,B175)</f>
        <v>0</v>
      </c>
      <c r="E175" s="20"/>
      <c r="F175" s="12" t="str">
        <f t="shared" si="3"/>
        <v/>
      </c>
      <c r="G175" s="45" t="str">
        <f t="shared" si="4"/>
        <v/>
      </c>
      <c r="H175" s="15"/>
    </row>
    <row r="176" ht="15.0" customHeight="1">
      <c r="A176" s="15"/>
      <c r="B176" s="15"/>
      <c r="C176" s="15"/>
      <c r="D176" s="64">
        <f>SUMIFS('Nursing Charges'!$J:$J,'Nursing Charges'!$D:$D,A176,'Nursing Charges'!$K:$K,B176)</f>
        <v>0</v>
      </c>
      <c r="E176" s="20"/>
      <c r="F176" s="12" t="str">
        <f t="shared" si="3"/>
        <v/>
      </c>
      <c r="G176" s="45" t="str">
        <f t="shared" si="4"/>
        <v/>
      </c>
      <c r="H176" s="15"/>
    </row>
    <row r="177" ht="15.0" customHeight="1">
      <c r="A177" s="15"/>
      <c r="B177" s="15"/>
      <c r="C177" s="15"/>
      <c r="D177" s="64">
        <f>SUMIFS('Nursing Charges'!$J:$J,'Nursing Charges'!$D:$D,A177,'Nursing Charges'!$K:$K,B177)</f>
        <v>0</v>
      </c>
      <c r="E177" s="20"/>
      <c r="F177" s="12" t="str">
        <f t="shared" si="3"/>
        <v/>
      </c>
      <c r="G177" s="45" t="str">
        <f t="shared" si="4"/>
        <v/>
      </c>
      <c r="H177" s="15"/>
    </row>
    <row r="178" ht="15.0" customHeight="1">
      <c r="A178" s="15"/>
      <c r="B178" s="15"/>
      <c r="C178" s="15"/>
      <c r="D178" s="64">
        <f>SUMIFS('Nursing Charges'!$J:$J,'Nursing Charges'!$D:$D,A178,'Nursing Charges'!$K:$K,B178)</f>
        <v>0</v>
      </c>
      <c r="E178" s="20"/>
      <c r="F178" s="12" t="str">
        <f t="shared" si="3"/>
        <v/>
      </c>
      <c r="G178" s="45" t="str">
        <f t="shared" si="4"/>
        <v/>
      </c>
      <c r="H178" s="15"/>
    </row>
    <row r="179" ht="15.0" customHeight="1">
      <c r="A179" s="15"/>
      <c r="B179" s="15"/>
      <c r="C179" s="15"/>
      <c r="D179" s="64">
        <f>SUMIFS('Nursing Charges'!$J:$J,'Nursing Charges'!$D:$D,A179,'Nursing Charges'!$K:$K,B179)</f>
        <v>0</v>
      </c>
      <c r="E179" s="20"/>
      <c r="F179" s="12" t="str">
        <f t="shared" si="3"/>
        <v/>
      </c>
      <c r="G179" s="45" t="str">
        <f t="shared" si="4"/>
        <v/>
      </c>
      <c r="H179" s="15"/>
    </row>
    <row r="180" ht="15.0" customHeight="1">
      <c r="A180" s="15"/>
      <c r="B180" s="15"/>
      <c r="C180" s="15"/>
      <c r="D180" s="64">
        <f>SUMIFS('Nursing Charges'!$J:$J,'Nursing Charges'!$D:$D,A180,'Nursing Charges'!$K:$K,B180)</f>
        <v>0</v>
      </c>
      <c r="E180" s="20"/>
      <c r="F180" s="12" t="str">
        <f t="shared" si="3"/>
        <v/>
      </c>
      <c r="G180" s="45" t="str">
        <f t="shared" si="4"/>
        <v/>
      </c>
      <c r="H180" s="15"/>
    </row>
    <row r="181" ht="15.0" customHeight="1">
      <c r="A181" s="15"/>
      <c r="B181" s="15"/>
      <c r="C181" s="15"/>
      <c r="D181" s="64">
        <f>SUMIFS('Nursing Charges'!$J:$J,'Nursing Charges'!$D:$D,A181,'Nursing Charges'!$K:$K,B181)</f>
        <v>0</v>
      </c>
      <c r="E181" s="20"/>
      <c r="F181" s="12" t="str">
        <f t="shared" si="3"/>
        <v/>
      </c>
      <c r="G181" s="45" t="str">
        <f t="shared" si="4"/>
        <v/>
      </c>
      <c r="H181" s="15"/>
    </row>
    <row r="182" ht="15.0" customHeight="1">
      <c r="A182" s="15"/>
      <c r="B182" s="15"/>
      <c r="C182" s="15"/>
      <c r="D182" s="64">
        <f>SUMIFS('Nursing Charges'!$J:$J,'Nursing Charges'!$D:$D,A182,'Nursing Charges'!$K:$K,B182)</f>
        <v>0</v>
      </c>
      <c r="E182" s="20"/>
      <c r="F182" s="12" t="str">
        <f t="shared" si="3"/>
        <v/>
      </c>
      <c r="G182" s="45" t="str">
        <f t="shared" si="4"/>
        <v/>
      </c>
      <c r="H182" s="15"/>
    </row>
    <row r="183" ht="15.0" customHeight="1">
      <c r="A183" s="15"/>
      <c r="B183" s="15"/>
      <c r="C183" s="15"/>
      <c r="D183" s="64">
        <f>SUMIFS('Nursing Charges'!$J:$J,'Nursing Charges'!$D:$D,A183,'Nursing Charges'!$K:$K,B183)</f>
        <v>0</v>
      </c>
      <c r="E183" s="20"/>
      <c r="F183" s="12" t="str">
        <f t="shared" si="3"/>
        <v/>
      </c>
      <c r="G183" s="45" t="str">
        <f t="shared" si="4"/>
        <v/>
      </c>
      <c r="H183" s="15"/>
    </row>
    <row r="184" ht="15.0" customHeight="1">
      <c r="A184" s="15"/>
      <c r="B184" s="15"/>
      <c r="C184" s="15"/>
      <c r="D184" s="64">
        <f>SUMIFS('Nursing Charges'!$J:$J,'Nursing Charges'!$D:$D,A184,'Nursing Charges'!$K:$K,B184)</f>
        <v>0</v>
      </c>
      <c r="E184" s="20"/>
      <c r="F184" s="12" t="str">
        <f t="shared" si="3"/>
        <v/>
      </c>
      <c r="G184" s="45" t="str">
        <f t="shared" si="4"/>
        <v/>
      </c>
      <c r="H184" s="15"/>
    </row>
    <row r="185" ht="15.0" customHeight="1">
      <c r="A185" s="15"/>
      <c r="B185" s="15"/>
      <c r="C185" s="15"/>
      <c r="D185" s="64">
        <f>SUMIFS('Nursing Charges'!$J:$J,'Nursing Charges'!$D:$D,A185,'Nursing Charges'!$K:$K,B185)</f>
        <v>0</v>
      </c>
      <c r="E185" s="20"/>
      <c r="F185" s="12" t="str">
        <f t="shared" si="3"/>
        <v/>
      </c>
      <c r="G185" s="45" t="str">
        <f t="shared" si="4"/>
        <v/>
      </c>
      <c r="H185" s="15"/>
    </row>
    <row r="186" ht="15.0" customHeight="1">
      <c r="A186" s="15"/>
      <c r="B186" s="15"/>
      <c r="C186" s="15"/>
      <c r="D186" s="64">
        <f>SUMIFS('Nursing Charges'!$J:$J,'Nursing Charges'!$D:$D,A186,'Nursing Charges'!$K:$K,B186)</f>
        <v>0</v>
      </c>
      <c r="E186" s="20"/>
      <c r="F186" s="12" t="str">
        <f t="shared" si="3"/>
        <v/>
      </c>
      <c r="G186" s="45" t="str">
        <f t="shared" si="4"/>
        <v/>
      </c>
      <c r="H186" s="15"/>
    </row>
    <row r="187" ht="15.0" customHeight="1">
      <c r="A187" s="15"/>
      <c r="B187" s="15"/>
      <c r="C187" s="15"/>
      <c r="D187" s="64">
        <f>SUMIFS('Nursing Charges'!$J:$J,'Nursing Charges'!$D:$D,A187,'Nursing Charges'!$K:$K,B187)</f>
        <v>0</v>
      </c>
      <c r="E187" s="20"/>
      <c r="F187" s="12" t="str">
        <f t="shared" si="3"/>
        <v/>
      </c>
      <c r="G187" s="45" t="str">
        <f t="shared" si="4"/>
        <v/>
      </c>
      <c r="H187" s="15"/>
    </row>
    <row r="188" ht="15.0" customHeight="1">
      <c r="A188" s="15"/>
      <c r="B188" s="15"/>
      <c r="C188" s="15"/>
      <c r="D188" s="64">
        <f>SUMIFS('Nursing Charges'!$J:$J,'Nursing Charges'!$D:$D,A188,'Nursing Charges'!$K:$K,B188)</f>
        <v>0</v>
      </c>
      <c r="E188" s="20"/>
      <c r="F188" s="12" t="str">
        <f t="shared" si="3"/>
        <v/>
      </c>
      <c r="G188" s="45" t="str">
        <f t="shared" si="4"/>
        <v/>
      </c>
      <c r="H188" s="15"/>
    </row>
    <row r="189" ht="15.0" customHeight="1">
      <c r="A189" s="15"/>
      <c r="B189" s="15"/>
      <c r="C189" s="15"/>
      <c r="D189" s="64">
        <f>SUMIFS('Nursing Charges'!$J:$J,'Nursing Charges'!$D:$D,A189,'Nursing Charges'!$K:$K,B189)</f>
        <v>0</v>
      </c>
      <c r="E189" s="20"/>
      <c r="F189" s="12" t="str">
        <f t="shared" si="3"/>
        <v/>
      </c>
      <c r="G189" s="45" t="str">
        <f t="shared" si="4"/>
        <v/>
      </c>
      <c r="H189" s="15"/>
    </row>
    <row r="190" ht="15.0" customHeight="1">
      <c r="A190" s="15"/>
      <c r="B190" s="15"/>
      <c r="C190" s="15"/>
      <c r="D190" s="64">
        <f>SUMIFS('Nursing Charges'!$J:$J,'Nursing Charges'!$D:$D,A190,'Nursing Charges'!$K:$K,B190)</f>
        <v>0</v>
      </c>
      <c r="E190" s="20"/>
      <c r="F190" s="12" t="str">
        <f t="shared" si="3"/>
        <v/>
      </c>
      <c r="G190" s="45" t="str">
        <f t="shared" si="4"/>
        <v/>
      </c>
      <c r="H190" s="15"/>
    </row>
    <row r="191" ht="15.0" customHeight="1">
      <c r="A191" s="15"/>
      <c r="B191" s="15"/>
      <c r="C191" s="15"/>
      <c r="D191" s="64">
        <f>SUMIFS('Nursing Charges'!$J:$J,'Nursing Charges'!$D:$D,A191,'Nursing Charges'!$K:$K,B191)</f>
        <v>0</v>
      </c>
      <c r="E191" s="20"/>
      <c r="F191" s="12" t="str">
        <f t="shared" si="3"/>
        <v/>
      </c>
      <c r="G191" s="45" t="str">
        <f t="shared" si="4"/>
        <v/>
      </c>
      <c r="H191" s="15"/>
    </row>
    <row r="192" ht="15.0" customHeight="1">
      <c r="A192" s="15"/>
      <c r="B192" s="15"/>
      <c r="C192" s="15"/>
      <c r="D192" s="64">
        <f>SUMIFS('Nursing Charges'!$J:$J,'Nursing Charges'!$D:$D,A192,'Nursing Charges'!$K:$K,B192)</f>
        <v>0</v>
      </c>
      <c r="E192" s="20"/>
      <c r="F192" s="12" t="str">
        <f t="shared" si="3"/>
        <v/>
      </c>
      <c r="G192" s="45" t="str">
        <f t="shared" si="4"/>
        <v/>
      </c>
      <c r="H192" s="15"/>
    </row>
    <row r="193" ht="15.0" customHeight="1">
      <c r="A193" s="15"/>
      <c r="B193" s="15"/>
      <c r="C193" s="15"/>
      <c r="D193" s="64">
        <f>SUMIFS('Nursing Charges'!$J:$J,'Nursing Charges'!$D:$D,A193,'Nursing Charges'!$K:$K,B193)</f>
        <v>0</v>
      </c>
      <c r="E193" s="20"/>
      <c r="F193" s="12" t="str">
        <f t="shared" si="3"/>
        <v/>
      </c>
      <c r="G193" s="45" t="str">
        <f t="shared" si="4"/>
        <v/>
      </c>
      <c r="H193" s="15"/>
    </row>
    <row r="194" ht="15.0" customHeight="1">
      <c r="A194" s="15"/>
      <c r="B194" s="15"/>
      <c r="C194" s="15"/>
      <c r="D194" s="64">
        <f>SUMIFS('Nursing Charges'!$J:$J,'Nursing Charges'!$D:$D,A194,'Nursing Charges'!$K:$K,B194)</f>
        <v>0</v>
      </c>
      <c r="E194" s="20"/>
      <c r="F194" s="12" t="str">
        <f t="shared" si="3"/>
        <v/>
      </c>
      <c r="G194" s="45" t="str">
        <f t="shared" si="4"/>
        <v/>
      </c>
      <c r="H194" s="15"/>
    </row>
    <row r="195" ht="15.0" customHeight="1">
      <c r="A195" s="15"/>
      <c r="B195" s="15"/>
      <c r="C195" s="15"/>
      <c r="D195" s="64">
        <f>SUMIFS('Nursing Charges'!$J:$J,'Nursing Charges'!$D:$D,A195,'Nursing Charges'!$K:$K,B195)</f>
        <v>0</v>
      </c>
      <c r="E195" s="20"/>
      <c r="F195" s="12" t="str">
        <f t="shared" si="3"/>
        <v/>
      </c>
      <c r="G195" s="45" t="str">
        <f t="shared" si="4"/>
        <v/>
      </c>
      <c r="H195" s="15"/>
    </row>
    <row r="196" ht="15.0" customHeight="1">
      <c r="A196" s="15"/>
      <c r="B196" s="15"/>
      <c r="C196" s="15"/>
      <c r="D196" s="64">
        <f>SUMIFS('Nursing Charges'!$J:$J,'Nursing Charges'!$D:$D,A196,'Nursing Charges'!$K:$K,B196)</f>
        <v>0</v>
      </c>
      <c r="E196" s="20"/>
      <c r="F196" s="12" t="str">
        <f t="shared" si="3"/>
        <v/>
      </c>
      <c r="G196" s="45" t="str">
        <f t="shared" si="4"/>
        <v/>
      </c>
      <c r="H196" s="15"/>
    </row>
    <row r="197" ht="15.0" customHeight="1">
      <c r="A197" s="15"/>
      <c r="B197" s="15"/>
      <c r="C197" s="15"/>
      <c r="D197" s="64">
        <f>SUMIFS('Nursing Charges'!$J:$J,'Nursing Charges'!$D:$D,A197,'Nursing Charges'!$K:$K,B197)</f>
        <v>0</v>
      </c>
      <c r="E197" s="20"/>
      <c r="F197" s="12" t="str">
        <f t="shared" si="3"/>
        <v/>
      </c>
      <c r="G197" s="45" t="str">
        <f t="shared" si="4"/>
        <v/>
      </c>
      <c r="H197" s="15"/>
    </row>
    <row r="198" ht="15.0" customHeight="1">
      <c r="A198" s="15"/>
      <c r="B198" s="15"/>
      <c r="C198" s="15"/>
      <c r="D198" s="64">
        <f>SUMIFS('Nursing Charges'!$J:$J,'Nursing Charges'!$D:$D,A198,'Nursing Charges'!$K:$K,B198)</f>
        <v>0</v>
      </c>
      <c r="E198" s="20"/>
      <c r="F198" s="12" t="str">
        <f t="shared" si="3"/>
        <v/>
      </c>
      <c r="G198" s="45" t="str">
        <f t="shared" si="4"/>
        <v/>
      </c>
      <c r="H198" s="15"/>
    </row>
    <row r="199" ht="15.0" customHeight="1">
      <c r="A199" s="15"/>
      <c r="B199" s="15"/>
      <c r="C199" s="15"/>
      <c r="D199" s="64">
        <f>SUMIFS('Nursing Charges'!$J:$J,'Nursing Charges'!$D:$D,A199,'Nursing Charges'!$K:$K,B199)</f>
        <v>0</v>
      </c>
      <c r="E199" s="20"/>
      <c r="F199" s="12" t="str">
        <f t="shared" si="3"/>
        <v/>
      </c>
      <c r="G199" s="45" t="str">
        <f t="shared" si="4"/>
        <v/>
      </c>
      <c r="H199" s="15"/>
    </row>
    <row r="200" ht="15.0" customHeight="1">
      <c r="A200" s="15"/>
      <c r="B200" s="15"/>
      <c r="C200" s="15"/>
      <c r="D200" s="64">
        <f>SUMIFS('Nursing Charges'!$J:$J,'Nursing Charges'!$D:$D,A200,'Nursing Charges'!$K:$K,B200)</f>
        <v>0</v>
      </c>
      <c r="E200" s="20"/>
      <c r="F200" s="12" t="str">
        <f t="shared" si="3"/>
        <v/>
      </c>
      <c r="G200" s="45" t="str">
        <f t="shared" si="4"/>
        <v/>
      </c>
      <c r="H200" s="15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">
    <mergeCell ref="A1:H1"/>
    <mergeCell ref="A2:H2"/>
  </mergeCells>
  <dataValidations>
    <dataValidation type="list" allowBlank="1" sqref="G5:G200">
      <formula1>"Paid,Partial,Pending,No Charges"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20.0"/>
    <col customWidth="1" min="3" max="26" width="8.71"/>
  </cols>
  <sheetData>
    <row r="1" ht="21.75" customHeight="1">
      <c r="A1" s="1" t="s">
        <v>25</v>
      </c>
    </row>
    <row r="2" ht="15.0" customHeight="1">
      <c r="A2" s="3" t="s">
        <v>191</v>
      </c>
    </row>
    <row r="3">
      <c r="A3" s="2"/>
      <c r="B3" s="2"/>
    </row>
    <row r="4" ht="15.0" customHeight="1">
      <c r="A4" s="74" t="s">
        <v>192</v>
      </c>
      <c r="B4" s="18"/>
    </row>
    <row r="5" ht="15.0" customHeight="1">
      <c r="A5" s="75" t="s">
        <v>193</v>
      </c>
      <c r="B5" s="76">
        <f>COUNTA('Patient Bills'!A6:A150)</f>
        <v>15</v>
      </c>
    </row>
    <row r="6" ht="15.0" customHeight="1">
      <c r="A6" s="75" t="s">
        <v>194</v>
      </c>
      <c r="B6" s="12">
        <f>SUM('Patient Bills'!L6:L150)+SUM('Patient Bills'!V6:V150)+SUM('Patient Bills'!AF6:AF150)+SUM('Patient Bills'!AP6:AP150)+SUM('Patient Bills'!AZ6:AZ150)+SUM('Patient Bills'!BJ6:BJ150)+SUM('Patient Bills'!BT6:BT150)+SUM('Patient Bills'!CD6:CD150)+SUM('Patient Bills'!CN6:CN150)+SUM('Patient Bills'!CX6:CX150)+SUM('Patient Bills'!DH6:DH150)+SUM('Patient Bills'!DR6:DR150)+SUM('Patient Bills'!EB6:EB150)+SUM('Patient Bills'!EL6:EL150)+SUM('Patient Bills'!EV6:EV150)+SUM('Patient Bills'!FF6:FF150)</f>
        <v>18220</v>
      </c>
    </row>
    <row r="7" ht="15.0" customHeight="1">
      <c r="A7" s="75" t="s">
        <v>195</v>
      </c>
      <c r="B7" s="12">
        <f>SUM('Patient Bills'!M6:M150)+SUM('Patient Bills'!W6:W150)+SUM('Patient Bills'!AG6:AG150)+SUM('Patient Bills'!AQ6:AQ150)+SUM('Patient Bills'!BA6:BA150)+SUM('Patient Bills'!BK6:BK150)+SUM('Patient Bills'!BU6:BU150)+SUM('Patient Bills'!CE6:CE150)+SUM('Patient Bills'!CO6:CO150)+SUM('Patient Bills'!CY6:CY150)+SUM('Patient Bills'!DI6:DI150)+SUM('Patient Bills'!DS6:DS150)+SUM('Patient Bills'!EC6:EC150)+SUM('Patient Bills'!EM6:EM150)+SUM('Patient Bills'!EW6:EW150)+SUM('Patient Bills'!FG6:FG150)</f>
        <v>0</v>
      </c>
    </row>
    <row r="8" ht="15.0" customHeight="1">
      <c r="A8" s="75" t="s">
        <v>196</v>
      </c>
      <c r="B8" s="12">
        <f>SUM('Patient Bills'!N6:N150)+SUM('Patient Bills'!X6:X150)+SUM('Patient Bills'!AH6:AH150)+SUM('Patient Bills'!AR6:AR150)+SUM('Patient Bills'!BB6:BB150)+SUM('Patient Bills'!BL6:BL150)+SUM('Patient Bills'!BV6:BV150)+SUM('Patient Bills'!CF6:CF150)+SUM('Patient Bills'!CP6:CP150)+SUM('Patient Bills'!CZ6:CZ150)+SUM('Patient Bills'!DJ6:DJ150)+SUM('Patient Bills'!DT6:DT150)+SUM('Patient Bills'!ED6:ED150)+SUM('Patient Bills'!EN6:EN150)+SUM('Patient Bills'!EX6:EX150)+SUM('Patient Bills'!FH6:FH150)</f>
        <v>18220</v>
      </c>
    </row>
    <row r="9" ht="15.0" customHeight="1">
      <c r="A9" s="75" t="s">
        <v>197</v>
      </c>
      <c r="B9" s="12">
        <f>SUM('Nursing Charges'!I5:I400)</f>
        <v>15900</v>
      </c>
    </row>
    <row r="10" ht="15.0" customHeight="1">
      <c r="A10" s="75" t="s">
        <v>198</v>
      </c>
      <c r="B10" s="12">
        <f>SUM('Consumable Usage'!E5:E400)</f>
        <v>2320</v>
      </c>
    </row>
    <row r="11">
      <c r="A11" s="2"/>
      <c r="B11" s="2"/>
    </row>
    <row r="12" ht="15.0" customHeight="1">
      <c r="A12" s="74" t="s">
        <v>199</v>
      </c>
      <c r="B12" s="18"/>
    </row>
    <row r="13" ht="15.0" customHeight="1">
      <c r="A13" s="75" t="s">
        <v>200</v>
      </c>
      <c r="B13" s="12">
        <f>SUM('Consumable Usage'!E5:E400)</f>
        <v>2320</v>
      </c>
    </row>
    <row r="14" ht="15.0" customHeight="1">
      <c r="A14" s="75" t="s">
        <v>201</v>
      </c>
      <c r="B14" s="12">
        <f>SUM('Consumable Usage'!F5:F400)</f>
        <v>1440</v>
      </c>
    </row>
    <row r="15" ht="15.0" customHeight="1">
      <c r="A15" s="75" t="s">
        <v>202</v>
      </c>
      <c r="B15" s="12">
        <f>SUM('Consumable Usage'!G5:G400)</f>
        <v>880</v>
      </c>
    </row>
    <row r="16" ht="15.0" customHeight="1">
      <c r="A16" s="75" t="s">
        <v>203</v>
      </c>
      <c r="B16" s="37">
        <f>IFERROR(B15/B13,0)</f>
        <v>0.3793103448</v>
      </c>
    </row>
    <row r="17">
      <c r="A17" s="2"/>
      <c r="B17" s="2"/>
    </row>
    <row r="18" ht="15.0" customHeight="1">
      <c r="A18" s="74" t="s">
        <v>23</v>
      </c>
      <c r="B18" s="18"/>
    </row>
    <row r="19" ht="15.0" customHeight="1">
      <c r="A19" s="75" t="s">
        <v>204</v>
      </c>
      <c r="B19" s="12">
        <f>SUM('Nurse Payments'!D5:D200)</f>
        <v>0</v>
      </c>
    </row>
    <row r="20" ht="15.0" customHeight="1">
      <c r="A20" s="75" t="s">
        <v>205</v>
      </c>
      <c r="B20" s="12">
        <f>SUM('Nurse Payments'!E5:E200)</f>
        <v>0</v>
      </c>
    </row>
    <row r="21" ht="15.0" customHeight="1">
      <c r="A21" s="75" t="s">
        <v>206</v>
      </c>
      <c r="B21" s="12">
        <f>SUM('Nurse Payments'!F5:F200)</f>
        <v>0</v>
      </c>
    </row>
    <row r="22" ht="15.75" customHeight="1">
      <c r="A22" s="2"/>
      <c r="B22" s="2"/>
    </row>
    <row r="23" ht="15.0" customHeight="1">
      <c r="A23" s="74" t="s">
        <v>207</v>
      </c>
      <c r="B23" s="18"/>
    </row>
    <row r="24" ht="15.0" customHeight="1">
      <c r="A24" s="75" t="s">
        <v>208</v>
      </c>
      <c r="B24" s="12">
        <f>B9-B19</f>
        <v>15900</v>
      </c>
    </row>
    <row r="25" ht="15.0" customHeight="1">
      <c r="A25" s="75" t="s">
        <v>209</v>
      </c>
      <c r="B25" s="12">
        <f>SUM('Patient Bills'!K6:K150)+SUM('Patient Bills'!U6:U150)+SUM('Patient Bills'!AE6:AE150)+SUM('Patient Bills'!AO6:AO150)+SUM('Patient Bills'!AY6:AY150)+SUM('Patient Bills'!BI6:BI150)+SUM('Patient Bills'!BS6:BS150)+SUM('Patient Bills'!CC6:CC150)+SUM('Patient Bills'!CM6:CM150)+SUM('Patient Bills'!CW6:CW150)+SUM('Patient Bills'!DG6:DG150)+SUM('Patient Bills'!DQ6:DQ150)+SUM('Patient Bills'!EA6:EA150)+SUM('Patient Bills'!EK6:EK150)+SUM('Patient Bills'!EU6:EU150)+SUM('Patient Bills'!FE6:FE150)</f>
        <v>16780</v>
      </c>
    </row>
    <row r="26" ht="15.75" customHeight="1">
      <c r="A26" s="2"/>
      <c r="B26" s="2"/>
    </row>
    <row r="27" ht="15.75" customHeight="1">
      <c r="A27" s="2"/>
      <c r="B27" s="2"/>
    </row>
    <row r="28" ht="15.75" customHeight="1">
      <c r="A28" s="2"/>
      <c r="B28" s="2"/>
    </row>
    <row r="29" ht="15.75" customHeight="1">
      <c r="A29" s="2"/>
      <c r="B29" s="2"/>
    </row>
    <row r="30" ht="15.75" customHeight="1">
      <c r="A30" s="2"/>
      <c r="B30" s="2"/>
    </row>
    <row r="31" ht="15.75" customHeight="1">
      <c r="A31" s="2"/>
      <c r="B31" s="2"/>
    </row>
    <row r="32" ht="15.75" customHeight="1">
      <c r="A32" s="2"/>
      <c r="B32" s="2"/>
    </row>
    <row r="33" ht="15.75" customHeight="1">
      <c r="A33" s="2"/>
      <c r="B33" s="2"/>
    </row>
    <row r="34" ht="15.75" customHeight="1">
      <c r="A34" s="2"/>
      <c r="B34" s="2"/>
    </row>
    <row r="35" ht="15.75" customHeight="1">
      <c r="A35" s="2"/>
      <c r="B35" s="2"/>
    </row>
    <row r="36" ht="15.75" customHeight="1">
      <c r="A36" s="2"/>
      <c r="B36" s="2"/>
    </row>
    <row r="37" ht="15.75" customHeight="1">
      <c r="A37" s="2"/>
      <c r="B37" s="2"/>
    </row>
    <row r="38" ht="15.75" customHeight="1">
      <c r="A38" s="2"/>
      <c r="B38" s="2"/>
    </row>
    <row r="39" ht="15.75" customHeight="1">
      <c r="A39" s="2"/>
      <c r="B39" s="2"/>
    </row>
    <row r="40" ht="15.75" customHeight="1">
      <c r="A40" s="2"/>
      <c r="B40" s="2"/>
    </row>
    <row r="41" ht="15.75" customHeight="1">
      <c r="A41" s="2"/>
      <c r="B41" s="2"/>
    </row>
    <row r="42" ht="15.75" customHeight="1">
      <c r="A42" s="2"/>
      <c r="B42" s="2"/>
    </row>
    <row r="43" ht="15.75" customHeight="1">
      <c r="A43" s="2"/>
      <c r="B43" s="2"/>
    </row>
    <row r="44" ht="15.75" customHeight="1">
      <c r="A44" s="2"/>
      <c r="B44" s="2"/>
    </row>
    <row r="45" ht="15.75" customHeight="1">
      <c r="A45" s="2"/>
      <c r="B45" s="2"/>
    </row>
    <row r="46" ht="15.75" customHeight="1">
      <c r="A46" s="2"/>
      <c r="B46" s="2"/>
    </row>
    <row r="47" ht="15.75" customHeight="1">
      <c r="A47" s="2"/>
      <c r="B47" s="2"/>
    </row>
    <row r="48" ht="15.75" customHeight="1">
      <c r="A48" s="2"/>
      <c r="B48" s="2"/>
    </row>
    <row r="49" ht="15.75" customHeight="1">
      <c r="A49" s="2"/>
      <c r="B49" s="2"/>
    </row>
    <row r="50" ht="15.75" customHeight="1">
      <c r="A50" s="2"/>
      <c r="B50" s="2"/>
    </row>
    <row r="51" ht="15.75" customHeight="1">
      <c r="A51" s="2"/>
      <c r="B51" s="2"/>
    </row>
    <row r="52" ht="15.75" customHeight="1">
      <c r="A52" s="2"/>
      <c r="B52" s="2"/>
    </row>
    <row r="53" ht="15.75" customHeight="1">
      <c r="A53" s="2"/>
      <c r="B53" s="2"/>
    </row>
    <row r="54" ht="15.75" customHeight="1">
      <c r="A54" s="2"/>
      <c r="B54" s="2"/>
    </row>
    <row r="55" ht="15.75" customHeight="1">
      <c r="A55" s="2"/>
      <c r="B55" s="2"/>
    </row>
    <row r="56" ht="15.75" customHeight="1">
      <c r="A56" s="2"/>
      <c r="B56" s="2"/>
    </row>
    <row r="57" ht="15.75" customHeight="1">
      <c r="A57" s="2"/>
      <c r="B57" s="2"/>
    </row>
    <row r="58" ht="15.75" customHeight="1">
      <c r="A58" s="2"/>
      <c r="B58" s="2"/>
    </row>
    <row r="59" ht="15.75" customHeight="1">
      <c r="A59" s="2"/>
      <c r="B59" s="2"/>
    </row>
    <row r="60" ht="15.75" customHeight="1">
      <c r="A60" s="2"/>
      <c r="B60" s="2"/>
    </row>
    <row r="61" ht="15.75" customHeight="1">
      <c r="A61" s="2"/>
      <c r="B61" s="2"/>
    </row>
    <row r="62" ht="15.75" customHeight="1">
      <c r="A62" s="2"/>
      <c r="B62" s="2"/>
    </row>
    <row r="63" ht="15.75" customHeight="1">
      <c r="A63" s="2"/>
      <c r="B63" s="2"/>
    </row>
    <row r="64" ht="15.75" customHeight="1">
      <c r="A64" s="2"/>
      <c r="B64" s="2"/>
    </row>
    <row r="65" ht="15.75" customHeight="1">
      <c r="A65" s="2"/>
      <c r="B65" s="2"/>
    </row>
    <row r="66" ht="15.75" customHeight="1">
      <c r="A66" s="2"/>
      <c r="B66" s="2"/>
    </row>
    <row r="67" ht="15.75" customHeight="1">
      <c r="A67" s="2"/>
      <c r="B67" s="2"/>
    </row>
    <row r="68" ht="15.75" customHeight="1">
      <c r="A68" s="2"/>
      <c r="B68" s="2"/>
    </row>
    <row r="69" ht="15.75" customHeight="1">
      <c r="A69" s="2"/>
      <c r="B69" s="2"/>
    </row>
    <row r="70" ht="15.75" customHeight="1">
      <c r="A70" s="2"/>
      <c r="B70" s="2"/>
    </row>
    <row r="71" ht="15.75" customHeight="1">
      <c r="A71" s="2"/>
      <c r="B71" s="2"/>
    </row>
    <row r="72" ht="15.75" customHeight="1">
      <c r="A72" s="2"/>
      <c r="B72" s="2"/>
    </row>
    <row r="73" ht="15.75" customHeight="1">
      <c r="A73" s="2"/>
      <c r="B73" s="2"/>
    </row>
    <row r="74" ht="15.75" customHeight="1">
      <c r="A74" s="2"/>
      <c r="B74" s="2"/>
    </row>
    <row r="75" ht="15.75" customHeight="1">
      <c r="A75" s="2"/>
      <c r="B75" s="2"/>
    </row>
    <row r="76" ht="15.75" customHeight="1">
      <c r="A76" s="2"/>
      <c r="B76" s="2"/>
    </row>
    <row r="77" ht="15.75" customHeight="1">
      <c r="A77" s="2"/>
      <c r="B77" s="2"/>
    </row>
    <row r="78" ht="15.75" customHeight="1">
      <c r="A78" s="2"/>
      <c r="B78" s="2"/>
    </row>
    <row r="79" ht="15.75" customHeight="1">
      <c r="A79" s="2"/>
      <c r="B79" s="2"/>
    </row>
    <row r="80" ht="15.75" customHeight="1">
      <c r="A80" s="2"/>
      <c r="B80" s="2"/>
    </row>
    <row r="81" ht="15.75" customHeight="1">
      <c r="A81" s="2"/>
      <c r="B81" s="2"/>
    </row>
    <row r="82" ht="15.75" customHeight="1">
      <c r="A82" s="2"/>
      <c r="B82" s="2"/>
    </row>
    <row r="83" ht="15.75" customHeight="1">
      <c r="A83" s="2"/>
      <c r="B83" s="2"/>
    </row>
    <row r="84" ht="15.75" customHeight="1">
      <c r="A84" s="2"/>
      <c r="B84" s="2"/>
    </row>
    <row r="85" ht="15.75" customHeight="1">
      <c r="A85" s="2"/>
      <c r="B85" s="2"/>
    </row>
    <row r="86" ht="15.75" customHeight="1">
      <c r="A86" s="2"/>
      <c r="B86" s="2"/>
    </row>
    <row r="87" ht="15.75" customHeight="1">
      <c r="A87" s="2"/>
      <c r="B87" s="2"/>
    </row>
    <row r="88" ht="15.75" customHeight="1">
      <c r="A88" s="2"/>
      <c r="B88" s="2"/>
    </row>
    <row r="89" ht="15.75" customHeight="1">
      <c r="A89" s="2"/>
      <c r="B89" s="2"/>
    </row>
    <row r="90" ht="15.75" customHeight="1">
      <c r="A90" s="2"/>
      <c r="B90" s="2"/>
    </row>
    <row r="91" ht="15.75" customHeight="1">
      <c r="A91" s="2"/>
      <c r="B91" s="2"/>
    </row>
    <row r="92" ht="15.75" customHeight="1">
      <c r="A92" s="2"/>
      <c r="B92" s="2"/>
    </row>
    <row r="93" ht="15.75" customHeight="1">
      <c r="A93" s="2"/>
      <c r="B93" s="2"/>
    </row>
    <row r="94" ht="15.75" customHeight="1">
      <c r="A94" s="2"/>
      <c r="B94" s="2"/>
    </row>
    <row r="95" ht="15.75" customHeight="1">
      <c r="A95" s="2"/>
      <c r="B95" s="2"/>
    </row>
    <row r="96" ht="15.75" customHeight="1">
      <c r="A96" s="2"/>
      <c r="B96" s="2"/>
    </row>
    <row r="97" ht="15.75" customHeight="1">
      <c r="A97" s="2"/>
      <c r="B97" s="2"/>
    </row>
    <row r="98" ht="15.75" customHeight="1">
      <c r="A98" s="2"/>
      <c r="B98" s="2"/>
    </row>
    <row r="99" ht="15.75" customHeight="1">
      <c r="A99" s="2"/>
      <c r="B99" s="2"/>
    </row>
    <row r="100" ht="15.75" customHeight="1">
      <c r="A100" s="2"/>
      <c r="B100" s="2"/>
    </row>
    <row r="101" ht="15.75" customHeight="1">
      <c r="A101" s="2"/>
      <c r="B101" s="2"/>
    </row>
    <row r="102" ht="15.75" customHeight="1">
      <c r="A102" s="2"/>
      <c r="B102" s="2"/>
    </row>
    <row r="103" ht="15.75" customHeight="1">
      <c r="A103" s="2"/>
      <c r="B103" s="2"/>
    </row>
    <row r="104" ht="15.75" customHeight="1">
      <c r="A104" s="2"/>
      <c r="B104" s="2"/>
    </row>
    <row r="105" ht="15.75" customHeight="1">
      <c r="A105" s="2"/>
      <c r="B105" s="2"/>
    </row>
    <row r="106" ht="15.75" customHeight="1">
      <c r="A106" s="2"/>
      <c r="B106" s="2"/>
    </row>
    <row r="107" ht="15.75" customHeight="1">
      <c r="A107" s="2"/>
      <c r="B107" s="2"/>
    </row>
    <row r="108" ht="15.75" customHeight="1">
      <c r="A108" s="2"/>
      <c r="B108" s="2"/>
    </row>
    <row r="109" ht="15.75" customHeight="1">
      <c r="A109" s="2"/>
      <c r="B109" s="2"/>
    </row>
    <row r="110" ht="15.75" customHeight="1">
      <c r="A110" s="2"/>
      <c r="B110" s="2"/>
    </row>
    <row r="111" ht="15.75" customHeight="1">
      <c r="A111" s="2"/>
      <c r="B111" s="2"/>
    </row>
    <row r="112" ht="15.75" customHeight="1">
      <c r="A112" s="2"/>
      <c r="B112" s="2"/>
    </row>
    <row r="113" ht="15.75" customHeight="1">
      <c r="A113" s="2"/>
      <c r="B113" s="2"/>
    </row>
    <row r="114" ht="15.75" customHeight="1">
      <c r="A114" s="2"/>
      <c r="B114" s="2"/>
    </row>
    <row r="115" ht="15.75" customHeight="1">
      <c r="A115" s="2"/>
      <c r="B115" s="2"/>
    </row>
    <row r="116" ht="15.75" customHeight="1">
      <c r="A116" s="2"/>
      <c r="B116" s="2"/>
    </row>
    <row r="117" ht="15.75" customHeight="1">
      <c r="A117" s="2"/>
      <c r="B117" s="2"/>
    </row>
    <row r="118" ht="15.75" customHeight="1">
      <c r="A118" s="2"/>
      <c r="B118" s="2"/>
    </row>
    <row r="119" ht="15.75" customHeight="1">
      <c r="A119" s="2"/>
      <c r="B119" s="2"/>
    </row>
    <row r="120" ht="15.75" customHeight="1">
      <c r="A120" s="2"/>
      <c r="B120" s="2"/>
    </row>
    <row r="121" ht="15.75" customHeight="1">
      <c r="A121" s="2"/>
      <c r="B121" s="2"/>
    </row>
    <row r="122" ht="15.75" customHeight="1">
      <c r="A122" s="2"/>
      <c r="B122" s="2"/>
    </row>
    <row r="123" ht="15.75" customHeight="1">
      <c r="A123" s="2"/>
      <c r="B123" s="2"/>
    </row>
    <row r="124" ht="15.75" customHeight="1">
      <c r="A124" s="2"/>
      <c r="B124" s="2"/>
    </row>
    <row r="125" ht="15.75" customHeight="1">
      <c r="A125" s="2"/>
      <c r="B125" s="2"/>
    </row>
    <row r="126" ht="15.75" customHeight="1">
      <c r="A126" s="2"/>
      <c r="B126" s="2"/>
    </row>
    <row r="127" ht="15.75" customHeight="1">
      <c r="A127" s="2"/>
      <c r="B127" s="2"/>
    </row>
    <row r="128" ht="15.75" customHeight="1">
      <c r="A128" s="2"/>
      <c r="B128" s="2"/>
    </row>
    <row r="129" ht="15.75" customHeight="1">
      <c r="A129" s="2"/>
      <c r="B129" s="2"/>
    </row>
    <row r="130" ht="15.75" customHeight="1">
      <c r="A130" s="2"/>
      <c r="B130" s="2"/>
    </row>
    <row r="131" ht="15.75" customHeight="1">
      <c r="A131" s="2"/>
      <c r="B131" s="2"/>
    </row>
    <row r="132" ht="15.75" customHeight="1">
      <c r="A132" s="2"/>
      <c r="B132" s="2"/>
    </row>
    <row r="133" ht="15.75" customHeight="1">
      <c r="A133" s="2"/>
      <c r="B133" s="2"/>
    </row>
    <row r="134" ht="15.75" customHeight="1">
      <c r="A134" s="2"/>
      <c r="B134" s="2"/>
    </row>
    <row r="135" ht="15.75" customHeight="1">
      <c r="A135" s="2"/>
      <c r="B135" s="2"/>
    </row>
    <row r="136" ht="15.75" customHeight="1">
      <c r="A136" s="2"/>
      <c r="B136" s="2"/>
    </row>
    <row r="137" ht="15.75" customHeight="1">
      <c r="A137" s="2"/>
      <c r="B137" s="2"/>
    </row>
    <row r="138" ht="15.75" customHeight="1">
      <c r="A138" s="2"/>
      <c r="B138" s="2"/>
    </row>
    <row r="139" ht="15.75" customHeight="1">
      <c r="A139" s="2"/>
      <c r="B139" s="2"/>
    </row>
    <row r="140" ht="15.75" customHeight="1">
      <c r="A140" s="2"/>
      <c r="B140" s="2"/>
    </row>
    <row r="141" ht="15.75" customHeight="1">
      <c r="A141" s="2"/>
      <c r="B141" s="2"/>
    </row>
    <row r="142" ht="15.75" customHeight="1">
      <c r="A142" s="2"/>
      <c r="B142" s="2"/>
    </row>
    <row r="143" ht="15.75" customHeight="1">
      <c r="A143" s="2"/>
      <c r="B143" s="2"/>
    </row>
    <row r="144" ht="15.75" customHeight="1">
      <c r="A144" s="2"/>
      <c r="B144" s="2"/>
    </row>
    <row r="145" ht="15.75" customHeight="1">
      <c r="A145" s="2"/>
      <c r="B145" s="2"/>
    </row>
    <row r="146" ht="15.75" customHeight="1">
      <c r="A146" s="2"/>
      <c r="B146" s="2"/>
    </row>
    <row r="147" ht="15.75" customHeight="1">
      <c r="A147" s="2"/>
      <c r="B147" s="2"/>
    </row>
    <row r="148" ht="15.75" customHeight="1">
      <c r="A148" s="2"/>
      <c r="B148" s="2"/>
    </row>
    <row r="149" ht="15.75" customHeight="1">
      <c r="A149" s="2"/>
      <c r="B149" s="2"/>
    </row>
    <row r="150" ht="15.75" customHeight="1">
      <c r="A150" s="2"/>
      <c r="B150" s="2"/>
    </row>
    <row r="151" ht="15.75" customHeight="1">
      <c r="A151" s="2"/>
      <c r="B151" s="2"/>
    </row>
    <row r="152" ht="15.75" customHeight="1">
      <c r="A152" s="2"/>
      <c r="B152" s="2"/>
    </row>
    <row r="153" ht="15.75" customHeight="1">
      <c r="A153" s="2"/>
      <c r="B153" s="2"/>
    </row>
    <row r="154" ht="15.75" customHeight="1">
      <c r="A154" s="2"/>
      <c r="B154" s="2"/>
    </row>
    <row r="155" ht="15.75" customHeight="1">
      <c r="A155" s="2"/>
      <c r="B155" s="2"/>
    </row>
    <row r="156" ht="15.75" customHeight="1">
      <c r="A156" s="2"/>
      <c r="B156" s="2"/>
    </row>
    <row r="157" ht="15.75" customHeight="1">
      <c r="A157" s="2"/>
      <c r="B157" s="2"/>
    </row>
    <row r="158" ht="15.75" customHeight="1">
      <c r="A158" s="2"/>
      <c r="B158" s="2"/>
    </row>
    <row r="159" ht="15.75" customHeight="1">
      <c r="A159" s="2"/>
      <c r="B159" s="2"/>
    </row>
    <row r="160" ht="15.75" customHeight="1">
      <c r="A160" s="2"/>
      <c r="B160" s="2"/>
    </row>
    <row r="161" ht="15.75" customHeight="1">
      <c r="A161" s="2"/>
      <c r="B161" s="2"/>
    </row>
    <row r="162" ht="15.75" customHeight="1">
      <c r="A162" s="2"/>
      <c r="B162" s="2"/>
    </row>
    <row r="163" ht="15.75" customHeight="1">
      <c r="A163" s="2"/>
      <c r="B163" s="2"/>
    </row>
    <row r="164" ht="15.75" customHeight="1">
      <c r="A164" s="2"/>
      <c r="B164" s="2"/>
    </row>
    <row r="165" ht="15.75" customHeight="1">
      <c r="A165" s="2"/>
      <c r="B165" s="2"/>
    </row>
    <row r="166" ht="15.75" customHeight="1">
      <c r="A166" s="2"/>
      <c r="B166" s="2"/>
    </row>
    <row r="167" ht="15.75" customHeight="1">
      <c r="A167" s="2"/>
      <c r="B167" s="2"/>
    </row>
    <row r="168" ht="15.75" customHeight="1">
      <c r="A168" s="2"/>
      <c r="B168" s="2"/>
    </row>
    <row r="169" ht="15.75" customHeight="1">
      <c r="A169" s="2"/>
      <c r="B169" s="2"/>
    </row>
    <row r="170" ht="15.75" customHeight="1">
      <c r="A170" s="2"/>
      <c r="B170" s="2"/>
    </row>
    <row r="171" ht="15.75" customHeight="1">
      <c r="A171" s="2"/>
      <c r="B171" s="2"/>
    </row>
    <row r="172" ht="15.75" customHeight="1">
      <c r="A172" s="2"/>
      <c r="B172" s="2"/>
    </row>
    <row r="173" ht="15.75" customHeight="1">
      <c r="A173" s="2"/>
      <c r="B173" s="2"/>
    </row>
    <row r="174" ht="15.75" customHeight="1">
      <c r="A174" s="2"/>
      <c r="B174" s="2"/>
    </row>
    <row r="175" ht="15.75" customHeight="1">
      <c r="A175" s="2"/>
      <c r="B175" s="2"/>
    </row>
    <row r="176" ht="15.75" customHeight="1">
      <c r="A176" s="2"/>
      <c r="B176" s="2"/>
    </row>
    <row r="177" ht="15.75" customHeight="1">
      <c r="A177" s="2"/>
      <c r="B177" s="2"/>
    </row>
    <row r="178" ht="15.75" customHeight="1">
      <c r="A178" s="2"/>
      <c r="B178" s="2"/>
    </row>
    <row r="179" ht="15.75" customHeight="1">
      <c r="A179" s="2"/>
      <c r="B179" s="2"/>
    </row>
    <row r="180" ht="15.75" customHeight="1">
      <c r="A180" s="2"/>
      <c r="B180" s="2"/>
    </row>
    <row r="181" ht="15.75" customHeight="1">
      <c r="A181" s="2"/>
      <c r="B181" s="2"/>
    </row>
    <row r="182" ht="15.75" customHeight="1">
      <c r="A182" s="2"/>
      <c r="B182" s="2"/>
    </row>
    <row r="183" ht="15.75" customHeight="1">
      <c r="A183" s="2"/>
      <c r="B183" s="2"/>
    </row>
    <row r="184" ht="15.75" customHeight="1">
      <c r="A184" s="2"/>
      <c r="B184" s="2"/>
    </row>
    <row r="185" ht="15.75" customHeight="1">
      <c r="A185" s="2"/>
      <c r="B185" s="2"/>
    </row>
    <row r="186" ht="15.75" customHeight="1">
      <c r="A186" s="2"/>
      <c r="B186" s="2"/>
    </row>
    <row r="187" ht="15.75" customHeight="1">
      <c r="A187" s="2"/>
      <c r="B187" s="2"/>
    </row>
    <row r="188" ht="15.75" customHeight="1">
      <c r="A188" s="2"/>
      <c r="B188" s="2"/>
    </row>
    <row r="189" ht="15.75" customHeight="1">
      <c r="A189" s="2"/>
      <c r="B189" s="2"/>
    </row>
    <row r="190" ht="15.75" customHeight="1">
      <c r="A190" s="2"/>
      <c r="B190" s="2"/>
    </row>
    <row r="191" ht="15.75" customHeight="1">
      <c r="A191" s="2"/>
      <c r="B191" s="2"/>
    </row>
    <row r="192" ht="15.75" customHeight="1">
      <c r="A192" s="2"/>
      <c r="B192" s="2"/>
    </row>
    <row r="193" ht="15.75" customHeight="1">
      <c r="A193" s="2"/>
      <c r="B193" s="2"/>
    </row>
    <row r="194" ht="15.75" customHeight="1">
      <c r="A194" s="2"/>
      <c r="B194" s="2"/>
    </row>
    <row r="195" ht="15.75" customHeight="1">
      <c r="A195" s="2"/>
      <c r="B195" s="2"/>
    </row>
    <row r="196" ht="15.75" customHeight="1">
      <c r="A196" s="2"/>
      <c r="B196" s="2"/>
    </row>
    <row r="197" ht="15.75" customHeight="1">
      <c r="A197" s="2"/>
      <c r="B197" s="2"/>
    </row>
    <row r="198" ht="15.75" customHeight="1">
      <c r="A198" s="2"/>
      <c r="B198" s="2"/>
    </row>
    <row r="199" ht="15.75" customHeight="1">
      <c r="A199" s="2"/>
      <c r="B199" s="2"/>
    </row>
    <row r="200" ht="15.75" customHeight="1">
      <c r="A200" s="2"/>
      <c r="B200" s="2"/>
    </row>
    <row r="201" ht="15.75" customHeight="1">
      <c r="A201" s="2"/>
      <c r="B201" s="2"/>
    </row>
    <row r="202" ht="15.75" customHeight="1">
      <c r="A202" s="2"/>
      <c r="B202" s="2"/>
    </row>
    <row r="203" ht="15.75" customHeight="1">
      <c r="A203" s="2"/>
      <c r="B203" s="2"/>
    </row>
    <row r="204" ht="15.75" customHeight="1">
      <c r="A204" s="2"/>
      <c r="B204" s="2"/>
    </row>
    <row r="205" ht="15.75" customHeight="1">
      <c r="A205" s="2"/>
      <c r="B205" s="2"/>
    </row>
    <row r="206" ht="15.75" customHeight="1">
      <c r="A206" s="2"/>
      <c r="B206" s="2"/>
    </row>
    <row r="207" ht="15.75" customHeight="1">
      <c r="A207" s="2"/>
      <c r="B207" s="2"/>
    </row>
    <row r="208" ht="15.75" customHeight="1">
      <c r="A208" s="2"/>
      <c r="B208" s="2"/>
    </row>
    <row r="209" ht="15.75" customHeight="1">
      <c r="A209" s="2"/>
      <c r="B209" s="2"/>
    </row>
    <row r="210" ht="15.75" customHeight="1">
      <c r="A210" s="2"/>
      <c r="B210" s="2"/>
    </row>
    <row r="211" ht="15.75" customHeight="1">
      <c r="A211" s="2"/>
      <c r="B211" s="2"/>
    </row>
    <row r="212" ht="15.75" customHeight="1">
      <c r="A212" s="2"/>
      <c r="B212" s="2"/>
    </row>
    <row r="213" ht="15.75" customHeight="1">
      <c r="A213" s="2"/>
      <c r="B213" s="2"/>
    </row>
    <row r="214" ht="15.75" customHeight="1">
      <c r="A214" s="2"/>
      <c r="B214" s="2"/>
    </row>
    <row r="215" ht="15.75" customHeight="1">
      <c r="A215" s="2"/>
      <c r="B215" s="2"/>
    </row>
    <row r="216" ht="15.75" customHeight="1">
      <c r="A216" s="2"/>
      <c r="B216" s="2"/>
    </row>
    <row r="217" ht="15.75" customHeight="1">
      <c r="A217" s="2"/>
      <c r="B217" s="2"/>
    </row>
    <row r="218" ht="15.75" customHeight="1">
      <c r="A218" s="2"/>
      <c r="B218" s="2"/>
    </row>
    <row r="219" ht="15.75" customHeight="1">
      <c r="A219" s="2"/>
      <c r="B219" s="2"/>
    </row>
    <row r="220" ht="15.75" customHeight="1">
      <c r="A220" s="2"/>
      <c r="B220" s="2"/>
    </row>
    <row r="221" ht="15.75" customHeight="1">
      <c r="A221" s="2"/>
      <c r="B221" s="2"/>
    </row>
    <row r="222" ht="15.75" customHeight="1">
      <c r="A222" s="2"/>
      <c r="B222" s="2"/>
    </row>
    <row r="223" ht="15.75" customHeight="1">
      <c r="A223" s="2"/>
      <c r="B223" s="2"/>
    </row>
    <row r="224" ht="15.75" customHeight="1">
      <c r="A224" s="2"/>
      <c r="B224" s="2"/>
    </row>
    <row r="225" ht="15.75" customHeight="1">
      <c r="A225" s="2"/>
      <c r="B225" s="2"/>
    </row>
    <row r="226" ht="15.75" customHeight="1">
      <c r="A226" s="2"/>
      <c r="B226" s="2"/>
    </row>
    <row r="227" ht="15.75" customHeight="1">
      <c r="A227" s="2"/>
      <c r="B227" s="2"/>
    </row>
    <row r="228" ht="15.75" customHeight="1">
      <c r="A228" s="2"/>
      <c r="B228" s="2"/>
    </row>
    <row r="229" ht="15.75" customHeight="1">
      <c r="A229" s="2"/>
      <c r="B229" s="2"/>
    </row>
    <row r="230" ht="15.75" customHeight="1">
      <c r="A230" s="2"/>
      <c r="B230" s="2"/>
    </row>
    <row r="231" ht="15.75" customHeight="1">
      <c r="A231" s="2"/>
      <c r="B231" s="2"/>
    </row>
    <row r="232" ht="15.75" customHeight="1">
      <c r="A232" s="2"/>
      <c r="B232" s="2"/>
    </row>
    <row r="233" ht="15.75" customHeight="1">
      <c r="A233" s="2"/>
      <c r="B233" s="2"/>
    </row>
    <row r="234" ht="15.75" customHeight="1">
      <c r="A234" s="2"/>
      <c r="B234" s="2"/>
    </row>
    <row r="235" ht="15.75" customHeight="1">
      <c r="A235" s="2"/>
      <c r="B235" s="2"/>
    </row>
    <row r="236" ht="15.75" customHeight="1">
      <c r="A236" s="2"/>
      <c r="B236" s="2"/>
    </row>
    <row r="237" ht="15.75" customHeight="1">
      <c r="A237" s="2"/>
      <c r="B237" s="2"/>
    </row>
    <row r="238" ht="15.75" customHeight="1">
      <c r="A238" s="2"/>
      <c r="B238" s="2"/>
    </row>
    <row r="239" ht="15.75" customHeight="1">
      <c r="A239" s="2"/>
      <c r="B239" s="2"/>
    </row>
    <row r="240" ht="15.75" customHeight="1">
      <c r="A240" s="2"/>
      <c r="B240" s="2"/>
    </row>
    <row r="241" ht="15.75" customHeight="1">
      <c r="A241" s="2"/>
      <c r="B241" s="2"/>
    </row>
    <row r="242" ht="15.75" customHeight="1">
      <c r="A242" s="2"/>
      <c r="B242" s="2"/>
    </row>
    <row r="243" ht="15.75" customHeight="1">
      <c r="A243" s="2"/>
      <c r="B243" s="2"/>
    </row>
    <row r="244" ht="15.75" customHeight="1">
      <c r="A244" s="2"/>
      <c r="B244" s="2"/>
    </row>
    <row r="245" ht="15.75" customHeight="1">
      <c r="A245" s="2"/>
      <c r="B245" s="2"/>
    </row>
    <row r="246" ht="15.75" customHeight="1">
      <c r="A246" s="2"/>
      <c r="B246" s="2"/>
    </row>
    <row r="247" ht="15.75" customHeight="1">
      <c r="A247" s="2"/>
      <c r="B247" s="2"/>
    </row>
    <row r="248" ht="15.75" customHeight="1">
      <c r="A248" s="2"/>
      <c r="B248" s="2"/>
    </row>
    <row r="249" ht="15.75" customHeight="1">
      <c r="A249" s="2"/>
      <c r="B249" s="2"/>
    </row>
    <row r="250" ht="15.75" customHeight="1">
      <c r="A250" s="2"/>
      <c r="B250" s="2"/>
    </row>
    <row r="251" ht="15.75" customHeight="1">
      <c r="A251" s="2"/>
      <c r="B251" s="2"/>
    </row>
    <row r="252" ht="15.75" customHeight="1">
      <c r="A252" s="2"/>
      <c r="B252" s="2"/>
    </row>
    <row r="253" ht="15.75" customHeight="1">
      <c r="A253" s="2"/>
      <c r="B253" s="2"/>
    </row>
    <row r="254" ht="15.75" customHeight="1">
      <c r="A254" s="2"/>
      <c r="B254" s="2"/>
    </row>
    <row r="255" ht="15.75" customHeight="1">
      <c r="A255" s="2"/>
      <c r="B255" s="2"/>
    </row>
    <row r="256" ht="15.75" customHeight="1">
      <c r="A256" s="2"/>
      <c r="B256" s="2"/>
    </row>
    <row r="257" ht="15.75" customHeight="1">
      <c r="A257" s="2"/>
      <c r="B257" s="2"/>
    </row>
    <row r="258" ht="15.75" customHeight="1">
      <c r="A258" s="2"/>
      <c r="B258" s="2"/>
    </row>
    <row r="259" ht="15.75" customHeight="1">
      <c r="A259" s="2"/>
      <c r="B259" s="2"/>
    </row>
    <row r="260" ht="15.75" customHeight="1">
      <c r="A260" s="2"/>
      <c r="B260" s="2"/>
    </row>
    <row r="261" ht="15.75" customHeight="1">
      <c r="A261" s="2"/>
      <c r="B261" s="2"/>
    </row>
    <row r="262" ht="15.75" customHeight="1">
      <c r="A262" s="2"/>
      <c r="B262" s="2"/>
    </row>
    <row r="263" ht="15.75" customHeight="1">
      <c r="A263" s="2"/>
      <c r="B263" s="2"/>
    </row>
    <row r="264" ht="15.75" customHeight="1">
      <c r="A264" s="2"/>
      <c r="B264" s="2"/>
    </row>
    <row r="265" ht="15.75" customHeight="1">
      <c r="A265" s="2"/>
      <c r="B265" s="2"/>
    </row>
    <row r="266" ht="15.75" customHeight="1">
      <c r="A266" s="2"/>
      <c r="B266" s="2"/>
    </row>
    <row r="267" ht="15.75" customHeight="1">
      <c r="A267" s="2"/>
      <c r="B267" s="2"/>
    </row>
    <row r="268" ht="15.75" customHeight="1">
      <c r="A268" s="2"/>
      <c r="B268" s="2"/>
    </row>
    <row r="269" ht="15.75" customHeight="1">
      <c r="A269" s="2"/>
      <c r="B269" s="2"/>
    </row>
    <row r="270" ht="15.75" customHeight="1">
      <c r="A270" s="2"/>
      <c r="B270" s="2"/>
    </row>
    <row r="271" ht="15.75" customHeight="1">
      <c r="A271" s="2"/>
      <c r="B271" s="2"/>
    </row>
    <row r="272" ht="15.75" customHeight="1">
      <c r="A272" s="2"/>
      <c r="B272" s="2"/>
    </row>
    <row r="273" ht="15.75" customHeight="1">
      <c r="A273" s="2"/>
      <c r="B273" s="2"/>
    </row>
    <row r="274" ht="15.75" customHeight="1">
      <c r="A274" s="2"/>
      <c r="B274" s="2"/>
    </row>
    <row r="275" ht="15.75" customHeight="1">
      <c r="A275" s="2"/>
      <c r="B275" s="2"/>
    </row>
    <row r="276" ht="15.75" customHeight="1">
      <c r="A276" s="2"/>
      <c r="B276" s="2"/>
    </row>
    <row r="277" ht="15.75" customHeight="1">
      <c r="A277" s="2"/>
      <c r="B277" s="2"/>
    </row>
    <row r="278" ht="15.75" customHeight="1">
      <c r="A278" s="2"/>
      <c r="B278" s="2"/>
    </row>
    <row r="279" ht="15.75" customHeight="1">
      <c r="A279" s="2"/>
      <c r="B279" s="2"/>
    </row>
    <row r="280" ht="15.75" customHeight="1">
      <c r="A280" s="2"/>
      <c r="B280" s="2"/>
    </row>
    <row r="281" ht="15.75" customHeight="1">
      <c r="A281" s="2"/>
      <c r="B281" s="2"/>
    </row>
    <row r="282" ht="15.75" customHeight="1">
      <c r="A282" s="2"/>
      <c r="B282" s="2"/>
    </row>
    <row r="283" ht="15.75" customHeight="1">
      <c r="A283" s="2"/>
      <c r="B283" s="2"/>
    </row>
    <row r="284" ht="15.75" customHeight="1">
      <c r="A284" s="2"/>
      <c r="B284" s="2"/>
    </row>
    <row r="285" ht="15.75" customHeight="1">
      <c r="A285" s="2"/>
      <c r="B285" s="2"/>
    </row>
    <row r="286" ht="15.75" customHeight="1">
      <c r="A286" s="2"/>
      <c r="B286" s="2"/>
    </row>
    <row r="287" ht="15.75" customHeight="1">
      <c r="A287" s="2"/>
      <c r="B287" s="2"/>
    </row>
    <row r="288" ht="15.75" customHeight="1">
      <c r="A288" s="2"/>
      <c r="B288" s="2"/>
    </row>
    <row r="289" ht="15.75" customHeight="1">
      <c r="A289" s="2"/>
      <c r="B289" s="2"/>
    </row>
    <row r="290" ht="15.75" customHeight="1">
      <c r="A290" s="2"/>
      <c r="B290" s="2"/>
    </row>
    <row r="291" ht="15.75" customHeight="1">
      <c r="A291" s="2"/>
      <c r="B291" s="2"/>
    </row>
    <row r="292" ht="15.75" customHeight="1">
      <c r="A292" s="2"/>
      <c r="B292" s="2"/>
    </row>
    <row r="293" ht="15.75" customHeight="1">
      <c r="A293" s="2"/>
      <c r="B293" s="2"/>
    </row>
    <row r="294" ht="15.75" customHeight="1">
      <c r="A294" s="2"/>
      <c r="B294" s="2"/>
    </row>
    <row r="295" ht="15.75" customHeight="1">
      <c r="A295" s="2"/>
      <c r="B295" s="2"/>
    </row>
    <row r="296" ht="15.75" customHeight="1">
      <c r="A296" s="2"/>
      <c r="B296" s="2"/>
    </row>
    <row r="297" ht="15.75" customHeight="1">
      <c r="A297" s="2"/>
      <c r="B297" s="2"/>
    </row>
    <row r="298" ht="15.75" customHeight="1">
      <c r="A298" s="2"/>
      <c r="B298" s="2"/>
    </row>
    <row r="299" ht="15.75" customHeight="1">
      <c r="A299" s="2"/>
      <c r="B299" s="2"/>
    </row>
    <row r="300" ht="15.75" customHeight="1">
      <c r="A300" s="2"/>
      <c r="B300" s="2"/>
    </row>
    <row r="301" ht="15.75" customHeight="1">
      <c r="A301" s="2"/>
      <c r="B301" s="2"/>
    </row>
    <row r="302" ht="15.75" customHeight="1">
      <c r="A302" s="2"/>
      <c r="B302" s="2"/>
    </row>
    <row r="303" ht="15.75" customHeight="1">
      <c r="A303" s="2"/>
      <c r="B303" s="2"/>
    </row>
    <row r="304" ht="15.75" customHeight="1">
      <c r="A304" s="2"/>
      <c r="B304" s="2"/>
    </row>
    <row r="305" ht="15.75" customHeight="1">
      <c r="A305" s="2"/>
      <c r="B305" s="2"/>
    </row>
    <row r="306" ht="15.75" customHeight="1">
      <c r="A306" s="2"/>
      <c r="B306" s="2"/>
    </row>
    <row r="307" ht="15.75" customHeight="1">
      <c r="A307" s="2"/>
      <c r="B307" s="2"/>
    </row>
    <row r="308" ht="15.75" customHeight="1">
      <c r="A308" s="2"/>
      <c r="B308" s="2"/>
    </row>
    <row r="309" ht="15.75" customHeight="1">
      <c r="A309" s="2"/>
      <c r="B309" s="2"/>
    </row>
    <row r="310" ht="15.75" customHeight="1">
      <c r="A310" s="2"/>
      <c r="B310" s="2"/>
    </row>
    <row r="311" ht="15.75" customHeight="1">
      <c r="A311" s="2"/>
      <c r="B311" s="2"/>
    </row>
    <row r="312" ht="15.75" customHeight="1">
      <c r="A312" s="2"/>
      <c r="B312" s="2"/>
    </row>
    <row r="313" ht="15.75" customHeight="1">
      <c r="A313" s="2"/>
      <c r="B313" s="2"/>
    </row>
    <row r="314" ht="15.75" customHeight="1">
      <c r="A314" s="2"/>
      <c r="B314" s="2"/>
    </row>
    <row r="315" ht="15.75" customHeight="1">
      <c r="A315" s="2"/>
      <c r="B315" s="2"/>
    </row>
    <row r="316" ht="15.75" customHeight="1">
      <c r="A316" s="2"/>
      <c r="B316" s="2"/>
    </row>
    <row r="317" ht="15.75" customHeight="1">
      <c r="A317" s="2"/>
      <c r="B317" s="2"/>
    </row>
    <row r="318" ht="15.75" customHeight="1">
      <c r="A318" s="2"/>
      <c r="B318" s="2"/>
    </row>
    <row r="319" ht="15.75" customHeight="1">
      <c r="A319" s="2"/>
      <c r="B319" s="2"/>
    </row>
    <row r="320" ht="15.75" customHeight="1">
      <c r="A320" s="2"/>
      <c r="B320" s="2"/>
    </row>
    <row r="321" ht="15.75" customHeight="1">
      <c r="A321" s="2"/>
      <c r="B321" s="2"/>
    </row>
    <row r="322" ht="15.75" customHeight="1">
      <c r="A322" s="2"/>
      <c r="B322" s="2"/>
    </row>
    <row r="323" ht="15.75" customHeight="1">
      <c r="A323" s="2"/>
      <c r="B323" s="2"/>
    </row>
    <row r="324" ht="15.75" customHeight="1">
      <c r="A324" s="2"/>
      <c r="B324" s="2"/>
    </row>
    <row r="325" ht="15.75" customHeight="1">
      <c r="A325" s="2"/>
      <c r="B325" s="2"/>
    </row>
    <row r="326" ht="15.75" customHeight="1">
      <c r="A326" s="2"/>
      <c r="B326" s="2"/>
    </row>
    <row r="327" ht="15.75" customHeight="1">
      <c r="A327" s="2"/>
      <c r="B327" s="2"/>
    </row>
    <row r="328" ht="15.75" customHeight="1">
      <c r="A328" s="2"/>
      <c r="B328" s="2"/>
    </row>
    <row r="329" ht="15.75" customHeight="1">
      <c r="A329" s="2"/>
      <c r="B329" s="2"/>
    </row>
    <row r="330" ht="15.75" customHeight="1">
      <c r="A330" s="2"/>
      <c r="B330" s="2"/>
    </row>
    <row r="331" ht="15.75" customHeight="1">
      <c r="A331" s="2"/>
      <c r="B331" s="2"/>
    </row>
    <row r="332" ht="15.75" customHeight="1">
      <c r="A332" s="2"/>
      <c r="B332" s="2"/>
    </row>
    <row r="333" ht="15.75" customHeight="1">
      <c r="A333" s="2"/>
      <c r="B333" s="2"/>
    </row>
    <row r="334" ht="15.75" customHeight="1">
      <c r="A334" s="2"/>
      <c r="B334" s="2"/>
    </row>
    <row r="335" ht="15.75" customHeight="1">
      <c r="A335" s="2"/>
      <c r="B335" s="2"/>
    </row>
    <row r="336" ht="15.75" customHeight="1">
      <c r="A336" s="2"/>
      <c r="B336" s="2"/>
    </row>
    <row r="337" ht="15.75" customHeight="1">
      <c r="A337" s="2"/>
      <c r="B337" s="2"/>
    </row>
    <row r="338" ht="15.75" customHeight="1">
      <c r="A338" s="2"/>
      <c r="B338" s="2"/>
    </row>
    <row r="339" ht="15.75" customHeight="1">
      <c r="A339" s="2"/>
      <c r="B339" s="2"/>
    </row>
    <row r="340" ht="15.75" customHeight="1">
      <c r="A340" s="2"/>
      <c r="B340" s="2"/>
    </row>
    <row r="341" ht="15.75" customHeight="1">
      <c r="A341" s="2"/>
      <c r="B341" s="2"/>
    </row>
    <row r="342" ht="15.75" customHeight="1">
      <c r="A342" s="2"/>
      <c r="B342" s="2"/>
    </row>
    <row r="343" ht="15.75" customHeight="1">
      <c r="A343" s="2"/>
      <c r="B343" s="2"/>
    </row>
    <row r="344" ht="15.75" customHeight="1">
      <c r="A344" s="2"/>
      <c r="B344" s="2"/>
    </row>
    <row r="345" ht="15.75" customHeight="1">
      <c r="A345" s="2"/>
      <c r="B345" s="2"/>
    </row>
    <row r="346" ht="15.75" customHeight="1">
      <c r="A346" s="2"/>
      <c r="B346" s="2"/>
    </row>
    <row r="347" ht="15.75" customHeight="1">
      <c r="A347" s="2"/>
      <c r="B347" s="2"/>
    </row>
    <row r="348" ht="15.75" customHeight="1">
      <c r="A348" s="2"/>
      <c r="B348" s="2"/>
    </row>
    <row r="349" ht="15.75" customHeight="1">
      <c r="A349" s="2"/>
      <c r="B349" s="2"/>
    </row>
    <row r="350" ht="15.75" customHeight="1">
      <c r="A350" s="2"/>
      <c r="B350" s="2"/>
    </row>
    <row r="351" ht="15.75" customHeight="1">
      <c r="A351" s="2"/>
      <c r="B351" s="2"/>
    </row>
    <row r="352" ht="15.75" customHeight="1">
      <c r="A352" s="2"/>
      <c r="B352" s="2"/>
    </row>
    <row r="353" ht="15.75" customHeight="1">
      <c r="A353" s="2"/>
      <c r="B353" s="2"/>
    </row>
    <row r="354" ht="15.75" customHeight="1">
      <c r="A354" s="2"/>
      <c r="B354" s="2"/>
    </row>
    <row r="355" ht="15.75" customHeight="1">
      <c r="A355" s="2"/>
      <c r="B355" s="2"/>
    </row>
    <row r="356" ht="15.75" customHeight="1">
      <c r="A356" s="2"/>
      <c r="B356" s="2"/>
    </row>
    <row r="357" ht="15.75" customHeight="1">
      <c r="A357" s="2"/>
      <c r="B357" s="2"/>
    </row>
    <row r="358" ht="15.75" customHeight="1">
      <c r="A358" s="2"/>
      <c r="B358" s="2"/>
    </row>
    <row r="359" ht="15.75" customHeight="1">
      <c r="A359" s="2"/>
      <c r="B359" s="2"/>
    </row>
    <row r="360" ht="15.75" customHeight="1">
      <c r="A360" s="2"/>
      <c r="B360" s="2"/>
    </row>
    <row r="361" ht="15.75" customHeight="1">
      <c r="A361" s="2"/>
      <c r="B361" s="2"/>
    </row>
    <row r="362" ht="15.75" customHeight="1">
      <c r="A362" s="2"/>
      <c r="B362" s="2"/>
    </row>
    <row r="363" ht="15.75" customHeight="1">
      <c r="A363" s="2"/>
      <c r="B363" s="2"/>
    </row>
    <row r="364" ht="15.75" customHeight="1">
      <c r="A364" s="2"/>
      <c r="B364" s="2"/>
    </row>
    <row r="365" ht="15.75" customHeight="1">
      <c r="A365" s="2"/>
      <c r="B365" s="2"/>
    </row>
    <row r="366" ht="15.75" customHeight="1">
      <c r="A366" s="2"/>
      <c r="B366" s="2"/>
    </row>
    <row r="367" ht="15.75" customHeight="1">
      <c r="A367" s="2"/>
      <c r="B367" s="2"/>
    </row>
    <row r="368" ht="15.75" customHeight="1">
      <c r="A368" s="2"/>
      <c r="B368" s="2"/>
    </row>
    <row r="369" ht="15.75" customHeight="1">
      <c r="A369" s="2"/>
      <c r="B369" s="2"/>
    </row>
    <row r="370" ht="15.75" customHeight="1">
      <c r="A370" s="2"/>
      <c r="B370" s="2"/>
    </row>
    <row r="371" ht="15.75" customHeight="1">
      <c r="A371" s="2"/>
      <c r="B371" s="2"/>
    </row>
    <row r="372" ht="15.75" customHeight="1">
      <c r="A372" s="2"/>
      <c r="B372" s="2"/>
    </row>
    <row r="373" ht="15.75" customHeight="1">
      <c r="A373" s="2"/>
      <c r="B373" s="2"/>
    </row>
    <row r="374" ht="15.75" customHeight="1">
      <c r="A374" s="2"/>
      <c r="B374" s="2"/>
    </row>
    <row r="375" ht="15.75" customHeight="1">
      <c r="A375" s="2"/>
      <c r="B375" s="2"/>
    </row>
    <row r="376" ht="15.75" customHeight="1">
      <c r="A376" s="2"/>
      <c r="B376" s="2"/>
    </row>
    <row r="377" ht="15.75" customHeight="1">
      <c r="A377" s="2"/>
      <c r="B377" s="2"/>
    </row>
    <row r="378" ht="15.75" customHeight="1">
      <c r="A378" s="2"/>
      <c r="B378" s="2"/>
    </row>
    <row r="379" ht="15.75" customHeight="1">
      <c r="A379" s="2"/>
      <c r="B379" s="2"/>
    </row>
    <row r="380" ht="15.75" customHeight="1">
      <c r="A380" s="2"/>
      <c r="B380" s="2"/>
    </row>
    <row r="381" ht="15.75" customHeight="1">
      <c r="A381" s="2"/>
      <c r="B381" s="2"/>
    </row>
    <row r="382" ht="15.75" customHeight="1">
      <c r="A382" s="2"/>
      <c r="B382" s="2"/>
    </row>
    <row r="383" ht="15.75" customHeight="1">
      <c r="A383" s="2"/>
      <c r="B383" s="2"/>
    </row>
    <row r="384" ht="15.75" customHeight="1">
      <c r="A384" s="2"/>
      <c r="B384" s="2"/>
    </row>
    <row r="385" ht="15.75" customHeight="1">
      <c r="A385" s="2"/>
      <c r="B385" s="2"/>
    </row>
    <row r="386" ht="15.75" customHeight="1">
      <c r="A386" s="2"/>
      <c r="B386" s="2"/>
    </row>
    <row r="387" ht="15.75" customHeight="1">
      <c r="A387" s="2"/>
      <c r="B387" s="2"/>
    </row>
    <row r="388" ht="15.75" customHeight="1">
      <c r="A388" s="2"/>
      <c r="B388" s="2"/>
    </row>
    <row r="389" ht="15.75" customHeight="1">
      <c r="A389" s="2"/>
      <c r="B389" s="2"/>
    </row>
    <row r="390" ht="15.75" customHeight="1">
      <c r="A390" s="2"/>
      <c r="B390" s="2"/>
    </row>
    <row r="391" ht="15.75" customHeight="1">
      <c r="A391" s="2"/>
      <c r="B391" s="2"/>
    </row>
    <row r="392" ht="15.75" customHeight="1">
      <c r="A392" s="2"/>
      <c r="B392" s="2"/>
    </row>
    <row r="393" ht="15.75" customHeight="1">
      <c r="A393" s="2"/>
      <c r="B393" s="2"/>
    </row>
    <row r="394" ht="15.75" customHeight="1">
      <c r="A394" s="2"/>
      <c r="B394" s="2"/>
    </row>
    <row r="395" ht="15.75" customHeight="1">
      <c r="A395" s="2"/>
      <c r="B395" s="2"/>
    </row>
    <row r="396" ht="15.75" customHeight="1">
      <c r="A396" s="2"/>
      <c r="B396" s="2"/>
    </row>
    <row r="397" ht="15.75" customHeight="1">
      <c r="A397" s="2"/>
      <c r="B397" s="2"/>
    </row>
    <row r="398" ht="15.75" customHeight="1">
      <c r="A398" s="2"/>
      <c r="B398" s="2"/>
    </row>
    <row r="399" ht="15.75" customHeight="1">
      <c r="A399" s="2"/>
      <c r="B399" s="2"/>
    </row>
    <row r="400" ht="15.75" customHeight="1">
      <c r="A400" s="2"/>
      <c r="B400" s="2"/>
    </row>
    <row r="401" ht="15.75" customHeight="1">
      <c r="A401" s="2"/>
      <c r="B401" s="2"/>
    </row>
    <row r="402" ht="15.75" customHeight="1">
      <c r="A402" s="2"/>
      <c r="B402" s="2"/>
    </row>
    <row r="403" ht="15.75" customHeight="1">
      <c r="A403" s="2"/>
      <c r="B403" s="2"/>
    </row>
    <row r="404" ht="15.75" customHeight="1">
      <c r="A404" s="2"/>
      <c r="B404" s="2"/>
    </row>
    <row r="405" ht="15.75" customHeight="1">
      <c r="A405" s="2"/>
      <c r="B405" s="2"/>
    </row>
    <row r="406" ht="15.75" customHeight="1">
      <c r="A406" s="2"/>
      <c r="B406" s="2"/>
    </row>
    <row r="407" ht="15.75" customHeight="1">
      <c r="A407" s="2"/>
      <c r="B407" s="2"/>
    </row>
    <row r="408" ht="15.75" customHeight="1">
      <c r="A408" s="2"/>
      <c r="B408" s="2"/>
    </row>
    <row r="409" ht="15.75" customHeight="1">
      <c r="A409" s="2"/>
      <c r="B409" s="2"/>
    </row>
    <row r="410" ht="15.75" customHeight="1">
      <c r="A410" s="2"/>
      <c r="B410" s="2"/>
    </row>
    <row r="411" ht="15.75" customHeight="1">
      <c r="A411" s="2"/>
      <c r="B411" s="2"/>
    </row>
    <row r="412" ht="15.75" customHeight="1">
      <c r="A412" s="2"/>
      <c r="B412" s="2"/>
    </row>
    <row r="413" ht="15.75" customHeight="1">
      <c r="A413" s="2"/>
      <c r="B413" s="2"/>
    </row>
    <row r="414" ht="15.75" customHeight="1">
      <c r="A414" s="2"/>
      <c r="B414" s="2"/>
    </row>
    <row r="415" ht="15.75" customHeight="1">
      <c r="A415" s="2"/>
      <c r="B415" s="2"/>
    </row>
    <row r="416" ht="15.75" customHeight="1">
      <c r="A416" s="2"/>
      <c r="B416" s="2"/>
    </row>
    <row r="417" ht="15.75" customHeight="1">
      <c r="A417" s="2"/>
      <c r="B417" s="2"/>
    </row>
    <row r="418" ht="15.75" customHeight="1">
      <c r="A418" s="2"/>
      <c r="B418" s="2"/>
    </row>
    <row r="419" ht="15.75" customHeight="1">
      <c r="A419" s="2"/>
      <c r="B419" s="2"/>
    </row>
    <row r="420" ht="15.75" customHeight="1">
      <c r="A420" s="2"/>
      <c r="B420" s="2"/>
    </row>
    <row r="421" ht="15.75" customHeight="1">
      <c r="A421" s="2"/>
      <c r="B421" s="2"/>
    </row>
    <row r="422" ht="15.75" customHeight="1">
      <c r="A422" s="2"/>
      <c r="B422" s="2"/>
    </row>
    <row r="423" ht="15.75" customHeight="1">
      <c r="A423" s="2"/>
      <c r="B423" s="2"/>
    </row>
    <row r="424" ht="15.75" customHeight="1">
      <c r="A424" s="2"/>
      <c r="B424" s="2"/>
    </row>
    <row r="425" ht="15.75" customHeight="1">
      <c r="A425" s="2"/>
      <c r="B425" s="2"/>
    </row>
    <row r="426" ht="15.75" customHeight="1">
      <c r="A426" s="2"/>
      <c r="B426" s="2"/>
    </row>
    <row r="427" ht="15.75" customHeight="1">
      <c r="A427" s="2"/>
      <c r="B427" s="2"/>
    </row>
    <row r="428" ht="15.75" customHeight="1">
      <c r="A428" s="2"/>
      <c r="B428" s="2"/>
    </row>
    <row r="429" ht="15.75" customHeight="1">
      <c r="A429" s="2"/>
      <c r="B429" s="2"/>
    </row>
    <row r="430" ht="15.75" customHeight="1">
      <c r="A430" s="2"/>
      <c r="B430" s="2"/>
    </row>
    <row r="431" ht="15.75" customHeight="1">
      <c r="A431" s="2"/>
      <c r="B431" s="2"/>
    </row>
    <row r="432" ht="15.75" customHeight="1">
      <c r="A432" s="2"/>
      <c r="B432" s="2"/>
    </row>
    <row r="433" ht="15.75" customHeight="1">
      <c r="A433" s="2"/>
      <c r="B433" s="2"/>
    </row>
    <row r="434" ht="15.75" customHeight="1">
      <c r="A434" s="2"/>
      <c r="B434" s="2"/>
    </row>
    <row r="435" ht="15.75" customHeight="1">
      <c r="A435" s="2"/>
      <c r="B435" s="2"/>
    </row>
    <row r="436" ht="15.75" customHeight="1">
      <c r="A436" s="2"/>
      <c r="B436" s="2"/>
    </row>
    <row r="437" ht="15.75" customHeight="1">
      <c r="A437" s="2"/>
      <c r="B437" s="2"/>
    </row>
    <row r="438" ht="15.75" customHeight="1">
      <c r="A438" s="2"/>
      <c r="B438" s="2"/>
    </row>
    <row r="439" ht="15.75" customHeight="1">
      <c r="A439" s="2"/>
      <c r="B439" s="2"/>
    </row>
    <row r="440" ht="15.75" customHeight="1">
      <c r="A440" s="2"/>
      <c r="B440" s="2"/>
    </row>
    <row r="441" ht="15.75" customHeight="1">
      <c r="A441" s="2"/>
      <c r="B441" s="2"/>
    </row>
    <row r="442" ht="15.75" customHeight="1">
      <c r="A442" s="2"/>
      <c r="B442" s="2"/>
    </row>
    <row r="443" ht="15.75" customHeight="1">
      <c r="A443" s="2"/>
      <c r="B443" s="2"/>
    </row>
    <row r="444" ht="15.75" customHeight="1">
      <c r="A444" s="2"/>
      <c r="B444" s="2"/>
    </row>
    <row r="445" ht="15.75" customHeight="1">
      <c r="A445" s="2"/>
      <c r="B445" s="2"/>
    </row>
    <row r="446" ht="15.75" customHeight="1">
      <c r="A446" s="2"/>
      <c r="B446" s="2"/>
    </row>
    <row r="447" ht="15.75" customHeight="1">
      <c r="A447" s="2"/>
      <c r="B447" s="2"/>
    </row>
    <row r="448" ht="15.75" customHeight="1">
      <c r="A448" s="2"/>
      <c r="B448" s="2"/>
    </row>
    <row r="449" ht="15.75" customHeight="1">
      <c r="A449" s="2"/>
      <c r="B449" s="2"/>
    </row>
    <row r="450" ht="15.75" customHeight="1">
      <c r="A450" s="2"/>
      <c r="B450" s="2"/>
    </row>
    <row r="451" ht="15.75" customHeight="1">
      <c r="A451" s="2"/>
      <c r="B451" s="2"/>
    </row>
    <row r="452" ht="15.75" customHeight="1">
      <c r="A452" s="2"/>
      <c r="B452" s="2"/>
    </row>
    <row r="453" ht="15.75" customHeight="1">
      <c r="A453" s="2"/>
      <c r="B453" s="2"/>
    </row>
    <row r="454" ht="15.75" customHeight="1">
      <c r="A454" s="2"/>
      <c r="B454" s="2"/>
    </row>
    <row r="455" ht="15.75" customHeight="1">
      <c r="A455" s="2"/>
      <c r="B455" s="2"/>
    </row>
    <row r="456" ht="15.75" customHeight="1">
      <c r="A456" s="2"/>
      <c r="B456" s="2"/>
    </row>
    <row r="457" ht="15.75" customHeight="1">
      <c r="A457" s="2"/>
      <c r="B457" s="2"/>
    </row>
    <row r="458" ht="15.75" customHeight="1">
      <c r="A458" s="2"/>
      <c r="B458" s="2"/>
    </row>
    <row r="459" ht="15.75" customHeight="1">
      <c r="A459" s="2"/>
      <c r="B459" s="2"/>
    </row>
    <row r="460" ht="15.75" customHeight="1">
      <c r="A460" s="2"/>
      <c r="B460" s="2"/>
    </row>
    <row r="461" ht="15.75" customHeight="1">
      <c r="A461" s="2"/>
      <c r="B461" s="2"/>
    </row>
    <row r="462" ht="15.75" customHeight="1">
      <c r="A462" s="2"/>
      <c r="B462" s="2"/>
    </row>
    <row r="463" ht="15.75" customHeight="1">
      <c r="A463" s="2"/>
      <c r="B463" s="2"/>
    </row>
    <row r="464" ht="15.75" customHeight="1">
      <c r="A464" s="2"/>
      <c r="B464" s="2"/>
    </row>
    <row r="465" ht="15.75" customHeight="1">
      <c r="A465" s="2"/>
      <c r="B465" s="2"/>
    </row>
    <row r="466" ht="15.75" customHeight="1">
      <c r="A466" s="2"/>
      <c r="B466" s="2"/>
    </row>
    <row r="467" ht="15.75" customHeight="1">
      <c r="A467" s="2"/>
      <c r="B467" s="2"/>
    </row>
    <row r="468" ht="15.75" customHeight="1">
      <c r="A468" s="2"/>
      <c r="B468" s="2"/>
    </row>
    <row r="469" ht="15.75" customHeight="1">
      <c r="A469" s="2"/>
      <c r="B469" s="2"/>
    </row>
    <row r="470" ht="15.75" customHeight="1">
      <c r="A470" s="2"/>
      <c r="B470" s="2"/>
    </row>
    <row r="471" ht="15.75" customHeight="1">
      <c r="A471" s="2"/>
      <c r="B471" s="2"/>
    </row>
    <row r="472" ht="15.75" customHeight="1">
      <c r="A472" s="2"/>
      <c r="B472" s="2"/>
    </row>
    <row r="473" ht="15.75" customHeight="1">
      <c r="A473" s="2"/>
      <c r="B473" s="2"/>
    </row>
    <row r="474" ht="15.75" customHeight="1">
      <c r="A474" s="2"/>
      <c r="B474" s="2"/>
    </row>
    <row r="475" ht="15.75" customHeight="1">
      <c r="A475" s="2"/>
      <c r="B475" s="2"/>
    </row>
    <row r="476" ht="15.75" customHeight="1">
      <c r="A476" s="2"/>
      <c r="B476" s="2"/>
    </row>
    <row r="477" ht="15.75" customHeight="1">
      <c r="A477" s="2"/>
      <c r="B477" s="2"/>
    </row>
    <row r="478" ht="15.75" customHeight="1">
      <c r="A478" s="2"/>
      <c r="B478" s="2"/>
    </row>
    <row r="479" ht="15.75" customHeight="1">
      <c r="A479" s="2"/>
      <c r="B479" s="2"/>
    </row>
    <row r="480" ht="15.75" customHeight="1">
      <c r="A480" s="2"/>
      <c r="B480" s="2"/>
    </row>
    <row r="481" ht="15.75" customHeight="1">
      <c r="A481" s="2"/>
      <c r="B481" s="2"/>
    </row>
    <row r="482" ht="15.75" customHeight="1">
      <c r="A482" s="2"/>
      <c r="B482" s="2"/>
    </row>
    <row r="483" ht="15.75" customHeight="1">
      <c r="A483" s="2"/>
      <c r="B483" s="2"/>
    </row>
    <row r="484" ht="15.75" customHeight="1">
      <c r="A484" s="2"/>
      <c r="B484" s="2"/>
    </row>
    <row r="485" ht="15.75" customHeight="1">
      <c r="A485" s="2"/>
      <c r="B485" s="2"/>
    </row>
    <row r="486" ht="15.75" customHeight="1">
      <c r="A486" s="2"/>
      <c r="B486" s="2"/>
    </row>
    <row r="487" ht="15.75" customHeight="1">
      <c r="A487" s="2"/>
      <c r="B487" s="2"/>
    </row>
    <row r="488" ht="15.75" customHeight="1">
      <c r="A488" s="2"/>
      <c r="B488" s="2"/>
    </row>
    <row r="489" ht="15.75" customHeight="1">
      <c r="A489" s="2"/>
      <c r="B489" s="2"/>
    </row>
    <row r="490" ht="15.75" customHeight="1">
      <c r="A490" s="2"/>
      <c r="B490" s="2"/>
    </row>
    <row r="491" ht="15.75" customHeight="1">
      <c r="A491" s="2"/>
      <c r="B491" s="2"/>
    </row>
    <row r="492" ht="15.75" customHeight="1">
      <c r="A492" s="2"/>
      <c r="B492" s="2"/>
    </row>
    <row r="493" ht="15.75" customHeight="1">
      <c r="A493" s="2"/>
      <c r="B493" s="2"/>
    </row>
    <row r="494" ht="15.75" customHeight="1">
      <c r="A494" s="2"/>
      <c r="B494" s="2"/>
    </row>
    <row r="495" ht="15.75" customHeight="1">
      <c r="A495" s="2"/>
      <c r="B495" s="2"/>
    </row>
    <row r="496" ht="15.75" customHeight="1">
      <c r="A496" s="2"/>
      <c r="B496" s="2"/>
    </row>
    <row r="497" ht="15.75" customHeight="1">
      <c r="A497" s="2"/>
      <c r="B497" s="2"/>
    </row>
    <row r="498" ht="15.75" customHeight="1">
      <c r="A498" s="2"/>
      <c r="B498" s="2"/>
    </row>
    <row r="499" ht="15.75" customHeight="1">
      <c r="A499" s="2"/>
      <c r="B499" s="2"/>
    </row>
    <row r="500" ht="15.75" customHeight="1">
      <c r="A500" s="2"/>
      <c r="B500" s="2"/>
    </row>
    <row r="501" ht="15.75" customHeight="1">
      <c r="A501" s="2"/>
      <c r="B501" s="2"/>
    </row>
    <row r="502" ht="15.75" customHeight="1">
      <c r="A502" s="2"/>
      <c r="B502" s="2"/>
    </row>
    <row r="503" ht="15.75" customHeight="1">
      <c r="A503" s="2"/>
      <c r="B503" s="2"/>
    </row>
    <row r="504" ht="15.75" customHeight="1">
      <c r="A504" s="2"/>
      <c r="B504" s="2"/>
    </row>
    <row r="505" ht="15.75" customHeight="1">
      <c r="A505" s="2"/>
      <c r="B505" s="2"/>
    </row>
    <row r="506" ht="15.75" customHeight="1">
      <c r="A506" s="2"/>
      <c r="B506" s="2"/>
    </row>
    <row r="507" ht="15.75" customHeight="1">
      <c r="A507" s="2"/>
      <c r="B507" s="2"/>
    </row>
    <row r="508" ht="15.75" customHeight="1">
      <c r="A508" s="2"/>
      <c r="B508" s="2"/>
    </row>
    <row r="509" ht="15.75" customHeight="1">
      <c r="A509" s="2"/>
      <c r="B509" s="2"/>
    </row>
    <row r="510" ht="15.75" customHeight="1">
      <c r="A510" s="2"/>
      <c r="B510" s="2"/>
    </row>
    <row r="511" ht="15.75" customHeight="1">
      <c r="A511" s="2"/>
      <c r="B511" s="2"/>
    </row>
    <row r="512" ht="15.75" customHeight="1">
      <c r="A512" s="2"/>
      <c r="B512" s="2"/>
    </row>
    <row r="513" ht="15.75" customHeight="1">
      <c r="A513" s="2"/>
      <c r="B513" s="2"/>
    </row>
    <row r="514" ht="15.75" customHeight="1">
      <c r="A514" s="2"/>
      <c r="B514" s="2"/>
    </row>
    <row r="515" ht="15.75" customHeight="1">
      <c r="A515" s="2"/>
      <c r="B515" s="2"/>
    </row>
    <row r="516" ht="15.75" customHeight="1">
      <c r="A516" s="2"/>
      <c r="B516" s="2"/>
    </row>
    <row r="517" ht="15.75" customHeight="1">
      <c r="A517" s="2"/>
      <c r="B517" s="2"/>
    </row>
    <row r="518" ht="15.75" customHeight="1">
      <c r="A518" s="2"/>
      <c r="B518" s="2"/>
    </row>
    <row r="519" ht="15.75" customHeight="1">
      <c r="A519" s="2"/>
      <c r="B519" s="2"/>
    </row>
    <row r="520" ht="15.75" customHeight="1">
      <c r="A520" s="2"/>
      <c r="B520" s="2"/>
    </row>
    <row r="521" ht="15.75" customHeight="1">
      <c r="A521" s="2"/>
      <c r="B521" s="2"/>
    </row>
    <row r="522" ht="15.75" customHeight="1">
      <c r="A522" s="2"/>
      <c r="B522" s="2"/>
    </row>
    <row r="523" ht="15.75" customHeight="1">
      <c r="A523" s="2"/>
      <c r="B523" s="2"/>
    </row>
    <row r="524" ht="15.75" customHeight="1">
      <c r="A524" s="2"/>
      <c r="B524" s="2"/>
    </row>
    <row r="525" ht="15.75" customHeight="1">
      <c r="A525" s="2"/>
      <c r="B525" s="2"/>
    </row>
    <row r="526" ht="15.75" customHeight="1">
      <c r="A526" s="2"/>
      <c r="B526" s="2"/>
    </row>
    <row r="527" ht="15.75" customHeight="1">
      <c r="A527" s="2"/>
      <c r="B527" s="2"/>
    </row>
    <row r="528" ht="15.75" customHeight="1">
      <c r="A528" s="2"/>
      <c r="B528" s="2"/>
    </row>
    <row r="529" ht="15.75" customHeight="1">
      <c r="A529" s="2"/>
      <c r="B529" s="2"/>
    </row>
    <row r="530" ht="15.75" customHeight="1">
      <c r="A530" s="2"/>
      <c r="B530" s="2"/>
    </row>
    <row r="531" ht="15.75" customHeight="1">
      <c r="A531" s="2"/>
      <c r="B531" s="2"/>
    </row>
    <row r="532" ht="15.75" customHeight="1">
      <c r="A532" s="2"/>
      <c r="B532" s="2"/>
    </row>
    <row r="533" ht="15.75" customHeight="1">
      <c r="A533" s="2"/>
      <c r="B533" s="2"/>
    </row>
    <row r="534" ht="15.75" customHeight="1">
      <c r="A534" s="2"/>
      <c r="B534" s="2"/>
    </row>
    <row r="535" ht="15.75" customHeight="1">
      <c r="A535" s="2"/>
      <c r="B535" s="2"/>
    </row>
    <row r="536" ht="15.75" customHeight="1">
      <c r="A536" s="2"/>
      <c r="B536" s="2"/>
    </row>
    <row r="537" ht="15.75" customHeight="1">
      <c r="A537" s="2"/>
      <c r="B537" s="2"/>
    </row>
    <row r="538" ht="15.75" customHeight="1">
      <c r="A538" s="2"/>
      <c r="B538" s="2"/>
    </row>
    <row r="539" ht="15.75" customHeight="1">
      <c r="A539" s="2"/>
      <c r="B539" s="2"/>
    </row>
    <row r="540" ht="15.75" customHeight="1">
      <c r="A540" s="2"/>
      <c r="B540" s="2"/>
    </row>
    <row r="541" ht="15.75" customHeight="1">
      <c r="A541" s="2"/>
      <c r="B541" s="2"/>
    </row>
    <row r="542" ht="15.75" customHeight="1">
      <c r="A542" s="2"/>
      <c r="B542" s="2"/>
    </row>
    <row r="543" ht="15.75" customHeight="1">
      <c r="A543" s="2"/>
      <c r="B543" s="2"/>
    </row>
    <row r="544" ht="15.75" customHeight="1">
      <c r="A544" s="2"/>
      <c r="B544" s="2"/>
    </row>
    <row r="545" ht="15.75" customHeight="1">
      <c r="A545" s="2"/>
      <c r="B545" s="2"/>
    </row>
    <row r="546" ht="15.75" customHeight="1">
      <c r="A546" s="2"/>
      <c r="B546" s="2"/>
    </row>
    <row r="547" ht="15.75" customHeight="1">
      <c r="A547" s="2"/>
      <c r="B547" s="2"/>
    </row>
    <row r="548" ht="15.75" customHeight="1">
      <c r="A548" s="2"/>
      <c r="B548" s="2"/>
    </row>
    <row r="549" ht="15.75" customHeight="1">
      <c r="A549" s="2"/>
      <c r="B549" s="2"/>
    </row>
    <row r="550" ht="15.75" customHeight="1">
      <c r="A550" s="2"/>
      <c r="B550" s="2"/>
    </row>
    <row r="551" ht="15.75" customHeight="1">
      <c r="A551" s="2"/>
      <c r="B551" s="2"/>
    </row>
    <row r="552" ht="15.75" customHeight="1">
      <c r="A552" s="2"/>
      <c r="B552" s="2"/>
    </row>
    <row r="553" ht="15.75" customHeight="1">
      <c r="A553" s="2"/>
      <c r="B553" s="2"/>
    </row>
    <row r="554" ht="15.75" customHeight="1">
      <c r="A554" s="2"/>
      <c r="B554" s="2"/>
    </row>
    <row r="555" ht="15.75" customHeight="1">
      <c r="A555" s="2"/>
      <c r="B555" s="2"/>
    </row>
    <row r="556" ht="15.75" customHeight="1">
      <c r="A556" s="2"/>
      <c r="B556" s="2"/>
    </row>
    <row r="557" ht="15.75" customHeight="1">
      <c r="A557" s="2"/>
      <c r="B557" s="2"/>
    </row>
    <row r="558" ht="15.75" customHeight="1">
      <c r="A558" s="2"/>
      <c r="B558" s="2"/>
    </row>
    <row r="559" ht="15.75" customHeight="1">
      <c r="A559" s="2"/>
      <c r="B559" s="2"/>
    </row>
    <row r="560" ht="15.75" customHeight="1">
      <c r="A560" s="2"/>
      <c r="B560" s="2"/>
    </row>
    <row r="561" ht="15.75" customHeight="1">
      <c r="A561" s="2"/>
      <c r="B561" s="2"/>
    </row>
    <row r="562" ht="15.75" customHeight="1">
      <c r="A562" s="2"/>
      <c r="B562" s="2"/>
    </row>
    <row r="563" ht="15.75" customHeight="1">
      <c r="A563" s="2"/>
      <c r="B563" s="2"/>
    </row>
    <row r="564" ht="15.75" customHeight="1">
      <c r="A564" s="2"/>
      <c r="B564" s="2"/>
    </row>
    <row r="565" ht="15.75" customHeight="1">
      <c r="A565" s="2"/>
      <c r="B565" s="2"/>
    </row>
    <row r="566" ht="15.75" customHeight="1">
      <c r="A566" s="2"/>
      <c r="B566" s="2"/>
    </row>
    <row r="567" ht="15.75" customHeight="1">
      <c r="A567" s="2"/>
      <c r="B567" s="2"/>
    </row>
    <row r="568" ht="15.75" customHeight="1">
      <c r="A568" s="2"/>
      <c r="B568" s="2"/>
    </row>
    <row r="569" ht="15.75" customHeight="1">
      <c r="A569" s="2"/>
      <c r="B569" s="2"/>
    </row>
    <row r="570" ht="15.75" customHeight="1">
      <c r="A570" s="2"/>
      <c r="B570" s="2"/>
    </row>
    <row r="571" ht="15.75" customHeight="1">
      <c r="A571" s="2"/>
      <c r="B571" s="2"/>
    </row>
    <row r="572" ht="15.75" customHeight="1">
      <c r="A572" s="2"/>
      <c r="B572" s="2"/>
    </row>
    <row r="573" ht="15.75" customHeight="1">
      <c r="A573" s="2"/>
      <c r="B573" s="2"/>
    </row>
    <row r="574" ht="15.75" customHeight="1">
      <c r="A574" s="2"/>
      <c r="B574" s="2"/>
    </row>
    <row r="575" ht="15.75" customHeight="1">
      <c r="A575" s="2"/>
      <c r="B575" s="2"/>
    </row>
    <row r="576" ht="15.75" customHeight="1">
      <c r="A576" s="2"/>
      <c r="B576" s="2"/>
    </row>
    <row r="577" ht="15.75" customHeight="1">
      <c r="A577" s="2"/>
      <c r="B577" s="2"/>
    </row>
    <row r="578" ht="15.75" customHeight="1">
      <c r="A578" s="2"/>
      <c r="B578" s="2"/>
    </row>
    <row r="579" ht="15.75" customHeight="1">
      <c r="A579" s="2"/>
      <c r="B579" s="2"/>
    </row>
    <row r="580" ht="15.75" customHeight="1">
      <c r="A580" s="2"/>
      <c r="B580" s="2"/>
    </row>
    <row r="581" ht="15.75" customHeight="1">
      <c r="A581" s="2"/>
      <c r="B581" s="2"/>
    </row>
    <row r="582" ht="15.75" customHeight="1">
      <c r="A582" s="2"/>
      <c r="B582" s="2"/>
    </row>
    <row r="583" ht="15.75" customHeight="1">
      <c r="A583" s="2"/>
      <c r="B583" s="2"/>
    </row>
    <row r="584" ht="15.75" customHeight="1">
      <c r="A584" s="2"/>
      <c r="B584" s="2"/>
    </row>
    <row r="585" ht="15.75" customHeight="1">
      <c r="A585" s="2"/>
      <c r="B585" s="2"/>
    </row>
    <row r="586" ht="15.75" customHeight="1">
      <c r="A586" s="2"/>
      <c r="B586" s="2"/>
    </row>
    <row r="587" ht="15.75" customHeight="1">
      <c r="A587" s="2"/>
      <c r="B587" s="2"/>
    </row>
    <row r="588" ht="15.75" customHeight="1">
      <c r="A588" s="2"/>
      <c r="B588" s="2"/>
    </row>
    <row r="589" ht="15.75" customHeight="1">
      <c r="A589" s="2"/>
      <c r="B589" s="2"/>
    </row>
    <row r="590" ht="15.75" customHeight="1">
      <c r="A590" s="2"/>
      <c r="B590" s="2"/>
    </row>
    <row r="591" ht="15.75" customHeight="1">
      <c r="A591" s="2"/>
      <c r="B591" s="2"/>
    </row>
    <row r="592" ht="15.75" customHeight="1">
      <c r="A592" s="2"/>
      <c r="B592" s="2"/>
    </row>
    <row r="593" ht="15.75" customHeight="1">
      <c r="A593" s="2"/>
      <c r="B593" s="2"/>
    </row>
    <row r="594" ht="15.75" customHeight="1">
      <c r="A594" s="2"/>
      <c r="B594" s="2"/>
    </row>
    <row r="595" ht="15.75" customHeight="1">
      <c r="A595" s="2"/>
      <c r="B595" s="2"/>
    </row>
    <row r="596" ht="15.75" customHeight="1">
      <c r="A596" s="2"/>
      <c r="B596" s="2"/>
    </row>
    <row r="597" ht="15.75" customHeight="1">
      <c r="A597" s="2"/>
      <c r="B597" s="2"/>
    </row>
    <row r="598" ht="15.75" customHeight="1">
      <c r="A598" s="2"/>
      <c r="B598" s="2"/>
    </row>
    <row r="599" ht="15.75" customHeight="1">
      <c r="A599" s="2"/>
      <c r="B599" s="2"/>
    </row>
    <row r="600" ht="15.75" customHeight="1">
      <c r="A600" s="2"/>
      <c r="B600" s="2"/>
    </row>
    <row r="601" ht="15.75" customHeight="1">
      <c r="A601" s="2"/>
      <c r="B601" s="2"/>
    </row>
    <row r="602" ht="15.75" customHeight="1">
      <c r="A602" s="2"/>
      <c r="B602" s="2"/>
    </row>
    <row r="603" ht="15.75" customHeight="1">
      <c r="A603" s="2"/>
      <c r="B603" s="2"/>
    </row>
    <row r="604" ht="15.75" customHeight="1">
      <c r="A604" s="2"/>
      <c r="B604" s="2"/>
    </row>
    <row r="605" ht="15.75" customHeight="1">
      <c r="A605" s="2"/>
      <c r="B605" s="2"/>
    </row>
    <row r="606" ht="15.75" customHeight="1">
      <c r="A606" s="2"/>
      <c r="B606" s="2"/>
    </row>
    <row r="607" ht="15.75" customHeight="1">
      <c r="A607" s="2"/>
      <c r="B607" s="2"/>
    </row>
    <row r="608" ht="15.75" customHeight="1">
      <c r="A608" s="2"/>
      <c r="B608" s="2"/>
    </row>
    <row r="609" ht="15.75" customHeight="1">
      <c r="A609" s="2"/>
      <c r="B609" s="2"/>
    </row>
    <row r="610" ht="15.75" customHeight="1">
      <c r="A610" s="2"/>
      <c r="B610" s="2"/>
    </row>
    <row r="611" ht="15.75" customHeight="1">
      <c r="A611" s="2"/>
      <c r="B611" s="2"/>
    </row>
    <row r="612" ht="15.75" customHeight="1">
      <c r="A612" s="2"/>
      <c r="B612" s="2"/>
    </row>
    <row r="613" ht="15.75" customHeight="1">
      <c r="A613" s="2"/>
      <c r="B613" s="2"/>
    </row>
    <row r="614" ht="15.75" customHeight="1">
      <c r="A614" s="2"/>
      <c r="B614" s="2"/>
    </row>
    <row r="615" ht="15.75" customHeight="1">
      <c r="A615" s="2"/>
      <c r="B615" s="2"/>
    </row>
    <row r="616" ht="15.75" customHeight="1">
      <c r="A616" s="2"/>
      <c r="B616" s="2"/>
    </row>
    <row r="617" ht="15.75" customHeight="1">
      <c r="A617" s="2"/>
      <c r="B617" s="2"/>
    </row>
    <row r="618" ht="15.75" customHeight="1">
      <c r="A618" s="2"/>
      <c r="B618" s="2"/>
    </row>
    <row r="619" ht="15.75" customHeight="1">
      <c r="A619" s="2"/>
      <c r="B619" s="2"/>
    </row>
    <row r="620" ht="15.75" customHeight="1">
      <c r="A620" s="2"/>
      <c r="B620" s="2"/>
    </row>
    <row r="621" ht="15.75" customHeight="1">
      <c r="A621" s="2"/>
      <c r="B621" s="2"/>
    </row>
    <row r="622" ht="15.75" customHeight="1">
      <c r="A622" s="2"/>
      <c r="B622" s="2"/>
    </row>
    <row r="623" ht="15.75" customHeight="1">
      <c r="A623" s="2"/>
      <c r="B623" s="2"/>
    </row>
    <row r="624" ht="15.75" customHeight="1">
      <c r="A624" s="2"/>
      <c r="B624" s="2"/>
    </row>
    <row r="625" ht="15.75" customHeight="1">
      <c r="A625" s="2"/>
      <c r="B625" s="2"/>
    </row>
    <row r="626" ht="15.75" customHeight="1">
      <c r="A626" s="2"/>
      <c r="B626" s="2"/>
    </row>
    <row r="627" ht="15.75" customHeight="1">
      <c r="A627" s="2"/>
      <c r="B627" s="2"/>
    </row>
    <row r="628" ht="15.75" customHeight="1">
      <c r="A628" s="2"/>
      <c r="B628" s="2"/>
    </row>
    <row r="629" ht="15.75" customHeight="1">
      <c r="A629" s="2"/>
      <c r="B629" s="2"/>
    </row>
    <row r="630" ht="15.75" customHeight="1">
      <c r="A630" s="2"/>
      <c r="B630" s="2"/>
    </row>
    <row r="631" ht="15.75" customHeight="1">
      <c r="A631" s="2"/>
      <c r="B631" s="2"/>
    </row>
    <row r="632" ht="15.75" customHeight="1">
      <c r="A632" s="2"/>
      <c r="B632" s="2"/>
    </row>
    <row r="633" ht="15.75" customHeight="1">
      <c r="A633" s="2"/>
      <c r="B633" s="2"/>
    </row>
    <row r="634" ht="15.75" customHeight="1">
      <c r="A634" s="2"/>
      <c r="B634" s="2"/>
    </row>
    <row r="635" ht="15.75" customHeight="1">
      <c r="A635" s="2"/>
      <c r="B635" s="2"/>
    </row>
    <row r="636" ht="15.75" customHeight="1">
      <c r="A636" s="2"/>
      <c r="B636" s="2"/>
    </row>
    <row r="637" ht="15.75" customHeight="1">
      <c r="A637" s="2"/>
      <c r="B637" s="2"/>
    </row>
    <row r="638" ht="15.75" customHeight="1">
      <c r="A638" s="2"/>
      <c r="B638" s="2"/>
    </row>
    <row r="639" ht="15.75" customHeight="1">
      <c r="A639" s="2"/>
      <c r="B639" s="2"/>
    </row>
    <row r="640" ht="15.75" customHeight="1">
      <c r="A640" s="2"/>
      <c r="B640" s="2"/>
    </row>
    <row r="641" ht="15.75" customHeight="1">
      <c r="A641" s="2"/>
      <c r="B641" s="2"/>
    </row>
    <row r="642" ht="15.75" customHeight="1">
      <c r="A642" s="2"/>
      <c r="B642" s="2"/>
    </row>
    <row r="643" ht="15.75" customHeight="1">
      <c r="A643" s="2"/>
      <c r="B643" s="2"/>
    </row>
    <row r="644" ht="15.75" customHeight="1">
      <c r="A644" s="2"/>
      <c r="B644" s="2"/>
    </row>
    <row r="645" ht="15.75" customHeight="1">
      <c r="A645" s="2"/>
      <c r="B645" s="2"/>
    </row>
    <row r="646" ht="15.75" customHeight="1">
      <c r="A646" s="2"/>
      <c r="B646" s="2"/>
    </row>
    <row r="647" ht="15.75" customHeight="1">
      <c r="A647" s="2"/>
      <c r="B647" s="2"/>
    </row>
    <row r="648" ht="15.75" customHeight="1">
      <c r="A648" s="2"/>
      <c r="B648" s="2"/>
    </row>
    <row r="649" ht="15.75" customHeight="1">
      <c r="A649" s="2"/>
      <c r="B649" s="2"/>
    </row>
    <row r="650" ht="15.75" customHeight="1">
      <c r="A650" s="2"/>
      <c r="B650" s="2"/>
    </row>
    <row r="651" ht="15.75" customHeight="1">
      <c r="A651" s="2"/>
      <c r="B651" s="2"/>
    </row>
    <row r="652" ht="15.75" customHeight="1">
      <c r="A652" s="2"/>
      <c r="B652" s="2"/>
    </row>
    <row r="653" ht="15.75" customHeight="1">
      <c r="A653" s="2"/>
      <c r="B653" s="2"/>
    </row>
    <row r="654" ht="15.75" customHeight="1">
      <c r="A654" s="2"/>
      <c r="B654" s="2"/>
    </row>
    <row r="655" ht="15.75" customHeight="1">
      <c r="A655" s="2"/>
      <c r="B655" s="2"/>
    </row>
    <row r="656" ht="15.75" customHeight="1">
      <c r="A656" s="2"/>
      <c r="B656" s="2"/>
    </row>
    <row r="657" ht="15.75" customHeight="1">
      <c r="A657" s="2"/>
      <c r="B657" s="2"/>
    </row>
    <row r="658" ht="15.75" customHeight="1">
      <c r="A658" s="2"/>
      <c r="B658" s="2"/>
    </row>
    <row r="659" ht="15.75" customHeight="1">
      <c r="A659" s="2"/>
      <c r="B659" s="2"/>
    </row>
    <row r="660" ht="15.75" customHeight="1">
      <c r="A660" s="2"/>
      <c r="B660" s="2"/>
    </row>
    <row r="661" ht="15.75" customHeight="1">
      <c r="A661" s="2"/>
      <c r="B661" s="2"/>
    </row>
    <row r="662" ht="15.75" customHeight="1">
      <c r="A662" s="2"/>
      <c r="B662" s="2"/>
    </row>
    <row r="663" ht="15.75" customHeight="1">
      <c r="A663" s="2"/>
      <c r="B663" s="2"/>
    </row>
    <row r="664" ht="15.75" customHeight="1">
      <c r="A664" s="2"/>
      <c r="B664" s="2"/>
    </row>
    <row r="665" ht="15.75" customHeight="1">
      <c r="A665" s="2"/>
      <c r="B665" s="2"/>
    </row>
    <row r="666" ht="15.75" customHeight="1">
      <c r="A666" s="2"/>
      <c r="B666" s="2"/>
    </row>
    <row r="667" ht="15.75" customHeight="1">
      <c r="A667" s="2"/>
      <c r="B667" s="2"/>
    </row>
    <row r="668" ht="15.75" customHeight="1">
      <c r="A668" s="2"/>
      <c r="B668" s="2"/>
    </row>
    <row r="669" ht="15.75" customHeight="1">
      <c r="A669" s="2"/>
      <c r="B669" s="2"/>
    </row>
    <row r="670" ht="15.75" customHeight="1">
      <c r="A670" s="2"/>
      <c r="B670" s="2"/>
    </row>
    <row r="671" ht="15.75" customHeight="1">
      <c r="A671" s="2"/>
      <c r="B671" s="2"/>
    </row>
    <row r="672" ht="15.75" customHeight="1">
      <c r="A672" s="2"/>
      <c r="B672" s="2"/>
    </row>
    <row r="673" ht="15.75" customHeight="1">
      <c r="A673" s="2"/>
      <c r="B673" s="2"/>
    </row>
    <row r="674" ht="15.75" customHeight="1">
      <c r="A674" s="2"/>
      <c r="B674" s="2"/>
    </row>
    <row r="675" ht="15.75" customHeight="1">
      <c r="A675" s="2"/>
      <c r="B675" s="2"/>
    </row>
    <row r="676" ht="15.75" customHeight="1">
      <c r="A676" s="2"/>
      <c r="B676" s="2"/>
    </row>
    <row r="677" ht="15.75" customHeight="1">
      <c r="A677" s="2"/>
      <c r="B677" s="2"/>
    </row>
    <row r="678" ht="15.75" customHeight="1">
      <c r="A678" s="2"/>
      <c r="B678" s="2"/>
    </row>
    <row r="679" ht="15.75" customHeight="1">
      <c r="A679" s="2"/>
      <c r="B679" s="2"/>
    </row>
    <row r="680" ht="15.75" customHeight="1">
      <c r="A680" s="2"/>
      <c r="B680" s="2"/>
    </row>
    <row r="681" ht="15.75" customHeight="1">
      <c r="A681" s="2"/>
      <c r="B681" s="2"/>
    </row>
    <row r="682" ht="15.75" customHeight="1">
      <c r="A682" s="2"/>
      <c r="B682" s="2"/>
    </row>
    <row r="683" ht="15.75" customHeight="1">
      <c r="A683" s="2"/>
      <c r="B683" s="2"/>
    </row>
    <row r="684" ht="15.75" customHeight="1">
      <c r="A684" s="2"/>
      <c r="B684" s="2"/>
    </row>
    <row r="685" ht="15.75" customHeight="1">
      <c r="A685" s="2"/>
      <c r="B685" s="2"/>
    </row>
    <row r="686" ht="15.75" customHeight="1">
      <c r="A686" s="2"/>
      <c r="B686" s="2"/>
    </row>
    <row r="687" ht="15.75" customHeight="1">
      <c r="A687" s="2"/>
      <c r="B687" s="2"/>
    </row>
    <row r="688" ht="15.75" customHeight="1">
      <c r="A688" s="2"/>
      <c r="B688" s="2"/>
    </row>
    <row r="689" ht="15.75" customHeight="1">
      <c r="A689" s="2"/>
      <c r="B689" s="2"/>
    </row>
    <row r="690" ht="15.75" customHeight="1">
      <c r="A690" s="2"/>
      <c r="B690" s="2"/>
    </row>
    <row r="691" ht="15.75" customHeight="1">
      <c r="A691" s="2"/>
      <c r="B691" s="2"/>
    </row>
    <row r="692" ht="15.75" customHeight="1">
      <c r="A692" s="2"/>
      <c r="B692" s="2"/>
    </row>
    <row r="693" ht="15.75" customHeight="1">
      <c r="A693" s="2"/>
      <c r="B693" s="2"/>
    </row>
    <row r="694" ht="15.75" customHeight="1">
      <c r="A694" s="2"/>
      <c r="B694" s="2"/>
    </row>
    <row r="695" ht="15.75" customHeight="1">
      <c r="A695" s="2"/>
      <c r="B695" s="2"/>
    </row>
    <row r="696" ht="15.75" customHeight="1">
      <c r="A696" s="2"/>
      <c r="B696" s="2"/>
    </row>
    <row r="697" ht="15.75" customHeight="1">
      <c r="A697" s="2"/>
      <c r="B697" s="2"/>
    </row>
    <row r="698" ht="15.75" customHeight="1">
      <c r="A698" s="2"/>
      <c r="B698" s="2"/>
    </row>
    <row r="699" ht="15.75" customHeight="1">
      <c r="A699" s="2"/>
      <c r="B699" s="2"/>
    </row>
    <row r="700" ht="15.75" customHeight="1">
      <c r="A700" s="2"/>
      <c r="B700" s="2"/>
    </row>
    <row r="701" ht="15.75" customHeight="1">
      <c r="A701" s="2"/>
      <c r="B701" s="2"/>
    </row>
    <row r="702" ht="15.75" customHeight="1">
      <c r="A702" s="2"/>
      <c r="B702" s="2"/>
    </row>
    <row r="703" ht="15.75" customHeight="1">
      <c r="A703" s="2"/>
      <c r="B703" s="2"/>
    </row>
    <row r="704" ht="15.75" customHeight="1">
      <c r="A704" s="2"/>
      <c r="B704" s="2"/>
    </row>
    <row r="705" ht="15.75" customHeight="1">
      <c r="A705" s="2"/>
      <c r="B705" s="2"/>
    </row>
    <row r="706" ht="15.75" customHeight="1">
      <c r="A706" s="2"/>
      <c r="B706" s="2"/>
    </row>
    <row r="707" ht="15.75" customHeight="1">
      <c r="A707" s="2"/>
      <c r="B707" s="2"/>
    </row>
    <row r="708" ht="15.75" customHeight="1">
      <c r="A708" s="2"/>
      <c r="B708" s="2"/>
    </row>
    <row r="709" ht="15.75" customHeight="1">
      <c r="A709" s="2"/>
      <c r="B709" s="2"/>
    </row>
    <row r="710" ht="15.75" customHeight="1">
      <c r="A710" s="2"/>
      <c r="B710" s="2"/>
    </row>
    <row r="711" ht="15.75" customHeight="1">
      <c r="A711" s="2"/>
      <c r="B711" s="2"/>
    </row>
    <row r="712" ht="15.75" customHeight="1">
      <c r="A712" s="2"/>
      <c r="B712" s="2"/>
    </row>
    <row r="713" ht="15.75" customHeight="1">
      <c r="A713" s="2"/>
      <c r="B713" s="2"/>
    </row>
    <row r="714" ht="15.75" customHeight="1">
      <c r="A714" s="2"/>
      <c r="B714" s="2"/>
    </row>
    <row r="715" ht="15.75" customHeight="1">
      <c r="A715" s="2"/>
      <c r="B715" s="2"/>
    </row>
    <row r="716" ht="15.75" customHeight="1">
      <c r="A716" s="2"/>
      <c r="B716" s="2"/>
    </row>
    <row r="717" ht="15.75" customHeight="1">
      <c r="A717" s="2"/>
      <c r="B717" s="2"/>
    </row>
    <row r="718" ht="15.75" customHeight="1">
      <c r="A718" s="2"/>
      <c r="B718" s="2"/>
    </row>
    <row r="719" ht="15.75" customHeight="1">
      <c r="A719" s="2"/>
      <c r="B719" s="2"/>
    </row>
    <row r="720" ht="15.75" customHeight="1">
      <c r="A720" s="2"/>
      <c r="B720" s="2"/>
    </row>
    <row r="721" ht="15.75" customHeight="1">
      <c r="A721" s="2"/>
      <c r="B721" s="2"/>
    </row>
    <row r="722" ht="15.75" customHeight="1">
      <c r="A722" s="2"/>
      <c r="B722" s="2"/>
    </row>
    <row r="723" ht="15.75" customHeight="1">
      <c r="A723" s="2"/>
      <c r="B723" s="2"/>
    </row>
    <row r="724" ht="15.75" customHeight="1">
      <c r="A724" s="2"/>
      <c r="B724" s="2"/>
    </row>
    <row r="725" ht="15.75" customHeight="1">
      <c r="A725" s="2"/>
      <c r="B725" s="2"/>
    </row>
    <row r="726" ht="15.75" customHeight="1">
      <c r="A726" s="2"/>
      <c r="B726" s="2"/>
    </row>
    <row r="727" ht="15.75" customHeight="1">
      <c r="A727" s="2"/>
      <c r="B727" s="2"/>
    </row>
    <row r="728" ht="15.75" customHeight="1">
      <c r="A728" s="2"/>
      <c r="B728" s="2"/>
    </row>
    <row r="729" ht="15.75" customHeight="1">
      <c r="A729" s="2"/>
      <c r="B729" s="2"/>
    </row>
    <row r="730" ht="15.75" customHeight="1">
      <c r="A730" s="2"/>
      <c r="B730" s="2"/>
    </row>
    <row r="731" ht="15.75" customHeight="1">
      <c r="A731" s="2"/>
      <c r="B731" s="2"/>
    </row>
    <row r="732" ht="15.75" customHeight="1">
      <c r="A732" s="2"/>
      <c r="B732" s="2"/>
    </row>
    <row r="733" ht="15.75" customHeight="1">
      <c r="A733" s="2"/>
      <c r="B733" s="2"/>
    </row>
    <row r="734" ht="15.75" customHeight="1">
      <c r="A734" s="2"/>
      <c r="B734" s="2"/>
    </row>
    <row r="735" ht="15.75" customHeight="1">
      <c r="A735" s="2"/>
      <c r="B735" s="2"/>
    </row>
    <row r="736" ht="15.75" customHeight="1">
      <c r="A736" s="2"/>
      <c r="B736" s="2"/>
    </row>
    <row r="737" ht="15.75" customHeight="1">
      <c r="A737" s="2"/>
      <c r="B737" s="2"/>
    </row>
    <row r="738" ht="15.75" customHeight="1">
      <c r="A738" s="2"/>
      <c r="B738" s="2"/>
    </row>
    <row r="739" ht="15.75" customHeight="1">
      <c r="A739" s="2"/>
      <c r="B739" s="2"/>
    </row>
    <row r="740" ht="15.75" customHeight="1">
      <c r="A740" s="2"/>
      <c r="B740" s="2"/>
    </row>
    <row r="741" ht="15.75" customHeight="1">
      <c r="A741" s="2"/>
      <c r="B741" s="2"/>
    </row>
    <row r="742" ht="15.75" customHeight="1">
      <c r="A742" s="2"/>
      <c r="B742" s="2"/>
    </row>
    <row r="743" ht="15.75" customHeight="1">
      <c r="A743" s="2"/>
      <c r="B743" s="2"/>
    </row>
    <row r="744" ht="15.75" customHeight="1">
      <c r="A744" s="2"/>
      <c r="B744" s="2"/>
    </row>
    <row r="745" ht="15.75" customHeight="1">
      <c r="A745" s="2"/>
      <c r="B745" s="2"/>
    </row>
    <row r="746" ht="15.75" customHeight="1">
      <c r="A746" s="2"/>
      <c r="B746" s="2"/>
    </row>
    <row r="747" ht="15.75" customHeight="1">
      <c r="A747" s="2"/>
      <c r="B747" s="2"/>
    </row>
    <row r="748" ht="15.75" customHeight="1">
      <c r="A748" s="2"/>
      <c r="B748" s="2"/>
    </row>
    <row r="749" ht="15.75" customHeight="1">
      <c r="A749" s="2"/>
      <c r="B749" s="2"/>
    </row>
    <row r="750" ht="15.75" customHeight="1">
      <c r="A750" s="2"/>
      <c r="B750" s="2"/>
    </row>
    <row r="751" ht="15.75" customHeight="1">
      <c r="A751" s="2"/>
      <c r="B751" s="2"/>
    </row>
    <row r="752" ht="15.75" customHeight="1">
      <c r="A752" s="2"/>
      <c r="B752" s="2"/>
    </row>
    <row r="753" ht="15.75" customHeight="1">
      <c r="A753" s="2"/>
      <c r="B753" s="2"/>
    </row>
    <row r="754" ht="15.75" customHeight="1">
      <c r="A754" s="2"/>
      <c r="B754" s="2"/>
    </row>
    <row r="755" ht="15.75" customHeight="1">
      <c r="A755" s="2"/>
      <c r="B755" s="2"/>
    </row>
    <row r="756" ht="15.75" customHeight="1">
      <c r="A756" s="2"/>
      <c r="B756" s="2"/>
    </row>
    <row r="757" ht="15.75" customHeight="1">
      <c r="A757" s="2"/>
      <c r="B757" s="2"/>
    </row>
    <row r="758" ht="15.75" customHeight="1">
      <c r="A758" s="2"/>
      <c r="B758" s="2"/>
    </row>
    <row r="759" ht="15.75" customHeight="1">
      <c r="A759" s="2"/>
      <c r="B759" s="2"/>
    </row>
    <row r="760" ht="15.75" customHeight="1">
      <c r="A760" s="2"/>
      <c r="B760" s="2"/>
    </row>
    <row r="761" ht="15.75" customHeight="1">
      <c r="A761" s="2"/>
      <c r="B761" s="2"/>
    </row>
    <row r="762" ht="15.75" customHeight="1">
      <c r="A762" s="2"/>
      <c r="B762" s="2"/>
    </row>
    <row r="763" ht="15.75" customHeight="1">
      <c r="A763" s="2"/>
      <c r="B763" s="2"/>
    </row>
    <row r="764" ht="15.75" customHeight="1">
      <c r="A764" s="2"/>
      <c r="B764" s="2"/>
    </row>
    <row r="765" ht="15.75" customHeight="1">
      <c r="A765" s="2"/>
      <c r="B765" s="2"/>
    </row>
    <row r="766" ht="15.75" customHeight="1">
      <c r="A766" s="2"/>
      <c r="B766" s="2"/>
    </row>
    <row r="767" ht="15.75" customHeight="1">
      <c r="A767" s="2"/>
      <c r="B767" s="2"/>
    </row>
    <row r="768" ht="15.75" customHeight="1">
      <c r="A768" s="2"/>
      <c r="B768" s="2"/>
    </row>
    <row r="769" ht="15.75" customHeight="1">
      <c r="A769" s="2"/>
      <c r="B769" s="2"/>
    </row>
    <row r="770" ht="15.75" customHeight="1">
      <c r="A770" s="2"/>
      <c r="B770" s="2"/>
    </row>
    <row r="771" ht="15.75" customHeight="1">
      <c r="A771" s="2"/>
      <c r="B771" s="2"/>
    </row>
    <row r="772" ht="15.75" customHeight="1">
      <c r="A772" s="2"/>
      <c r="B772" s="2"/>
    </row>
    <row r="773" ht="15.75" customHeight="1">
      <c r="A773" s="2"/>
      <c r="B773" s="2"/>
    </row>
    <row r="774" ht="15.75" customHeight="1">
      <c r="A774" s="2"/>
      <c r="B774" s="2"/>
    </row>
    <row r="775" ht="15.75" customHeight="1">
      <c r="A775" s="2"/>
      <c r="B775" s="2"/>
    </row>
    <row r="776" ht="15.75" customHeight="1">
      <c r="A776" s="2"/>
      <c r="B776" s="2"/>
    </row>
    <row r="777" ht="15.75" customHeight="1">
      <c r="A777" s="2"/>
      <c r="B777" s="2"/>
    </row>
    <row r="778" ht="15.75" customHeight="1">
      <c r="A778" s="2"/>
      <c r="B778" s="2"/>
    </row>
    <row r="779" ht="15.75" customHeight="1">
      <c r="A779" s="2"/>
      <c r="B779" s="2"/>
    </row>
    <row r="780" ht="15.75" customHeight="1">
      <c r="A780" s="2"/>
      <c r="B780" s="2"/>
    </row>
    <row r="781" ht="15.75" customHeight="1">
      <c r="A781" s="2"/>
      <c r="B781" s="2"/>
    </row>
    <row r="782" ht="15.75" customHeight="1">
      <c r="A782" s="2"/>
      <c r="B782" s="2"/>
    </row>
    <row r="783" ht="15.75" customHeight="1">
      <c r="A783" s="2"/>
      <c r="B783" s="2"/>
    </row>
    <row r="784" ht="15.75" customHeight="1">
      <c r="A784" s="2"/>
      <c r="B784" s="2"/>
    </row>
    <row r="785" ht="15.75" customHeight="1">
      <c r="A785" s="2"/>
      <c r="B785" s="2"/>
    </row>
    <row r="786" ht="15.75" customHeight="1">
      <c r="A786" s="2"/>
      <c r="B786" s="2"/>
    </row>
    <row r="787" ht="15.75" customHeight="1">
      <c r="A787" s="2"/>
      <c r="B787" s="2"/>
    </row>
    <row r="788" ht="15.75" customHeight="1">
      <c r="A788" s="2"/>
      <c r="B788" s="2"/>
    </row>
    <row r="789" ht="15.75" customHeight="1">
      <c r="A789" s="2"/>
      <c r="B789" s="2"/>
    </row>
    <row r="790" ht="15.75" customHeight="1">
      <c r="A790" s="2"/>
      <c r="B790" s="2"/>
    </row>
    <row r="791" ht="15.75" customHeight="1">
      <c r="A791" s="2"/>
      <c r="B791" s="2"/>
    </row>
    <row r="792" ht="15.75" customHeight="1">
      <c r="A792" s="2"/>
      <c r="B792" s="2"/>
    </row>
    <row r="793" ht="15.75" customHeight="1">
      <c r="A793" s="2"/>
      <c r="B793" s="2"/>
    </row>
    <row r="794" ht="15.75" customHeight="1">
      <c r="A794" s="2"/>
      <c r="B794" s="2"/>
    </row>
    <row r="795" ht="15.75" customHeight="1">
      <c r="A795" s="2"/>
      <c r="B795" s="2"/>
    </row>
    <row r="796" ht="15.75" customHeight="1">
      <c r="A796" s="2"/>
      <c r="B796" s="2"/>
    </row>
    <row r="797" ht="15.75" customHeight="1">
      <c r="A797" s="2"/>
      <c r="B797" s="2"/>
    </row>
    <row r="798" ht="15.75" customHeight="1">
      <c r="A798" s="2"/>
      <c r="B798" s="2"/>
    </row>
    <row r="799" ht="15.75" customHeight="1">
      <c r="A799" s="2"/>
      <c r="B799" s="2"/>
    </row>
    <row r="800" ht="15.75" customHeight="1">
      <c r="A800" s="2"/>
      <c r="B800" s="2"/>
    </row>
    <row r="801" ht="15.75" customHeight="1">
      <c r="A801" s="2"/>
      <c r="B801" s="2"/>
    </row>
    <row r="802" ht="15.75" customHeight="1">
      <c r="A802" s="2"/>
      <c r="B802" s="2"/>
    </row>
    <row r="803" ht="15.75" customHeight="1">
      <c r="A803" s="2"/>
      <c r="B803" s="2"/>
    </row>
    <row r="804" ht="15.75" customHeight="1">
      <c r="A804" s="2"/>
      <c r="B804" s="2"/>
    </row>
    <row r="805" ht="15.75" customHeight="1">
      <c r="A805" s="2"/>
      <c r="B805" s="2"/>
    </row>
    <row r="806" ht="15.75" customHeight="1">
      <c r="A806" s="2"/>
      <c r="B806" s="2"/>
    </row>
    <row r="807" ht="15.75" customHeight="1">
      <c r="A807" s="2"/>
      <c r="B807" s="2"/>
    </row>
    <row r="808" ht="15.75" customHeight="1">
      <c r="A808" s="2"/>
      <c r="B808" s="2"/>
    </row>
    <row r="809" ht="15.75" customHeight="1">
      <c r="A809" s="2"/>
      <c r="B809" s="2"/>
    </row>
    <row r="810" ht="15.75" customHeight="1">
      <c r="A810" s="2"/>
      <c r="B810" s="2"/>
    </row>
    <row r="811" ht="15.75" customHeight="1">
      <c r="A811" s="2"/>
      <c r="B811" s="2"/>
    </row>
    <row r="812" ht="15.75" customHeight="1">
      <c r="A812" s="2"/>
      <c r="B812" s="2"/>
    </row>
    <row r="813" ht="15.75" customHeight="1">
      <c r="A813" s="2"/>
      <c r="B813" s="2"/>
    </row>
    <row r="814" ht="15.75" customHeight="1">
      <c r="A814" s="2"/>
      <c r="B814" s="2"/>
    </row>
    <row r="815" ht="15.75" customHeight="1">
      <c r="A815" s="2"/>
      <c r="B815" s="2"/>
    </row>
    <row r="816" ht="15.75" customHeight="1">
      <c r="A816" s="2"/>
      <c r="B816" s="2"/>
    </row>
    <row r="817" ht="15.75" customHeight="1">
      <c r="A817" s="2"/>
      <c r="B817" s="2"/>
    </row>
    <row r="818" ht="15.75" customHeight="1">
      <c r="A818" s="2"/>
      <c r="B818" s="2"/>
    </row>
    <row r="819" ht="15.75" customHeight="1">
      <c r="A819" s="2"/>
      <c r="B819" s="2"/>
    </row>
    <row r="820" ht="15.75" customHeight="1">
      <c r="A820" s="2"/>
      <c r="B820" s="2"/>
    </row>
    <row r="821" ht="15.75" customHeight="1">
      <c r="A821" s="2"/>
      <c r="B821" s="2"/>
    </row>
    <row r="822" ht="15.75" customHeight="1">
      <c r="A822" s="2"/>
      <c r="B822" s="2"/>
    </row>
    <row r="823" ht="15.75" customHeight="1">
      <c r="A823" s="2"/>
      <c r="B823" s="2"/>
    </row>
    <row r="824" ht="15.75" customHeight="1">
      <c r="A824" s="2"/>
      <c r="B824" s="2"/>
    </row>
    <row r="825" ht="15.75" customHeight="1">
      <c r="A825" s="2"/>
      <c r="B825" s="2"/>
    </row>
    <row r="826" ht="15.75" customHeight="1">
      <c r="A826" s="2"/>
      <c r="B826" s="2"/>
    </row>
    <row r="827" ht="15.75" customHeight="1">
      <c r="A827" s="2"/>
      <c r="B827" s="2"/>
    </row>
    <row r="828" ht="15.75" customHeight="1">
      <c r="A828" s="2"/>
      <c r="B828" s="2"/>
    </row>
    <row r="829" ht="15.75" customHeight="1">
      <c r="A829" s="2"/>
      <c r="B829" s="2"/>
    </row>
    <row r="830" ht="15.75" customHeight="1">
      <c r="A830" s="2"/>
      <c r="B830" s="2"/>
    </row>
    <row r="831" ht="15.75" customHeight="1">
      <c r="A831" s="2"/>
      <c r="B831" s="2"/>
    </row>
    <row r="832" ht="15.75" customHeight="1">
      <c r="A832" s="2"/>
      <c r="B832" s="2"/>
    </row>
    <row r="833" ht="15.75" customHeight="1">
      <c r="A833" s="2"/>
      <c r="B833" s="2"/>
    </row>
    <row r="834" ht="15.75" customHeight="1">
      <c r="A834" s="2"/>
      <c r="B834" s="2"/>
    </row>
    <row r="835" ht="15.75" customHeight="1">
      <c r="A835" s="2"/>
      <c r="B835" s="2"/>
    </row>
    <row r="836" ht="15.75" customHeight="1">
      <c r="A836" s="2"/>
      <c r="B836" s="2"/>
    </row>
    <row r="837" ht="15.75" customHeight="1">
      <c r="A837" s="2"/>
      <c r="B837" s="2"/>
    </row>
    <row r="838" ht="15.75" customHeight="1">
      <c r="A838" s="2"/>
      <c r="B838" s="2"/>
    </row>
    <row r="839" ht="15.75" customHeight="1">
      <c r="A839" s="2"/>
      <c r="B839" s="2"/>
    </row>
    <row r="840" ht="15.75" customHeight="1">
      <c r="A840" s="2"/>
      <c r="B840" s="2"/>
    </row>
    <row r="841" ht="15.75" customHeight="1">
      <c r="A841" s="2"/>
      <c r="B841" s="2"/>
    </row>
    <row r="842" ht="15.75" customHeight="1">
      <c r="A842" s="2"/>
      <c r="B842" s="2"/>
    </row>
    <row r="843" ht="15.75" customHeight="1">
      <c r="A843" s="2"/>
      <c r="B843" s="2"/>
    </row>
    <row r="844" ht="15.75" customHeight="1">
      <c r="A844" s="2"/>
      <c r="B844" s="2"/>
    </row>
    <row r="845" ht="15.75" customHeight="1">
      <c r="A845" s="2"/>
      <c r="B845" s="2"/>
    </row>
    <row r="846" ht="15.75" customHeight="1">
      <c r="A846" s="2"/>
      <c r="B846" s="2"/>
    </row>
    <row r="847" ht="15.75" customHeight="1">
      <c r="A847" s="2"/>
      <c r="B847" s="2"/>
    </row>
    <row r="848" ht="15.75" customHeight="1">
      <c r="A848" s="2"/>
      <c r="B848" s="2"/>
    </row>
    <row r="849" ht="15.75" customHeight="1">
      <c r="A849" s="2"/>
      <c r="B849" s="2"/>
    </row>
    <row r="850" ht="15.75" customHeight="1">
      <c r="A850" s="2"/>
      <c r="B850" s="2"/>
    </row>
    <row r="851" ht="15.75" customHeight="1">
      <c r="A851" s="2"/>
      <c r="B851" s="2"/>
    </row>
    <row r="852" ht="15.75" customHeight="1">
      <c r="A852" s="2"/>
      <c r="B852" s="2"/>
    </row>
    <row r="853" ht="15.75" customHeight="1">
      <c r="A853" s="2"/>
      <c r="B853" s="2"/>
    </row>
    <row r="854" ht="15.75" customHeight="1">
      <c r="A854" s="2"/>
      <c r="B854" s="2"/>
    </row>
    <row r="855" ht="15.75" customHeight="1">
      <c r="A855" s="2"/>
      <c r="B855" s="2"/>
    </row>
    <row r="856" ht="15.75" customHeight="1">
      <c r="A856" s="2"/>
      <c r="B856" s="2"/>
    </row>
    <row r="857" ht="15.75" customHeight="1">
      <c r="A857" s="2"/>
      <c r="B857" s="2"/>
    </row>
    <row r="858" ht="15.75" customHeight="1">
      <c r="A858" s="2"/>
      <c r="B858" s="2"/>
    </row>
    <row r="859" ht="15.75" customHeight="1">
      <c r="A859" s="2"/>
      <c r="B859" s="2"/>
    </row>
    <row r="860" ht="15.75" customHeight="1">
      <c r="A860" s="2"/>
      <c r="B860" s="2"/>
    </row>
    <row r="861" ht="15.75" customHeight="1">
      <c r="A861" s="2"/>
      <c r="B861" s="2"/>
    </row>
    <row r="862" ht="15.75" customHeight="1">
      <c r="A862" s="2"/>
      <c r="B862" s="2"/>
    </row>
    <row r="863" ht="15.75" customHeight="1">
      <c r="A863" s="2"/>
      <c r="B863" s="2"/>
    </row>
    <row r="864" ht="15.75" customHeight="1">
      <c r="A864" s="2"/>
      <c r="B864" s="2"/>
    </row>
    <row r="865" ht="15.75" customHeight="1">
      <c r="A865" s="2"/>
      <c r="B865" s="2"/>
    </row>
    <row r="866" ht="15.75" customHeight="1">
      <c r="A866" s="2"/>
      <c r="B866" s="2"/>
    </row>
    <row r="867" ht="15.75" customHeight="1">
      <c r="A867" s="2"/>
      <c r="B867" s="2"/>
    </row>
    <row r="868" ht="15.75" customHeight="1">
      <c r="A868" s="2"/>
      <c r="B868" s="2"/>
    </row>
    <row r="869" ht="15.75" customHeight="1">
      <c r="A869" s="2"/>
      <c r="B869" s="2"/>
    </row>
    <row r="870" ht="15.75" customHeight="1">
      <c r="A870" s="2"/>
      <c r="B870" s="2"/>
    </row>
    <row r="871" ht="15.75" customHeight="1">
      <c r="A871" s="2"/>
      <c r="B871" s="2"/>
    </row>
    <row r="872" ht="15.75" customHeight="1">
      <c r="A872" s="2"/>
      <c r="B872" s="2"/>
    </row>
    <row r="873" ht="15.75" customHeight="1">
      <c r="A873" s="2"/>
      <c r="B873" s="2"/>
    </row>
    <row r="874" ht="15.75" customHeight="1">
      <c r="A874" s="2"/>
      <c r="B874" s="2"/>
    </row>
    <row r="875" ht="15.75" customHeight="1">
      <c r="A875" s="2"/>
      <c r="B875" s="2"/>
    </row>
    <row r="876" ht="15.75" customHeight="1">
      <c r="A876" s="2"/>
      <c r="B876" s="2"/>
    </row>
    <row r="877" ht="15.75" customHeight="1">
      <c r="A877" s="2"/>
      <c r="B877" s="2"/>
    </row>
    <row r="878" ht="15.75" customHeight="1">
      <c r="A878" s="2"/>
      <c r="B878" s="2"/>
    </row>
    <row r="879" ht="15.75" customHeight="1">
      <c r="A879" s="2"/>
      <c r="B879" s="2"/>
    </row>
    <row r="880" ht="15.75" customHeight="1">
      <c r="A880" s="2"/>
      <c r="B880" s="2"/>
    </row>
    <row r="881" ht="15.75" customHeight="1">
      <c r="A881" s="2"/>
      <c r="B881" s="2"/>
    </row>
    <row r="882" ht="15.75" customHeight="1">
      <c r="A882" s="2"/>
      <c r="B882" s="2"/>
    </row>
    <row r="883" ht="15.75" customHeight="1">
      <c r="A883" s="2"/>
      <c r="B883" s="2"/>
    </row>
    <row r="884" ht="15.75" customHeight="1">
      <c r="A884" s="2"/>
      <c r="B884" s="2"/>
    </row>
    <row r="885" ht="15.75" customHeight="1">
      <c r="A885" s="2"/>
      <c r="B885" s="2"/>
    </row>
    <row r="886" ht="15.75" customHeight="1">
      <c r="A886" s="2"/>
      <c r="B886" s="2"/>
    </row>
    <row r="887" ht="15.75" customHeight="1">
      <c r="A887" s="2"/>
      <c r="B887" s="2"/>
    </row>
    <row r="888" ht="15.75" customHeight="1">
      <c r="A888" s="2"/>
      <c r="B888" s="2"/>
    </row>
    <row r="889" ht="15.75" customHeight="1">
      <c r="A889" s="2"/>
      <c r="B889" s="2"/>
    </row>
    <row r="890" ht="15.75" customHeight="1">
      <c r="A890" s="2"/>
      <c r="B890" s="2"/>
    </row>
    <row r="891" ht="15.75" customHeight="1">
      <c r="A891" s="2"/>
      <c r="B891" s="2"/>
    </row>
    <row r="892" ht="15.75" customHeight="1">
      <c r="A892" s="2"/>
      <c r="B892" s="2"/>
    </row>
    <row r="893" ht="15.75" customHeight="1">
      <c r="A893" s="2"/>
      <c r="B893" s="2"/>
    </row>
    <row r="894" ht="15.75" customHeight="1">
      <c r="A894" s="2"/>
      <c r="B894" s="2"/>
    </row>
    <row r="895" ht="15.75" customHeight="1">
      <c r="A895" s="2"/>
      <c r="B895" s="2"/>
    </row>
    <row r="896" ht="15.75" customHeight="1">
      <c r="A896" s="2"/>
      <c r="B896" s="2"/>
    </row>
    <row r="897" ht="15.75" customHeight="1">
      <c r="A897" s="2"/>
      <c r="B897" s="2"/>
    </row>
    <row r="898" ht="15.75" customHeight="1">
      <c r="A898" s="2"/>
      <c r="B898" s="2"/>
    </row>
    <row r="899" ht="15.75" customHeight="1">
      <c r="A899" s="2"/>
      <c r="B899" s="2"/>
    </row>
    <row r="900" ht="15.75" customHeight="1">
      <c r="A900" s="2"/>
      <c r="B900" s="2"/>
    </row>
    <row r="901" ht="15.75" customHeight="1">
      <c r="A901" s="2"/>
      <c r="B901" s="2"/>
    </row>
    <row r="902" ht="15.75" customHeight="1">
      <c r="A902" s="2"/>
      <c r="B902" s="2"/>
    </row>
    <row r="903" ht="15.75" customHeight="1">
      <c r="A903" s="2"/>
      <c r="B903" s="2"/>
    </row>
    <row r="904" ht="15.75" customHeight="1">
      <c r="A904" s="2"/>
      <c r="B904" s="2"/>
    </row>
    <row r="905" ht="15.75" customHeight="1">
      <c r="A905" s="2"/>
      <c r="B905" s="2"/>
    </row>
    <row r="906" ht="15.75" customHeight="1">
      <c r="A906" s="2"/>
      <c r="B906" s="2"/>
    </row>
    <row r="907" ht="15.75" customHeight="1">
      <c r="A907" s="2"/>
      <c r="B907" s="2"/>
    </row>
    <row r="908" ht="15.75" customHeight="1">
      <c r="A908" s="2"/>
      <c r="B908" s="2"/>
    </row>
    <row r="909" ht="15.75" customHeight="1">
      <c r="A909" s="2"/>
      <c r="B909" s="2"/>
    </row>
    <row r="910" ht="15.75" customHeight="1">
      <c r="A910" s="2"/>
      <c r="B910" s="2"/>
    </row>
    <row r="911" ht="15.75" customHeight="1">
      <c r="A911" s="2"/>
      <c r="B911" s="2"/>
    </row>
    <row r="912" ht="15.75" customHeight="1">
      <c r="A912" s="2"/>
      <c r="B912" s="2"/>
    </row>
    <row r="913" ht="15.75" customHeight="1">
      <c r="A913" s="2"/>
      <c r="B913" s="2"/>
    </row>
    <row r="914" ht="15.75" customHeight="1">
      <c r="A914" s="2"/>
      <c r="B914" s="2"/>
    </row>
    <row r="915" ht="15.75" customHeight="1">
      <c r="A915" s="2"/>
      <c r="B915" s="2"/>
    </row>
    <row r="916" ht="15.75" customHeight="1">
      <c r="A916" s="2"/>
      <c r="B916" s="2"/>
    </row>
    <row r="917" ht="15.75" customHeight="1">
      <c r="A917" s="2"/>
      <c r="B917" s="2"/>
    </row>
    <row r="918" ht="15.75" customHeight="1">
      <c r="A918" s="2"/>
      <c r="B918" s="2"/>
    </row>
    <row r="919" ht="15.75" customHeight="1">
      <c r="A919" s="2"/>
      <c r="B919" s="2"/>
    </row>
    <row r="920" ht="15.75" customHeight="1">
      <c r="A920" s="2"/>
      <c r="B920" s="2"/>
    </row>
    <row r="921" ht="15.75" customHeight="1">
      <c r="A921" s="2"/>
      <c r="B921" s="2"/>
    </row>
    <row r="922" ht="15.75" customHeight="1">
      <c r="A922" s="2"/>
      <c r="B922" s="2"/>
    </row>
    <row r="923" ht="15.75" customHeight="1">
      <c r="A923" s="2"/>
      <c r="B923" s="2"/>
    </row>
    <row r="924" ht="15.75" customHeight="1">
      <c r="A924" s="2"/>
      <c r="B924" s="2"/>
    </row>
    <row r="925" ht="15.75" customHeight="1">
      <c r="A925" s="2"/>
      <c r="B925" s="2"/>
    </row>
    <row r="926" ht="15.75" customHeight="1">
      <c r="A926" s="2"/>
      <c r="B926" s="2"/>
    </row>
    <row r="927" ht="15.75" customHeight="1">
      <c r="A927" s="2"/>
      <c r="B927" s="2"/>
    </row>
    <row r="928" ht="15.75" customHeight="1">
      <c r="A928" s="2"/>
      <c r="B928" s="2"/>
    </row>
    <row r="929" ht="15.75" customHeight="1">
      <c r="A929" s="2"/>
      <c r="B929" s="2"/>
    </row>
    <row r="930" ht="15.75" customHeight="1">
      <c r="A930" s="2"/>
      <c r="B930" s="2"/>
    </row>
    <row r="931" ht="15.75" customHeight="1">
      <c r="A931" s="2"/>
      <c r="B931" s="2"/>
    </row>
    <row r="932" ht="15.75" customHeight="1">
      <c r="A932" s="2"/>
      <c r="B932" s="2"/>
    </row>
    <row r="933" ht="15.75" customHeight="1">
      <c r="A933" s="2"/>
      <c r="B933" s="2"/>
    </row>
    <row r="934" ht="15.75" customHeight="1">
      <c r="A934" s="2"/>
      <c r="B934" s="2"/>
    </row>
    <row r="935" ht="15.75" customHeight="1">
      <c r="A935" s="2"/>
      <c r="B935" s="2"/>
    </row>
    <row r="936" ht="15.75" customHeight="1">
      <c r="A936" s="2"/>
      <c r="B936" s="2"/>
    </row>
    <row r="937" ht="15.75" customHeight="1">
      <c r="A937" s="2"/>
      <c r="B937" s="2"/>
    </row>
    <row r="938" ht="15.75" customHeight="1">
      <c r="A938" s="2"/>
      <c r="B938" s="2"/>
    </row>
    <row r="939" ht="15.75" customHeight="1">
      <c r="A939" s="2"/>
      <c r="B939" s="2"/>
    </row>
    <row r="940" ht="15.75" customHeight="1">
      <c r="A940" s="2"/>
      <c r="B940" s="2"/>
    </row>
    <row r="941" ht="15.75" customHeight="1">
      <c r="A941" s="2"/>
      <c r="B941" s="2"/>
    </row>
    <row r="942" ht="15.75" customHeight="1">
      <c r="A942" s="2"/>
      <c r="B942" s="2"/>
    </row>
    <row r="943" ht="15.75" customHeight="1">
      <c r="A943" s="2"/>
      <c r="B943" s="2"/>
    </row>
    <row r="944" ht="15.75" customHeight="1">
      <c r="A944" s="2"/>
      <c r="B944" s="2"/>
    </row>
    <row r="945" ht="15.75" customHeight="1">
      <c r="A945" s="2"/>
      <c r="B945" s="2"/>
    </row>
    <row r="946" ht="15.75" customHeight="1">
      <c r="A946" s="2"/>
      <c r="B946" s="2"/>
    </row>
    <row r="947" ht="15.75" customHeight="1">
      <c r="A947" s="2"/>
      <c r="B947" s="2"/>
    </row>
    <row r="948" ht="15.75" customHeight="1">
      <c r="A948" s="2"/>
      <c r="B948" s="2"/>
    </row>
    <row r="949" ht="15.75" customHeight="1">
      <c r="A949" s="2"/>
      <c r="B949" s="2"/>
    </row>
    <row r="950" ht="15.75" customHeight="1">
      <c r="A950" s="2"/>
      <c r="B950" s="2"/>
    </row>
    <row r="951" ht="15.75" customHeight="1">
      <c r="A951" s="2"/>
      <c r="B951" s="2"/>
    </row>
    <row r="952" ht="15.75" customHeight="1">
      <c r="A952" s="2"/>
      <c r="B952" s="2"/>
    </row>
    <row r="953" ht="15.75" customHeight="1">
      <c r="A953" s="2"/>
      <c r="B953" s="2"/>
    </row>
    <row r="954" ht="15.75" customHeight="1">
      <c r="A954" s="2"/>
      <c r="B954" s="2"/>
    </row>
    <row r="955" ht="15.75" customHeight="1">
      <c r="A955" s="2"/>
      <c r="B955" s="2"/>
    </row>
    <row r="956" ht="15.75" customHeight="1">
      <c r="A956" s="2"/>
      <c r="B956" s="2"/>
    </row>
    <row r="957" ht="15.75" customHeight="1">
      <c r="A957" s="2"/>
      <c r="B957" s="2"/>
    </row>
    <row r="958" ht="15.75" customHeight="1">
      <c r="A958" s="2"/>
      <c r="B958" s="2"/>
    </row>
    <row r="959" ht="15.75" customHeight="1">
      <c r="A959" s="2"/>
      <c r="B959" s="2"/>
    </row>
    <row r="960" ht="15.75" customHeight="1">
      <c r="A960" s="2"/>
      <c r="B960" s="2"/>
    </row>
    <row r="961" ht="15.75" customHeight="1">
      <c r="A961" s="2"/>
      <c r="B961" s="2"/>
    </row>
    <row r="962" ht="15.75" customHeight="1">
      <c r="A962" s="2"/>
      <c r="B962" s="2"/>
    </row>
    <row r="963" ht="15.75" customHeight="1">
      <c r="A963" s="2"/>
      <c r="B963" s="2"/>
    </row>
    <row r="964" ht="15.75" customHeight="1">
      <c r="A964" s="2"/>
      <c r="B964" s="2"/>
    </row>
    <row r="965" ht="15.75" customHeight="1">
      <c r="A965" s="2"/>
      <c r="B965" s="2"/>
    </row>
    <row r="966" ht="15.75" customHeight="1">
      <c r="A966" s="2"/>
      <c r="B966" s="2"/>
    </row>
    <row r="967" ht="15.75" customHeight="1">
      <c r="A967" s="2"/>
      <c r="B967" s="2"/>
    </row>
    <row r="968" ht="15.75" customHeight="1">
      <c r="A968" s="2"/>
      <c r="B968" s="2"/>
    </row>
    <row r="969" ht="15.75" customHeight="1">
      <c r="A969" s="2"/>
      <c r="B969" s="2"/>
    </row>
    <row r="970" ht="15.75" customHeight="1">
      <c r="A970" s="2"/>
      <c r="B970" s="2"/>
    </row>
    <row r="971" ht="15.75" customHeight="1">
      <c r="A971" s="2"/>
      <c r="B971" s="2"/>
    </row>
    <row r="972" ht="15.75" customHeight="1">
      <c r="A972" s="2"/>
      <c r="B972" s="2"/>
    </row>
    <row r="973" ht="15.75" customHeight="1">
      <c r="A973" s="2"/>
      <c r="B973" s="2"/>
    </row>
    <row r="974" ht="15.75" customHeight="1">
      <c r="A974" s="2"/>
      <c r="B974" s="2"/>
    </row>
    <row r="975" ht="15.75" customHeight="1">
      <c r="A975" s="2"/>
      <c r="B975" s="2"/>
    </row>
    <row r="976" ht="15.75" customHeight="1">
      <c r="A976" s="2"/>
      <c r="B976" s="2"/>
    </row>
    <row r="977" ht="15.75" customHeight="1">
      <c r="A977" s="2"/>
      <c r="B977" s="2"/>
    </row>
    <row r="978" ht="15.75" customHeight="1">
      <c r="A978" s="2"/>
      <c r="B978" s="2"/>
    </row>
    <row r="979" ht="15.75" customHeight="1">
      <c r="A979" s="2"/>
      <c r="B979" s="2"/>
    </row>
    <row r="980" ht="15.75" customHeight="1">
      <c r="A980" s="2"/>
      <c r="B980" s="2"/>
    </row>
    <row r="981" ht="15.75" customHeight="1">
      <c r="A981" s="2"/>
      <c r="B981" s="2"/>
    </row>
    <row r="982" ht="15.75" customHeight="1">
      <c r="A982" s="2"/>
      <c r="B982" s="2"/>
    </row>
    <row r="983" ht="15.75" customHeight="1">
      <c r="A983" s="2"/>
      <c r="B983" s="2"/>
    </row>
    <row r="984" ht="15.75" customHeight="1">
      <c r="A984" s="2"/>
      <c r="B984" s="2"/>
    </row>
    <row r="985" ht="15.75" customHeight="1">
      <c r="A985" s="2"/>
      <c r="B985" s="2"/>
    </row>
    <row r="986" ht="15.75" customHeight="1">
      <c r="A986" s="2"/>
      <c r="B986" s="2"/>
    </row>
    <row r="987" ht="15.75" customHeight="1">
      <c r="A987" s="2"/>
      <c r="B987" s="2"/>
    </row>
    <row r="988" ht="15.75" customHeight="1">
      <c r="A988" s="2"/>
      <c r="B988" s="2"/>
    </row>
    <row r="989" ht="15.75" customHeight="1">
      <c r="A989" s="2"/>
      <c r="B989" s="2"/>
    </row>
    <row r="990" ht="15.75" customHeight="1">
      <c r="A990" s="2"/>
      <c r="B990" s="2"/>
    </row>
    <row r="991" ht="15.75" customHeight="1">
      <c r="A991" s="2"/>
      <c r="B991" s="2"/>
    </row>
    <row r="992" ht="15.75" customHeight="1">
      <c r="A992" s="2"/>
      <c r="B992" s="2"/>
    </row>
    <row r="993" ht="15.75" customHeight="1">
      <c r="A993" s="2"/>
      <c r="B993" s="2"/>
    </row>
    <row r="994" ht="15.75" customHeight="1">
      <c r="A994" s="2"/>
      <c r="B994" s="2"/>
    </row>
    <row r="995" ht="15.75" customHeight="1">
      <c r="A995" s="2"/>
      <c r="B995" s="2"/>
    </row>
    <row r="996" ht="15.75" customHeight="1">
      <c r="A996" s="2"/>
      <c r="B996" s="2"/>
    </row>
    <row r="997" ht="15.75" customHeight="1">
      <c r="A997" s="2"/>
      <c r="B997" s="2"/>
    </row>
    <row r="998" ht="15.75" customHeight="1">
      <c r="A998" s="2"/>
      <c r="B998" s="2"/>
    </row>
    <row r="999" ht="15.75" customHeight="1">
      <c r="A999" s="2"/>
      <c r="B999" s="2"/>
    </row>
    <row r="1000" ht="15.75" customHeight="1">
      <c r="A1000" s="2"/>
      <c r="B1000" s="2"/>
    </row>
  </sheetData>
  <mergeCells count="6">
    <mergeCell ref="A1:B1"/>
    <mergeCell ref="A2:B2"/>
    <mergeCell ref="A4:B4"/>
    <mergeCell ref="A12:B12"/>
    <mergeCell ref="A18:B18"/>
    <mergeCell ref="A23:B2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2026-08-06T14:38:57Z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